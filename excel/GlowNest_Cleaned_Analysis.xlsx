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ation" sheetId="1" state="visible" r:id="rId3"/>
    <sheet name="Final_Data_PowerBI" sheetId="2" state="visible" r:id="rId4"/>
    <sheet name="Raw_Data" sheetId="3" state="visible" r:id="rId5"/>
    <sheet name="Lookup_Tables" sheetId="4" state="visible" r:id="rId6"/>
    <sheet name="Cleaned_Data" sheetId="5" state="visible" r:id="rId7"/>
    <sheet name="Channel_Summary" sheetId="6" state="visible" r:id="rId8"/>
    <sheet name="Region_Summary" sheetId="7" state="visible" r:id="rId9"/>
    <sheet name="Monthly_Tren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<sst xmlns="http://schemas.openxmlformats.org/spreadsheetml/2006/main" count="8482" uniqueCount="1027">
  <si>
    <t xml:space="preserve">GlowNest FMCG - Marketing Campaign Analysis</t>
  </si>
  <si>
    <t xml:space="preserve">OBJECTIVE</t>
  </si>
  <si>
    <t xml:space="preserve">Analyze multi-channel marketing campaign performance (Instagram, Facebook, Google Ads, Email, YouTube) for a fictional FMCG personal care brand to identify the highest-ROI channels, regions, and time periods, and support budget allocation decisions.</t>
  </si>
  <si>
    <t xml:space="preserve">SHEET GUIDE</t>
  </si>
  <si>
    <t xml:space="preserve">Raw_Data          - Original unprocessed export, kept unchanged as an audit trail.</t>
  </si>
  <si>
    <t xml:space="preserve">Lookup_Tables      - Mapping tables used to standardize inconsistent Channel/Region text</t>
  </si>
  <si>
    <t xml:space="preserve">                     (e.g. 'insta', 'FB', ' Instagram ' all map to 'Instagram').</t>
  </si>
  <si>
    <t xml:space="preserve">Cleaned_Data       - Every raw row cleaned and enriched via formula (no hardcoded values):</t>
  </si>
  <si>
    <t xml:space="preserve">                     text standardized (TRIM/PROPER), dates parsed from 3 mixed formats,</t>
  </si>
  <si>
    <t xml:space="preserve">                     missing Spend/Revenue imputed with channel averages (AVERAGEIFS),</t>
  </si>
  <si>
    <t xml:space="preserve">                     negative Clicks corrected, duplicates flagged (COUNTIF), and</t>
  </si>
  <si>
    <t xml:space="preserve">                     CTR/CPC/CPA/ROAS/Conversion Rate calculated per row.</t>
  </si>
  <si>
    <t xml:space="preserve">Channel_Summary    - SUMIFS/AVERAGEIFS rollups per channel, duplicates excluded.</t>
  </si>
  <si>
    <t xml:space="preserve">Region_Summary     - Same rollup logic, grouped by region.</t>
  </si>
  <si>
    <t xml:space="preserve">Monthly_Trend      - Spend/Revenue/ROAS by calendar month (2024), for trend charts.</t>
  </si>
  <si>
    <t xml:space="preserve">KEY FORMULA TECHNIQUES USED (for interview reference)</t>
  </si>
  <si>
    <t xml:space="preserve">- INDEX/MATCH against a lookup table to standardize messy category text</t>
  </si>
  <si>
    <t xml:space="preserve">- Nested IF + LEFT/MID/RIGHT/FIND to parse 3 different date string formats safely</t>
  </si>
  <si>
    <t xml:space="preserve">  (avoids DATEVALUE's locale ambiguity on DD/MM vs MM/DD)</t>
  </si>
  <si>
    <t xml:space="preserve">- AVERAGEIFS to impute missing numeric values using the channel's average</t>
  </si>
  <si>
    <t xml:space="preserve">- COUNTIF running count to flag duplicate records without deleting rows destructively</t>
  </si>
  <si>
    <t xml:space="preserve">- SUMIFS / AVERAGEIFS with multiple criteria (channel/region/date range + duplicate flag)</t>
  </si>
  <si>
    <t xml:space="preserve">  to build all summary tables</t>
  </si>
  <si>
    <t xml:space="preserve">- IFERROR throughout to guard against division-by-zero in KPI formulas</t>
  </si>
  <si>
    <t xml:space="preserve">NEXT STEPS IN THIS PROJECT</t>
  </si>
  <si>
    <t xml:space="preserve">1. Import Cleaned_Data (values only) into MySQL Workbench for SQL-based analysis.</t>
  </si>
  <si>
    <t xml:space="preserve">2. Build a Power BI dashboard using Cleaned_Data, Channel_Summary, Region_Summary,</t>
  </si>
  <si>
    <t xml:space="preserve">   and Monthly_Trend as data sources.</t>
  </si>
  <si>
    <t xml:space="preserve">3. Document approach and insights in the GitHub README.</t>
  </si>
  <si>
    <t xml:space="preserve">Campaign_ID</t>
  </si>
  <si>
    <t xml:space="preserve">Campaign_Name</t>
  </si>
  <si>
    <t xml:space="preserve">Channel</t>
  </si>
  <si>
    <t xml:space="preserve">Start_Date</t>
  </si>
  <si>
    <t xml:space="preserve">End_Date</t>
  </si>
  <si>
    <t xml:space="preserve">Target_Audience</t>
  </si>
  <si>
    <t xml:space="preserve">Region</t>
  </si>
  <si>
    <t xml:space="preserve">Spend_INR</t>
  </si>
  <si>
    <t xml:space="preserve">Impressions</t>
  </si>
  <si>
    <t xml:space="preserve">Clicks</t>
  </si>
  <si>
    <t xml:space="preserve">Conversions</t>
  </si>
  <si>
    <t xml:space="preserve">Revenue_INR</t>
  </si>
  <si>
    <t xml:space="preserve">CTR</t>
  </si>
  <si>
    <t xml:space="preserve">CPC</t>
  </si>
  <si>
    <t xml:space="preserve">CPA</t>
  </si>
  <si>
    <t xml:space="preserve">ROAS</t>
  </si>
  <si>
    <t xml:space="preserve">Conversion_Rate</t>
  </si>
  <si>
    <t xml:space="preserve">Ayurvedic Range Launch</t>
  </si>
  <si>
    <t xml:space="preserve">Email</t>
  </si>
  <si>
    <t xml:space="preserve">Male 35-44</t>
  </si>
  <si>
    <t xml:space="preserve">West</t>
  </si>
  <si>
    <t xml:space="preserve">Google Ads</t>
  </si>
  <si>
    <t xml:space="preserve">Male 45+</t>
  </si>
  <si>
    <t xml:space="preserve">Herbal Range Awareness</t>
  </si>
  <si>
    <t xml:space="preserve">Female 25-34</t>
  </si>
  <si>
    <t xml:space="preserve">North</t>
  </si>
  <si>
    <t xml:space="preserve">Clearance Sale Push</t>
  </si>
  <si>
    <t xml:space="preserve">Female 35-44</t>
  </si>
  <si>
    <t xml:space="preserve">Central</t>
  </si>
  <si>
    <t xml:space="preserve">Baby Care Trust Campaign</t>
  </si>
  <si>
    <t xml:space="preserve">YouTube</t>
  </si>
  <si>
    <t xml:space="preserve">Female 45+</t>
  </si>
  <si>
    <t xml:space="preserve">South</t>
  </si>
  <si>
    <t xml:space="preserve">Festive Gift Bundle</t>
  </si>
  <si>
    <t xml:space="preserve">Facebook</t>
  </si>
  <si>
    <t xml:space="preserve">Anti-Ageing Serum Push</t>
  </si>
  <si>
    <t xml:space="preserve">Male 18-24</t>
  </si>
  <si>
    <t xml:space="preserve">Monsoon Skincare Push</t>
  </si>
  <si>
    <t xml:space="preserve">Male 25-34</t>
  </si>
  <si>
    <t xml:space="preserve">Hair Care Revamp</t>
  </si>
  <si>
    <t xml:space="preserve">Female 18-24</t>
  </si>
  <si>
    <t xml:space="preserve">Influencer Collab - Skincare</t>
  </si>
  <si>
    <t xml:space="preserve">Instagram</t>
  </si>
  <si>
    <t xml:space="preserve">East</t>
  </si>
  <si>
    <t xml:space="preserve">Wedding Season Special</t>
  </si>
  <si>
    <t xml:space="preserve">Back To College Offer</t>
  </si>
  <si>
    <t xml:space="preserve">Unspecified</t>
  </si>
  <si>
    <t xml:space="preserve">Sunscreen Season Campaign</t>
  </si>
  <si>
    <t xml:space="preserve">Men'S Grooming Drive</t>
  </si>
  <si>
    <t xml:space="preserve">Summer Glow Launch</t>
  </si>
  <si>
    <t xml:space="preserve">New Year Wellness</t>
  </si>
  <si>
    <t xml:space="preserve">  Ayurvedic Range Launch  </t>
  </si>
  <si>
    <t xml:space="preserve">e-mail</t>
  </si>
  <si>
    <t xml:space="preserve">29/01/2024</t>
  </si>
  <si>
    <t xml:space="preserve">19/02/2024</t>
  </si>
  <si>
    <t xml:space="preserve">West </t>
  </si>
  <si>
    <t xml:space="preserve">google ads</t>
  </si>
  <si>
    <t xml:space="preserve">14-Nov-2024</t>
  </si>
  <si>
    <t xml:space="preserve">27-Nov-2024</t>
  </si>
  <si>
    <t xml:space="preserve">HERBAL RANGE AWARENESS</t>
  </si>
  <si>
    <t xml:space="preserve">2024-10-30</t>
  </si>
  <si>
    <t xml:space="preserve">2024-11-08</t>
  </si>
  <si>
    <t xml:space="preserve">Nort</t>
  </si>
  <si>
    <t xml:space="preserve"> Email</t>
  </si>
  <si>
    <t xml:space="preserve">2024-09-05</t>
  </si>
  <si>
    <t xml:space="preserve">2024-10-02</t>
  </si>
  <si>
    <t xml:space="preserve">west</t>
  </si>
  <si>
    <t xml:space="preserve">EMAIL</t>
  </si>
  <si>
    <t xml:space="preserve">12/01/2024</t>
  </si>
  <si>
    <t xml:space="preserve">19/01/2024</t>
  </si>
  <si>
    <t xml:space="preserve">Centrl</t>
  </si>
  <si>
    <t xml:space="preserve">Youtube </t>
  </si>
  <si>
    <t xml:space="preserve">06/04/2024</t>
  </si>
  <si>
    <t xml:space="preserve">26/04/2024</t>
  </si>
  <si>
    <t xml:space="preserve">South </t>
  </si>
  <si>
    <t xml:space="preserve">FESTIVE GIFT BUNDLE</t>
  </si>
  <si>
    <t xml:space="preserve">FB</t>
  </si>
  <si>
    <t xml:space="preserve">2024-09-21</t>
  </si>
  <si>
    <t xml:space="preserve">2024-09-29</t>
  </si>
  <si>
    <t xml:space="preserve">WEST</t>
  </si>
  <si>
    <t xml:space="preserve">  Anti-Ageing Serum Push  </t>
  </si>
  <si>
    <t xml:space="preserve">2024-07-14</t>
  </si>
  <si>
    <t xml:space="preserve">2024-07-19</t>
  </si>
  <si>
    <t xml:space="preserve">CENTRAL</t>
  </si>
  <si>
    <t xml:space="preserve">2024-03-11</t>
  </si>
  <si>
    <t xml:space="preserve">2024-03-18</t>
  </si>
  <si>
    <t xml:space="preserve">GoogleAds</t>
  </si>
  <si>
    <t xml:space="preserve">2024-09-20</t>
  </si>
  <si>
    <t xml:space="preserve">2024-10-16</t>
  </si>
  <si>
    <t xml:space="preserve"> Google Ads</t>
  </si>
  <si>
    <t xml:space="preserve">16-Feb-2024</t>
  </si>
  <si>
    <t xml:space="preserve">17-Mar-2024</t>
  </si>
  <si>
    <t xml:space="preserve"> Instagram</t>
  </si>
  <si>
    <t xml:space="preserve">10-Feb-2024</t>
  </si>
  <si>
    <t xml:space="preserve">25-Feb-2024</t>
  </si>
  <si>
    <t xml:space="preserve">instagram</t>
  </si>
  <si>
    <t xml:space="preserve">21/11/2024</t>
  </si>
  <si>
    <t xml:space="preserve">12/12/2024</t>
  </si>
  <si>
    <t xml:space="preserve">2024-04-02</t>
  </si>
  <si>
    <t xml:space="preserve">2024-04-18</t>
  </si>
  <si>
    <t xml:space="preserve">22-Jan-2024</t>
  </si>
  <si>
    <t xml:space="preserve">06-Feb-2024</t>
  </si>
  <si>
    <t xml:space="preserve">Wst</t>
  </si>
  <si>
    <t xml:space="preserve">29/02/2024</t>
  </si>
  <si>
    <t xml:space="preserve">30/03/2024</t>
  </si>
  <si>
    <t xml:space="preserve">Insta</t>
  </si>
  <si>
    <t xml:space="preserve">03-May-2024</t>
  </si>
  <si>
    <t xml:space="preserve">25-May-2024</t>
  </si>
  <si>
    <t xml:space="preserve">south</t>
  </si>
  <si>
    <t xml:space="preserve">FACEBOOK</t>
  </si>
  <si>
    <t xml:space="preserve">20/03/2024</t>
  </si>
  <si>
    <t xml:space="preserve">28/03/2024</t>
  </si>
  <si>
    <t xml:space="preserve">email</t>
  </si>
  <si>
    <t xml:space="preserve">09-Mar-2024</t>
  </si>
  <si>
    <t xml:space="preserve">03-Apr-2024</t>
  </si>
  <si>
    <t xml:space="preserve">Back to College Offer</t>
  </si>
  <si>
    <t xml:space="preserve">26-Jun-2024</t>
  </si>
  <si>
    <t xml:space="preserve">21-Jul-2024</t>
  </si>
  <si>
    <t xml:space="preserve">central</t>
  </si>
  <si>
    <t xml:space="preserve">  ANTI-AGEING SERUM PUSH  </t>
  </si>
  <si>
    <t xml:space="preserve">Facebook </t>
  </si>
  <si>
    <t xml:space="preserve">06/11/2024</t>
  </si>
  <si>
    <t xml:space="preserve">14/11/2024</t>
  </si>
  <si>
    <t xml:space="preserve">WEDDING SEASON SPECIAL</t>
  </si>
  <si>
    <t xml:space="preserve">2024-01-16</t>
  </si>
  <si>
    <t xml:space="preserve">2024-02-14</t>
  </si>
  <si>
    <t xml:space="preserve">YOUTUBE</t>
  </si>
  <si>
    <t xml:space="preserve">28/01/2024</t>
  </si>
  <si>
    <t xml:space="preserve">23/02/2024</t>
  </si>
  <si>
    <t xml:space="preserve">2024-07-07</t>
  </si>
  <si>
    <t xml:space="preserve">2024-07-22</t>
  </si>
  <si>
    <t xml:space="preserve">SUNSCREEN SEASON CAMPAIGN</t>
  </si>
  <si>
    <t xml:space="preserve">2024-06-25</t>
  </si>
  <si>
    <t xml:space="preserve">2024-06-30</t>
  </si>
  <si>
    <t xml:space="preserve">EAST</t>
  </si>
  <si>
    <t xml:space="preserve">  Monsoon Skincare Push  </t>
  </si>
  <si>
    <t xml:space="preserve">18/09/2024</t>
  </si>
  <si>
    <t xml:space="preserve">12/10/2024</t>
  </si>
  <si>
    <t xml:space="preserve">MEN'S GROOMING DRIVE</t>
  </si>
  <si>
    <t xml:space="preserve">14/07/2024</t>
  </si>
  <si>
    <t xml:space="preserve">19/07/2024</t>
  </si>
  <si>
    <t xml:space="preserve">2024-11-22</t>
  </si>
  <si>
    <t xml:space="preserve">2024-12-09</t>
  </si>
  <si>
    <t xml:space="preserve"> North</t>
  </si>
  <si>
    <t xml:space="preserve">2024-08-02</t>
  </si>
  <si>
    <t xml:space="preserve">2024-08-27</t>
  </si>
  <si>
    <t xml:space="preserve">east</t>
  </si>
  <si>
    <t xml:space="preserve">09-Sep-2024</t>
  </si>
  <si>
    <t xml:space="preserve">25-Sep-2024</t>
  </si>
  <si>
    <t xml:space="preserve">10/06/2024</t>
  </si>
  <si>
    <t xml:space="preserve">07/07/2024</t>
  </si>
  <si>
    <t xml:space="preserve">  Sunscreen Season Campaign  </t>
  </si>
  <si>
    <t xml:space="preserve">2024-02-03</t>
  </si>
  <si>
    <t xml:space="preserve">2024-03-03</t>
  </si>
  <si>
    <t xml:space="preserve"> Central</t>
  </si>
  <si>
    <t xml:space="preserve">Men's Grooming Drive</t>
  </si>
  <si>
    <t xml:space="preserve">INSTAGRAM</t>
  </si>
  <si>
    <t xml:space="preserve">2024-03-26</t>
  </si>
  <si>
    <t xml:space="preserve">2024-04-13</t>
  </si>
  <si>
    <t xml:space="preserve">  Baby Care Trust Campaign  </t>
  </si>
  <si>
    <t xml:space="preserve">20-Oct-2024</t>
  </si>
  <si>
    <t xml:space="preserve">08-Nov-2024</t>
  </si>
  <si>
    <t xml:space="preserve">  Hair Care Revamp  </t>
  </si>
  <si>
    <t xml:space="preserve">youtube</t>
  </si>
  <si>
    <t xml:space="preserve">26/06/2024</t>
  </si>
  <si>
    <t xml:space="preserve">09/07/2024</t>
  </si>
  <si>
    <t xml:space="preserve">04-Sep-2024</t>
  </si>
  <si>
    <t xml:space="preserve">28-Sep-2024</t>
  </si>
  <si>
    <t xml:space="preserve">07-Nov-2024</t>
  </si>
  <si>
    <t xml:space="preserve">13-Nov-2024</t>
  </si>
  <si>
    <t xml:space="preserve">NORTH</t>
  </si>
  <si>
    <t xml:space="preserve">10/09/2024</t>
  </si>
  <si>
    <t xml:space="preserve">16/09/2024</t>
  </si>
  <si>
    <t xml:space="preserve">2024-04-03</t>
  </si>
  <si>
    <t xml:space="preserve">2024-05-02</t>
  </si>
  <si>
    <t xml:space="preserve">02/02/2024</t>
  </si>
  <si>
    <t xml:space="preserve">15/09/2024</t>
  </si>
  <si>
    <t xml:space="preserve">23/09/2024</t>
  </si>
  <si>
    <t xml:space="preserve">13-May-2024</t>
  </si>
  <si>
    <t xml:space="preserve">23-May-2024</t>
  </si>
  <si>
    <t xml:space="preserve"> East</t>
  </si>
  <si>
    <t xml:space="preserve">You Tube</t>
  </si>
  <si>
    <t xml:space="preserve">23-Jul-2024</t>
  </si>
  <si>
    <t xml:space="preserve">22-Aug-2024</t>
  </si>
  <si>
    <t xml:space="preserve">04/08/2024</t>
  </si>
  <si>
    <t xml:space="preserve">11-Aug-2024</t>
  </si>
  <si>
    <t xml:space="preserve">08-Sep-2024</t>
  </si>
  <si>
    <t xml:space="preserve">25-Mar-2024</t>
  </si>
  <si>
    <t xml:space="preserve">19-Apr-2024</t>
  </si>
  <si>
    <t xml:space="preserve">  Influencer Collab - Skincare  </t>
  </si>
  <si>
    <t xml:space="preserve">05-Feb-2024</t>
  </si>
  <si>
    <t xml:space="preserve">26-Feb-2024</t>
  </si>
  <si>
    <t xml:space="preserve">18-Aug-2024</t>
  </si>
  <si>
    <t xml:space="preserve">08-Jun-2024</t>
  </si>
  <si>
    <t xml:space="preserve">21-Jun-2024</t>
  </si>
  <si>
    <t xml:space="preserve">29-Jan-2024</t>
  </si>
  <si>
    <t xml:space="preserve">11-Feb-2024</t>
  </si>
  <si>
    <t xml:space="preserve">north</t>
  </si>
  <si>
    <t xml:space="preserve">2024-10-24</t>
  </si>
  <si>
    <t xml:space="preserve">2024-11-09</t>
  </si>
  <si>
    <t xml:space="preserve">  MONSOON SKINCARE PUSH  </t>
  </si>
  <si>
    <t xml:space="preserve">14-Mar-2024</t>
  </si>
  <si>
    <t xml:space="preserve">03-Jan-2024</t>
  </si>
  <si>
    <t xml:space="preserve">16-Jan-2024</t>
  </si>
  <si>
    <t xml:space="preserve">17-Nov-2024</t>
  </si>
  <si>
    <t xml:space="preserve">22-Nov-2024</t>
  </si>
  <si>
    <t xml:space="preserve">GOOGLE ADS</t>
  </si>
  <si>
    <t xml:space="preserve">28/10/2024</t>
  </si>
  <si>
    <t xml:space="preserve">11/07/2024</t>
  </si>
  <si>
    <t xml:space="preserve">SOUTH</t>
  </si>
  <si>
    <t xml:space="preserve">2024-07-03</t>
  </si>
  <si>
    <t xml:space="preserve">2024-08-01</t>
  </si>
  <si>
    <t xml:space="preserve">01-Aug-2024</t>
  </si>
  <si>
    <t xml:space="preserve">21-Aug-2024</t>
  </si>
  <si>
    <t xml:space="preserve">28/11/2024</t>
  </si>
  <si>
    <t xml:space="preserve">21/03/2024</t>
  </si>
  <si>
    <t xml:space="preserve">03/04/2024</t>
  </si>
  <si>
    <t xml:space="preserve">2024-10-25</t>
  </si>
  <si>
    <t xml:space="preserve">08/05/2024</t>
  </si>
  <si>
    <t xml:space="preserve">03/05/2024</t>
  </si>
  <si>
    <t xml:space="preserve">16/05/2024</t>
  </si>
  <si>
    <t xml:space="preserve">BACK TO COLLEGE OFFER</t>
  </si>
  <si>
    <t xml:space="preserve">20/06/2024</t>
  </si>
  <si>
    <t xml:space="preserve">29/06/2024</t>
  </si>
  <si>
    <t xml:space="preserve">27/09/2024</t>
  </si>
  <si>
    <t xml:space="preserve">2024-07-05</t>
  </si>
  <si>
    <t xml:space="preserve">25/04/2024</t>
  </si>
  <si>
    <t xml:space="preserve">19/06/2024</t>
  </si>
  <si>
    <t xml:space="preserve">05/07/2024</t>
  </si>
  <si>
    <t xml:space="preserve">2024-09-23</t>
  </si>
  <si>
    <t xml:space="preserve">2024-10-13</t>
  </si>
  <si>
    <t xml:space="preserve">24-Apr-2024</t>
  </si>
  <si>
    <t xml:space="preserve">09-May-2024</t>
  </si>
  <si>
    <t xml:space="preserve">AYURVEDIC RANGE LAUNCH</t>
  </si>
  <si>
    <t xml:space="preserve">01/04/2024</t>
  </si>
  <si>
    <t xml:space="preserve">07/04/2024</t>
  </si>
  <si>
    <t xml:space="preserve">2024-08-20</t>
  </si>
  <si>
    <t xml:space="preserve">2024-09-09</t>
  </si>
  <si>
    <t xml:space="preserve">12-Feb-2024</t>
  </si>
  <si>
    <t xml:space="preserve">28-Oct-2024</t>
  </si>
  <si>
    <t xml:space="preserve">24-Nov-2024</t>
  </si>
  <si>
    <t xml:space="preserve">27/08/2024</t>
  </si>
  <si>
    <t xml:space="preserve">05/09/2024</t>
  </si>
  <si>
    <t xml:space="preserve">08/01/2024</t>
  </si>
  <si>
    <t xml:space="preserve">05/02/2024</t>
  </si>
  <si>
    <t xml:space="preserve">02-May-2024</t>
  </si>
  <si>
    <t xml:space="preserve">2024-10-31</t>
  </si>
  <si>
    <t xml:space="preserve">2024-11-25</t>
  </si>
  <si>
    <t xml:space="preserve">09/02/2024</t>
  </si>
  <si>
    <t xml:space="preserve">15/02/2024</t>
  </si>
  <si>
    <t xml:space="preserve">  Festive Gift Bundle  </t>
  </si>
  <si>
    <t xml:space="preserve">31/10/2024</t>
  </si>
  <si>
    <t xml:space="preserve">26/11/2024</t>
  </si>
  <si>
    <t xml:space="preserve">01/08/2024</t>
  </si>
  <si>
    <t xml:space="preserve">08/08/2024</t>
  </si>
  <si>
    <t xml:space="preserve">2024-10-14</t>
  </si>
  <si>
    <t xml:space="preserve">2024-11-03</t>
  </si>
  <si>
    <t xml:space="preserve">18/05/2024</t>
  </si>
  <si>
    <t xml:space="preserve">05/06/2024</t>
  </si>
  <si>
    <t xml:space="preserve">30-Nov-2024</t>
  </si>
  <si>
    <t xml:space="preserve">13-Dec-2024</t>
  </si>
  <si>
    <t xml:space="preserve">SUMMER GLOW LAUNCH</t>
  </si>
  <si>
    <t xml:space="preserve">04/02/2024</t>
  </si>
  <si>
    <t xml:space="preserve">02/03/2024</t>
  </si>
  <si>
    <t xml:space="preserve">05/04/2024</t>
  </si>
  <si>
    <t xml:space="preserve">17/04/2024</t>
  </si>
  <si>
    <t xml:space="preserve">03/11/2024</t>
  </si>
  <si>
    <t xml:space="preserve">29/11/2024</t>
  </si>
  <si>
    <t xml:space="preserve">2024-03-27</t>
  </si>
  <si>
    <t xml:space="preserve">25/09/2024</t>
  </si>
  <si>
    <t xml:space="preserve">24/10/2024</t>
  </si>
  <si>
    <t xml:space="preserve">14/09/2024</t>
  </si>
  <si>
    <t xml:space="preserve">13/10/2024</t>
  </si>
  <si>
    <t xml:space="preserve">13-Aug-2024</t>
  </si>
  <si>
    <t xml:space="preserve">10-Sep-2024</t>
  </si>
  <si>
    <t xml:space="preserve">03-Sep-2024</t>
  </si>
  <si>
    <t xml:space="preserve">29-Sep-2024</t>
  </si>
  <si>
    <t xml:space="preserve">2024-05-10</t>
  </si>
  <si>
    <t xml:space="preserve">2024-06-05</t>
  </si>
  <si>
    <t xml:space="preserve">2024-07-09</t>
  </si>
  <si>
    <t xml:space="preserve">2024-07-28</t>
  </si>
  <si>
    <t xml:space="preserve">04/03/2024</t>
  </si>
  <si>
    <t xml:space="preserve">12-Jun-2024</t>
  </si>
  <si>
    <t xml:space="preserve">04-Jul-2024</t>
  </si>
  <si>
    <t xml:space="preserve">ANTI-AGEING SERUM PUSH</t>
  </si>
  <si>
    <t xml:space="preserve">15/08/2024</t>
  </si>
  <si>
    <t xml:space="preserve">13/09/2024</t>
  </si>
  <si>
    <t xml:space="preserve">  Wedding Season Special  </t>
  </si>
  <si>
    <t xml:space="preserve">17-Sep-2024</t>
  </si>
  <si>
    <t xml:space="preserve">15-Oct-2024</t>
  </si>
  <si>
    <t xml:space="preserve">2024-06-14</t>
  </si>
  <si>
    <t xml:space="preserve">2024-07-12</t>
  </si>
  <si>
    <t xml:space="preserve">22/11/2024</t>
  </si>
  <si>
    <t xml:space="preserve">25/08/2024</t>
  </si>
  <si>
    <t xml:space="preserve">2024-04-24</t>
  </si>
  <si>
    <t xml:space="preserve">2024-04-29</t>
  </si>
  <si>
    <t xml:space="preserve">22/01/2024</t>
  </si>
  <si>
    <t xml:space="preserve">02-Sep-2024</t>
  </si>
  <si>
    <t xml:space="preserve">14-Sep-2024</t>
  </si>
  <si>
    <t xml:space="preserve">facebook</t>
  </si>
  <si>
    <t xml:space="preserve">02/06/2024</t>
  </si>
  <si>
    <t xml:space="preserve">28/06/2024</t>
  </si>
  <si>
    <t xml:space="preserve">14-Apr-2024</t>
  </si>
  <si>
    <t xml:space="preserve">01-Mar-2024</t>
  </si>
  <si>
    <t xml:space="preserve">2024-01-23</t>
  </si>
  <si>
    <t xml:space="preserve">2024-02-06</t>
  </si>
  <si>
    <t xml:space="preserve">29-Mar-2024</t>
  </si>
  <si>
    <t xml:space="preserve">21/10/2024</t>
  </si>
  <si>
    <t xml:space="preserve">2024-06-29</t>
  </si>
  <si>
    <t xml:space="preserve">2024-07-16</t>
  </si>
  <si>
    <t xml:space="preserve">16-May-2024</t>
  </si>
  <si>
    <t xml:space="preserve">18-Jul-2024</t>
  </si>
  <si>
    <t xml:space="preserve">15-Aug-2024</t>
  </si>
  <si>
    <t xml:space="preserve">  Clearance Sale Push  </t>
  </si>
  <si>
    <t xml:space="preserve">29/04/2024</t>
  </si>
  <si>
    <t xml:space="preserve">27/05/2024</t>
  </si>
  <si>
    <t xml:space="preserve">15-Jul-2024</t>
  </si>
  <si>
    <t xml:space="preserve">26-Jul-2024</t>
  </si>
  <si>
    <t xml:space="preserve">18/08/2024</t>
  </si>
  <si>
    <t xml:space="preserve">31/08/2024</t>
  </si>
  <si>
    <t xml:space="preserve">  Summer Glow Launch  </t>
  </si>
  <si>
    <t xml:space="preserve">2024-02-15</t>
  </si>
  <si>
    <t xml:space="preserve">2024-03-15</t>
  </si>
  <si>
    <t xml:space="preserve">CLEARANCE SALE PUSH</t>
  </si>
  <si>
    <t xml:space="preserve">07/05/2024</t>
  </si>
  <si>
    <t xml:space="preserve">23/05/2024</t>
  </si>
  <si>
    <t xml:space="preserve">2024-03-21</t>
  </si>
  <si>
    <t xml:space="preserve">2024-04-09</t>
  </si>
  <si>
    <t xml:space="preserve">24/03/2024</t>
  </si>
  <si>
    <t xml:space="preserve">16/04/2024</t>
  </si>
  <si>
    <t xml:space="preserve">2024-10-04</t>
  </si>
  <si>
    <t xml:space="preserve">2024-10-26</t>
  </si>
  <si>
    <t xml:space="preserve">03/08/2024</t>
  </si>
  <si>
    <t xml:space="preserve">10/08/2024</t>
  </si>
  <si>
    <t xml:space="preserve">30/10/2024</t>
  </si>
  <si>
    <t xml:space="preserve">19/11/2024</t>
  </si>
  <si>
    <t xml:space="preserve">23-Oct-2024</t>
  </si>
  <si>
    <t xml:space="preserve">16-Nov-2024</t>
  </si>
  <si>
    <t xml:space="preserve">2024-11-19</t>
  </si>
  <si>
    <t xml:space="preserve">20/07/2024</t>
  </si>
  <si>
    <t xml:space="preserve">16/08/2024</t>
  </si>
  <si>
    <t xml:space="preserve">01-May-2024</t>
  </si>
  <si>
    <t xml:space="preserve">22-May-2024</t>
  </si>
  <si>
    <t xml:space="preserve">2024-06-08</t>
  </si>
  <si>
    <t xml:space="preserve">2024-06-21</t>
  </si>
  <si>
    <t xml:space="preserve">10-Oct-2024</t>
  </si>
  <si>
    <t xml:space="preserve">04/04/2024</t>
  </si>
  <si>
    <t xml:space="preserve">15/04/2024</t>
  </si>
  <si>
    <t xml:space="preserve">06/07/2024</t>
  </si>
  <si>
    <t xml:space="preserve">21/07/2024</t>
  </si>
  <si>
    <t xml:space="preserve">04/12/2024</t>
  </si>
  <si>
    <t xml:space="preserve">31-Aug-2024</t>
  </si>
  <si>
    <t xml:space="preserve">15-Sep-2024</t>
  </si>
  <si>
    <t xml:space="preserve">  Herbal Range Awareness  </t>
  </si>
  <si>
    <t xml:space="preserve">2024-08-30</t>
  </si>
  <si>
    <t xml:space="preserve">2024-09-08</t>
  </si>
  <si>
    <t xml:space="preserve">BABY CARE TRUST CAMPAIGN</t>
  </si>
  <si>
    <t xml:space="preserve">15/11/2024</t>
  </si>
  <si>
    <t xml:space="preserve">30/11/2024</t>
  </si>
  <si>
    <t xml:space="preserve">09/03/2024</t>
  </si>
  <si>
    <t xml:space="preserve">17-Jun-2024</t>
  </si>
  <si>
    <t xml:space="preserve">10-Jul-2024</t>
  </si>
  <si>
    <t xml:space="preserve">28/08/2024</t>
  </si>
  <si>
    <t xml:space="preserve">2024-03-01</t>
  </si>
  <si>
    <t xml:space="preserve">2024-03-17</t>
  </si>
  <si>
    <t xml:space="preserve">04/09/2024</t>
  </si>
  <si>
    <t xml:space="preserve">02/08/2024</t>
  </si>
  <si>
    <t xml:space="preserve">01/09/2024</t>
  </si>
  <si>
    <t xml:space="preserve">23-Sep-2024</t>
  </si>
  <si>
    <t xml:space="preserve">2024-01-21</t>
  </si>
  <si>
    <t xml:space="preserve">2024-01-28</t>
  </si>
  <si>
    <t xml:space="preserve">05-Mar-2024</t>
  </si>
  <si>
    <t xml:space="preserve">20-Mar-2024</t>
  </si>
  <si>
    <t xml:space="preserve">HAIR CARE REVAMP</t>
  </si>
  <si>
    <t xml:space="preserve">02/09/2024</t>
  </si>
  <si>
    <t xml:space="preserve">07/09/2024</t>
  </si>
  <si>
    <t xml:space="preserve">11-Apr-2024</t>
  </si>
  <si>
    <t xml:space="preserve">2024-10-20</t>
  </si>
  <si>
    <t xml:space="preserve">2024-11-01</t>
  </si>
  <si>
    <t xml:space="preserve">2024-06-20</t>
  </si>
  <si>
    <t xml:space="preserve">2024-07-04</t>
  </si>
  <si>
    <t xml:space="preserve">28-Aug-2024</t>
  </si>
  <si>
    <t xml:space="preserve">11-Sep-2024</t>
  </si>
  <si>
    <t xml:space="preserve">2024-07-20</t>
  </si>
  <si>
    <t xml:space="preserve">2024-07-29</t>
  </si>
  <si>
    <t xml:space="preserve">03-Nov-2024</t>
  </si>
  <si>
    <t xml:space="preserve">12-Nov-2024</t>
  </si>
  <si>
    <t xml:space="preserve">2024-08-07</t>
  </si>
  <si>
    <t xml:space="preserve">  SUMMER GLOW LAUNCH  </t>
  </si>
  <si>
    <t xml:space="preserve">13/06/2024</t>
  </si>
  <si>
    <t xml:space="preserve">12/05/2024</t>
  </si>
  <si>
    <t xml:space="preserve">25/05/2024</t>
  </si>
  <si>
    <t xml:space="preserve">08/03/2024</t>
  </si>
  <si>
    <t xml:space="preserve">25/03/2024</t>
  </si>
  <si>
    <t xml:space="preserve">  Men's Grooming Drive  </t>
  </si>
  <si>
    <t xml:space="preserve">2024-11-11</t>
  </si>
  <si>
    <t xml:space="preserve">27/04/2024</t>
  </si>
  <si>
    <t xml:space="preserve">11/05/2024</t>
  </si>
  <si>
    <t xml:space="preserve">23/08/2024</t>
  </si>
  <si>
    <t xml:space="preserve">03/03/2024</t>
  </si>
  <si>
    <t xml:space="preserve">22/03/2024</t>
  </si>
  <si>
    <t xml:space="preserve">20/08/2024</t>
  </si>
  <si>
    <t xml:space="preserve">  MEN'S GROOMING DRIVE  </t>
  </si>
  <si>
    <t xml:space="preserve">22-Feb-2024</t>
  </si>
  <si>
    <t xml:space="preserve">27-Feb-2024</t>
  </si>
  <si>
    <t xml:space="preserve">09-Nov-2024</t>
  </si>
  <si>
    <t xml:space="preserve">2024-05-13</t>
  </si>
  <si>
    <t xml:space="preserve">2024-06-07</t>
  </si>
  <si>
    <t xml:space="preserve">13/03/2024</t>
  </si>
  <si>
    <t xml:space="preserve">08/04/2024</t>
  </si>
  <si>
    <t xml:space="preserve">02/10/2024</t>
  </si>
  <si>
    <t xml:space="preserve">22/10/2024</t>
  </si>
  <si>
    <t xml:space="preserve">2024-03-20</t>
  </si>
  <si>
    <t xml:space="preserve">2024-04-11</t>
  </si>
  <si>
    <t xml:space="preserve">09/10/2024</t>
  </si>
  <si>
    <t xml:space="preserve">17/10/2024</t>
  </si>
  <si>
    <t xml:space="preserve">11/08/2024</t>
  </si>
  <si>
    <t xml:space="preserve">2024-07-31</t>
  </si>
  <si>
    <t xml:space="preserve">  Back to College Offer  </t>
  </si>
  <si>
    <t xml:space="preserve">12/09/2024</t>
  </si>
  <si>
    <t xml:space="preserve">15-Feb-2024</t>
  </si>
  <si>
    <t xml:space="preserve">23/07/2024</t>
  </si>
  <si>
    <t xml:space="preserve">06/08/2024</t>
  </si>
  <si>
    <t xml:space="preserve">22/08/2024</t>
  </si>
  <si>
    <t xml:space="preserve">2024-06-13</t>
  </si>
  <si>
    <t xml:space="preserve">2024-07-08</t>
  </si>
  <si>
    <t xml:space="preserve">NEW YEAR WELLNESS</t>
  </si>
  <si>
    <t xml:space="preserve">14-Feb-2024</t>
  </si>
  <si>
    <t xml:space="preserve">2024-04-17</t>
  </si>
  <si>
    <t xml:space="preserve">17-Jul-2024</t>
  </si>
  <si>
    <t xml:space="preserve">22-Jul-2024</t>
  </si>
  <si>
    <t xml:space="preserve">  New Year Wellness  </t>
  </si>
  <si>
    <t xml:space="preserve">29/08/2024</t>
  </si>
  <si>
    <t xml:space="preserve">2024-05-06</t>
  </si>
  <si>
    <t xml:space="preserve">2024-06-02</t>
  </si>
  <si>
    <t xml:space="preserve">2024-10-27</t>
  </si>
  <si>
    <t xml:space="preserve">2024-11-04</t>
  </si>
  <si>
    <t xml:space="preserve">2024-04-06</t>
  </si>
  <si>
    <t xml:space="preserve">2024-04-14</t>
  </si>
  <si>
    <t xml:space="preserve">31/05/2024</t>
  </si>
  <si>
    <t xml:space="preserve">25/06/2024</t>
  </si>
  <si>
    <t xml:space="preserve">2024-11-05</t>
  </si>
  <si>
    <t xml:space="preserve">2024-11-23</t>
  </si>
  <si>
    <t xml:space="preserve">2024-05-03</t>
  </si>
  <si>
    <t xml:space="preserve">13-Jan-2024</t>
  </si>
  <si>
    <t xml:space="preserve">01-Feb-2024</t>
  </si>
  <si>
    <t xml:space="preserve">30-Jan-2024</t>
  </si>
  <si>
    <t xml:space="preserve">10/07/2024</t>
  </si>
  <si>
    <t xml:space="preserve">29-Apr-2024</t>
  </si>
  <si>
    <t xml:space="preserve">07-May-2024</t>
  </si>
  <si>
    <t xml:space="preserve">MONSOON SKINCARE PUSH</t>
  </si>
  <si>
    <t xml:space="preserve">20-Jul-2024</t>
  </si>
  <si>
    <t xml:space="preserve">16-Aug-2024</t>
  </si>
  <si>
    <t xml:space="preserve">01/10/2024</t>
  </si>
  <si>
    <t xml:space="preserve">16/10/2024</t>
  </si>
  <si>
    <t xml:space="preserve">26/01/2024</t>
  </si>
  <si>
    <t xml:space="preserve">08/02/2024</t>
  </si>
  <si>
    <t xml:space="preserve">2024-05-19</t>
  </si>
  <si>
    <t xml:space="preserve">17/06/2024</t>
  </si>
  <si>
    <t xml:space="preserve">30/06/2024</t>
  </si>
  <si>
    <t xml:space="preserve">19/08/2024</t>
  </si>
  <si>
    <t xml:space="preserve">14/04/2024</t>
  </si>
  <si>
    <t xml:space="preserve">24/04/2024</t>
  </si>
  <si>
    <t xml:space="preserve">2024-03-30</t>
  </si>
  <si>
    <t xml:space="preserve">16/01/2024</t>
  </si>
  <si>
    <t xml:space="preserve">07/02/2024</t>
  </si>
  <si>
    <t xml:space="preserve">02/01/2024</t>
  </si>
  <si>
    <t xml:space="preserve">17/01/2024</t>
  </si>
  <si>
    <t xml:space="preserve">2024-10-11</t>
  </si>
  <si>
    <t xml:space="preserve">12-Jul-2024</t>
  </si>
  <si>
    <t xml:space="preserve">27-Jul-2024</t>
  </si>
  <si>
    <t xml:space="preserve">2024-05-28</t>
  </si>
  <si>
    <t xml:space="preserve">2024-08-16</t>
  </si>
  <si>
    <t xml:space="preserve">2024-09-01</t>
  </si>
  <si>
    <t xml:space="preserve">28-Jul-2024</t>
  </si>
  <si>
    <t xml:space="preserve">24-Aug-2024</t>
  </si>
  <si>
    <t xml:space="preserve">04-Dec-2024</t>
  </si>
  <si>
    <t xml:space="preserve">21/05/2024</t>
  </si>
  <si>
    <t xml:space="preserve">30/05/2024</t>
  </si>
  <si>
    <t xml:space="preserve">2024-07-27</t>
  </si>
  <si>
    <t xml:space="preserve">2024-08-23</t>
  </si>
  <si>
    <t xml:space="preserve">2024-04-22</t>
  </si>
  <si>
    <t xml:space="preserve">08-Jul-2024</t>
  </si>
  <si>
    <t xml:space="preserve">31-Jul-2024</t>
  </si>
  <si>
    <t xml:space="preserve">22/02/2024</t>
  </si>
  <si>
    <t xml:space="preserve">10/11/2024</t>
  </si>
  <si>
    <t xml:space="preserve">18/11/2024</t>
  </si>
  <si>
    <t xml:space="preserve">05/05/2024</t>
  </si>
  <si>
    <t xml:space="preserve">22-Mar-2024</t>
  </si>
  <si>
    <t xml:space="preserve">15-Apr-2024</t>
  </si>
  <si>
    <t xml:space="preserve">05-Jul-2024</t>
  </si>
  <si>
    <t xml:space="preserve">12/04/2024</t>
  </si>
  <si>
    <t xml:space="preserve">2024-02-01</t>
  </si>
  <si>
    <t xml:space="preserve">2024-02-26</t>
  </si>
  <si>
    <t xml:space="preserve">  SUNSCREEN SEASON CAMPAIGN  </t>
  </si>
  <si>
    <t xml:space="preserve">2024-11-02</t>
  </si>
  <si>
    <t xml:space="preserve">  FESTIVE GIFT BUNDLE  </t>
  </si>
  <si>
    <t xml:space="preserve">2024-10-03</t>
  </si>
  <si>
    <t xml:space="preserve">2024-10-28</t>
  </si>
  <si>
    <t xml:space="preserve">27-Oct-2024</t>
  </si>
  <si>
    <t xml:space="preserve">18-Nov-2024</t>
  </si>
  <si>
    <t xml:space="preserve">18-Mar-2024</t>
  </si>
  <si>
    <t xml:space="preserve">05-Apr-2024</t>
  </si>
  <si>
    <t xml:space="preserve">21-Mar-2024</t>
  </si>
  <si>
    <t xml:space="preserve">22/12/2024</t>
  </si>
  <si>
    <t xml:space="preserve">30/04/2024</t>
  </si>
  <si>
    <t xml:space="preserve">30/07/2024</t>
  </si>
  <si>
    <t xml:space="preserve">2024-06-09</t>
  </si>
  <si>
    <t xml:space="preserve">2024-06-17</t>
  </si>
  <si>
    <t xml:space="preserve">2024-08-06</t>
  </si>
  <si>
    <t xml:space="preserve">2024-08-13</t>
  </si>
  <si>
    <t xml:space="preserve">30-Mar-2024</t>
  </si>
  <si>
    <t xml:space="preserve">15-Jun-2024</t>
  </si>
  <si>
    <t xml:space="preserve">27-Jun-2024</t>
  </si>
  <si>
    <t xml:space="preserve">2024-12-12</t>
  </si>
  <si>
    <t xml:space="preserve">2024-05-07</t>
  </si>
  <si>
    <t xml:space="preserve">2024-06-06</t>
  </si>
  <si>
    <t xml:space="preserve">2024-10-22</t>
  </si>
  <si>
    <t xml:space="preserve">2024-11-21</t>
  </si>
  <si>
    <t xml:space="preserve">20/05/2024</t>
  </si>
  <si>
    <t xml:space="preserve">14/06/2024</t>
  </si>
  <si>
    <t xml:space="preserve">01/07/2024</t>
  </si>
  <si>
    <t xml:space="preserve">31/07/2024</t>
  </si>
  <si>
    <t xml:space="preserve">2024-04-25</t>
  </si>
  <si>
    <t xml:space="preserve">2024-05-22</t>
  </si>
  <si>
    <t xml:space="preserve">2024-03-07</t>
  </si>
  <si>
    <t xml:space="preserve">2024-10-09</t>
  </si>
  <si>
    <t xml:space="preserve">2024-10-17</t>
  </si>
  <si>
    <t xml:space="preserve">2024-03-02</t>
  </si>
  <si>
    <t xml:space="preserve">2024-04-20</t>
  </si>
  <si>
    <t xml:space="preserve">2024-05-14</t>
  </si>
  <si>
    <t xml:space="preserve">20/02/2024</t>
  </si>
  <si>
    <t xml:space="preserve">17/03/2024</t>
  </si>
  <si>
    <t xml:space="preserve">29/09/2024</t>
  </si>
  <si>
    <t xml:space="preserve">11/06/2024</t>
  </si>
  <si>
    <t xml:space="preserve">04/07/2024</t>
  </si>
  <si>
    <t xml:space="preserve">16/02/2024</t>
  </si>
  <si>
    <t xml:space="preserve">19/03/2024</t>
  </si>
  <si>
    <t xml:space="preserve">08-Dec-2024</t>
  </si>
  <si>
    <t xml:space="preserve">03/09/2024</t>
  </si>
  <si>
    <t xml:space="preserve">02/07/2024</t>
  </si>
  <si>
    <t xml:space="preserve">26/07/2024</t>
  </si>
  <si>
    <t xml:space="preserve">20-Apr-2024</t>
  </si>
  <si>
    <t xml:space="preserve">20-May-2024</t>
  </si>
  <si>
    <t xml:space="preserve">2024-07-02</t>
  </si>
  <si>
    <t xml:space="preserve">15/03/2024</t>
  </si>
  <si>
    <t xml:space="preserve">10/04/2024</t>
  </si>
  <si>
    <t xml:space="preserve">01/11/2024</t>
  </si>
  <si>
    <t xml:space="preserve">13/11/2024</t>
  </si>
  <si>
    <t xml:space="preserve">2024-01-14</t>
  </si>
  <si>
    <t xml:space="preserve">2024-02-08</t>
  </si>
  <si>
    <t xml:space="preserve">2024-01-03</t>
  </si>
  <si>
    <t xml:space="preserve">2024-01-18</t>
  </si>
  <si>
    <t xml:space="preserve">08/10/2024</t>
  </si>
  <si>
    <t xml:space="preserve">11-Jun-2024</t>
  </si>
  <si>
    <t xml:space="preserve">18-Jan-2024</t>
  </si>
  <si>
    <t xml:space="preserve">31-Jan-2024</t>
  </si>
  <si>
    <t xml:space="preserve">24-Feb-2024</t>
  </si>
  <si>
    <t xml:space="preserve">07-Mar-2024</t>
  </si>
  <si>
    <t xml:space="preserve">19-Oct-2024</t>
  </si>
  <si>
    <t xml:space="preserve">18-Sep-2024</t>
  </si>
  <si>
    <t xml:space="preserve">01-Oct-2024</t>
  </si>
  <si>
    <t xml:space="preserve">20-Feb-2024</t>
  </si>
  <si>
    <t xml:space="preserve">04-Mar-2024</t>
  </si>
  <si>
    <t xml:space="preserve">2024-10-19</t>
  </si>
  <si>
    <t xml:space="preserve">2024-11-12</t>
  </si>
  <si>
    <t xml:space="preserve">2024-02-19</t>
  </si>
  <si>
    <t xml:space="preserve">2024-03-06</t>
  </si>
  <si>
    <t xml:space="preserve">24/11/2024</t>
  </si>
  <si>
    <t xml:space="preserve">20/12/2024</t>
  </si>
  <si>
    <t xml:space="preserve">06/05/2024</t>
  </si>
  <si>
    <t xml:space="preserve">19/05/2024</t>
  </si>
  <si>
    <t xml:space="preserve">16-Sep-2024</t>
  </si>
  <si>
    <t xml:space="preserve">2024-02-07</t>
  </si>
  <si>
    <t xml:space="preserve">2024-08-25</t>
  </si>
  <si>
    <t xml:space="preserve">2024-09-02</t>
  </si>
  <si>
    <t xml:space="preserve">06-Mar-2024</t>
  </si>
  <si>
    <t xml:space="preserve">16-Mar-2024</t>
  </si>
  <si>
    <t xml:space="preserve">2024-10-05</t>
  </si>
  <si>
    <t xml:space="preserve">16-Jun-2024</t>
  </si>
  <si>
    <t xml:space="preserve">09/06/2024</t>
  </si>
  <si>
    <t xml:space="preserve">27/06/2024</t>
  </si>
  <si>
    <t xml:space="preserve">27-Apr-2024</t>
  </si>
  <si>
    <t xml:space="preserve">04-Nov-2024</t>
  </si>
  <si>
    <t xml:space="preserve">  BACK TO COLLEGE OFFER  </t>
  </si>
  <si>
    <t xml:space="preserve">28/09/2024</t>
  </si>
  <si>
    <t xml:space="preserve">INFLUENCER COLLAB - SKINCARE</t>
  </si>
  <si>
    <t xml:space="preserve">16-Apr-2024</t>
  </si>
  <si>
    <t xml:space="preserve">12-May-2024</t>
  </si>
  <si>
    <t xml:space="preserve">2024-02-21</t>
  </si>
  <si>
    <t xml:space="preserve">07-Aug-2024</t>
  </si>
  <si>
    <t xml:space="preserve">12-Aug-2024</t>
  </si>
  <si>
    <t xml:space="preserve">2024-08-15</t>
  </si>
  <si>
    <t xml:space="preserve">2024-09-13</t>
  </si>
  <si>
    <t xml:space="preserve">2024-01-29</t>
  </si>
  <si>
    <t xml:space="preserve">2024-01-31</t>
  </si>
  <si>
    <t xml:space="preserve">2024-02-10</t>
  </si>
  <si>
    <t xml:space="preserve">24/07/2024</t>
  </si>
  <si>
    <t xml:space="preserve">27-Mar-2024</t>
  </si>
  <si>
    <t xml:space="preserve">03/01/2024</t>
  </si>
  <si>
    <t xml:space="preserve">2024-03-12</t>
  </si>
  <si>
    <t xml:space="preserve">03-Oct-2024</t>
  </si>
  <si>
    <t xml:space="preserve">2024-08-10</t>
  </si>
  <si>
    <t xml:space="preserve">2024-04-04</t>
  </si>
  <si>
    <t xml:space="preserve">2024-05-04</t>
  </si>
  <si>
    <t xml:space="preserve">26-Nov-2024</t>
  </si>
  <si>
    <t xml:space="preserve">21-Dec-2024</t>
  </si>
  <si>
    <t xml:space="preserve">2024-07-06</t>
  </si>
  <si>
    <t xml:space="preserve">2024-02-13</t>
  </si>
  <si>
    <t xml:space="preserve">2024-02-27</t>
  </si>
  <si>
    <t xml:space="preserve">18-May-2024</t>
  </si>
  <si>
    <t xml:space="preserve">31-May-2024</t>
  </si>
  <si>
    <t xml:space="preserve">15-Nov-2024</t>
  </si>
  <si>
    <t xml:space="preserve">23/06/2024</t>
  </si>
  <si>
    <t xml:space="preserve">2024-11-29</t>
  </si>
  <si>
    <t xml:space="preserve">2024-12-22</t>
  </si>
  <si>
    <t xml:space="preserve">21/06/2024</t>
  </si>
  <si>
    <t xml:space="preserve">12-Oct-2024</t>
  </si>
  <si>
    <t xml:space="preserve">18-Oct-2024</t>
  </si>
  <si>
    <t xml:space="preserve">27-Aug-2024</t>
  </si>
  <si>
    <t xml:space="preserve">26-Sep-2024</t>
  </si>
  <si>
    <t xml:space="preserve">13-Apr-2024</t>
  </si>
  <si>
    <t xml:space="preserve">2024-03-28</t>
  </si>
  <si>
    <t xml:space="preserve">30-Jun-2024</t>
  </si>
  <si>
    <t xml:space="preserve">24-Jul-2024</t>
  </si>
  <si>
    <t xml:space="preserve">2024-06-24</t>
  </si>
  <si>
    <t xml:space="preserve">2024-04-27</t>
  </si>
  <si>
    <t xml:space="preserve">09-Jan-2024</t>
  </si>
  <si>
    <t xml:space="preserve">02-Feb-2024</t>
  </si>
  <si>
    <t xml:space="preserve">26/10/2024</t>
  </si>
  <si>
    <t xml:space="preserve">24/09/2024</t>
  </si>
  <si>
    <t xml:space="preserve">18/10/2024</t>
  </si>
  <si>
    <t xml:space="preserve">01/03/2024</t>
  </si>
  <si>
    <t xml:space="preserve">2024-12-01</t>
  </si>
  <si>
    <t xml:space="preserve">19-Feb-2024</t>
  </si>
  <si>
    <t xml:space="preserve">04-Jun-2024</t>
  </si>
  <si>
    <t xml:space="preserve">18-Jun-2024</t>
  </si>
  <si>
    <t xml:space="preserve">26/02/2024</t>
  </si>
  <si>
    <t xml:space="preserve">2024-11-16</t>
  </si>
  <si>
    <t xml:space="preserve">12-Sep-2024</t>
  </si>
  <si>
    <t xml:space="preserve">2024-09-06</t>
  </si>
  <si>
    <t xml:space="preserve">2024-09-18</t>
  </si>
  <si>
    <t xml:space="preserve">28/05/2024</t>
  </si>
  <si>
    <t xml:space="preserve">28/07/2024</t>
  </si>
  <si>
    <t xml:space="preserve">2024-11-07</t>
  </si>
  <si>
    <t xml:space="preserve">2024-07-30</t>
  </si>
  <si>
    <t xml:space="preserve">2024-04-07</t>
  </si>
  <si>
    <t xml:space="preserve">  HAIR CARE REVAMP  </t>
  </si>
  <si>
    <t xml:space="preserve">19-Nov-2024</t>
  </si>
  <si>
    <t xml:space="preserve">2024-04-12</t>
  </si>
  <si>
    <t xml:space="preserve">12/07/2024</t>
  </si>
  <si>
    <t xml:space="preserve">19-Jan-2024</t>
  </si>
  <si>
    <t xml:space="preserve">08-Feb-2024</t>
  </si>
  <si>
    <t xml:space="preserve">24/08/2024</t>
  </si>
  <si>
    <t xml:space="preserve">08/09/2024</t>
  </si>
  <si>
    <t xml:space="preserve">2024-06-28</t>
  </si>
  <si>
    <t xml:space="preserve">23-Jun-2024</t>
  </si>
  <si>
    <t xml:space="preserve">06-Jul-2024</t>
  </si>
  <si>
    <t xml:space="preserve">2024-01-12</t>
  </si>
  <si>
    <t xml:space="preserve">13/08/2024</t>
  </si>
  <si>
    <t xml:space="preserve">26/03/2024</t>
  </si>
  <si>
    <t xml:space="preserve">02/04/2024</t>
  </si>
  <si>
    <t xml:space="preserve">17/02/2024</t>
  </si>
  <si>
    <t xml:space="preserve">03/10/2024</t>
  </si>
  <si>
    <t xml:space="preserve">15/10/2024</t>
  </si>
  <si>
    <t xml:space="preserve">2024-11-14</t>
  </si>
  <si>
    <t xml:space="preserve">2024-12-04</t>
  </si>
  <si>
    <t xml:space="preserve">2024-11-28</t>
  </si>
  <si>
    <t xml:space="preserve">07/03/2024</t>
  </si>
  <si>
    <t xml:space="preserve">27/03/2024</t>
  </si>
  <si>
    <t xml:space="preserve">19/10/2024</t>
  </si>
  <si>
    <t xml:space="preserve">05/11/2024</t>
  </si>
  <si>
    <t xml:space="preserve">2024-06-26</t>
  </si>
  <si>
    <t xml:space="preserve">2024-07-15</t>
  </si>
  <si>
    <t xml:space="preserve">2024-08-11</t>
  </si>
  <si>
    <t xml:space="preserve">06-Oct-2024</t>
  </si>
  <si>
    <t xml:space="preserve">21-Oct-2024</t>
  </si>
  <si>
    <t xml:space="preserve">10-Nov-2024</t>
  </si>
  <si>
    <t xml:space="preserve">11-Oct-2024</t>
  </si>
  <si>
    <t xml:space="preserve">2024-09-03</t>
  </si>
  <si>
    <t xml:space="preserve">2024-09-10</t>
  </si>
  <si>
    <t xml:space="preserve">05-May-2024</t>
  </si>
  <si>
    <t xml:space="preserve">02-Jun-2024</t>
  </si>
  <si>
    <t xml:space="preserve">18/03/2024</t>
  </si>
  <si>
    <t xml:space="preserve">2024-05-17</t>
  </si>
  <si>
    <t xml:space="preserve">2024-05-23</t>
  </si>
  <si>
    <t xml:space="preserve">2024-04-28</t>
  </si>
  <si>
    <t xml:space="preserve">25-Jul-2024</t>
  </si>
  <si>
    <t xml:space="preserve">23-Aug-2024</t>
  </si>
  <si>
    <t xml:space="preserve">13-Feb-2024</t>
  </si>
  <si>
    <t xml:space="preserve">30-Aug-2024</t>
  </si>
  <si>
    <t xml:space="preserve">2024-07-18</t>
  </si>
  <si>
    <t xml:space="preserve">15-Jan-2024</t>
  </si>
  <si>
    <t xml:space="preserve">26-Jan-2024</t>
  </si>
  <si>
    <t xml:space="preserve">2024-10-15</t>
  </si>
  <si>
    <t xml:space="preserve">21-Feb-2024</t>
  </si>
  <si>
    <t xml:space="preserve">03-Mar-2024</t>
  </si>
  <si>
    <t xml:space="preserve">26/08/2024</t>
  </si>
  <si>
    <t xml:space="preserve">21/09/2024</t>
  </si>
  <si>
    <t xml:space="preserve">2024-01-13</t>
  </si>
  <si>
    <t xml:space="preserve">05-Nov-2024</t>
  </si>
  <si>
    <t xml:space="preserve">21/01/2024</t>
  </si>
  <si>
    <t xml:space="preserve">13-Sep-2024</t>
  </si>
  <si>
    <t xml:space="preserve">02-Oct-2024</t>
  </si>
  <si>
    <t xml:space="preserve">23-Feb-2024</t>
  </si>
  <si>
    <t xml:space="preserve">07-Oct-2024</t>
  </si>
  <si>
    <t xml:space="preserve">17/09/2024</t>
  </si>
  <si>
    <t xml:space="preserve">13/12/2024</t>
  </si>
  <si>
    <t xml:space="preserve">01-Jun-2024</t>
  </si>
  <si>
    <t xml:space="preserve">05/03/2024</t>
  </si>
  <si>
    <t xml:space="preserve">11/03/2024</t>
  </si>
  <si>
    <t xml:space="preserve">2024-06-15</t>
  </si>
  <si>
    <t xml:space="preserve">20/10/2024</t>
  </si>
  <si>
    <t xml:space="preserve">29/10/2024</t>
  </si>
  <si>
    <t xml:space="preserve">2024-02-18</t>
  </si>
  <si>
    <t xml:space="preserve">2024-02-24</t>
  </si>
  <si>
    <t xml:space="preserve">2024-01-09</t>
  </si>
  <si>
    <t xml:space="preserve">07-Sep-2024</t>
  </si>
  <si>
    <t xml:space="preserve">2024-04-30</t>
  </si>
  <si>
    <t xml:space="preserve">2024-09-14</t>
  </si>
  <si>
    <t xml:space="preserve">2024-09-30</t>
  </si>
  <si>
    <t xml:space="preserve">2024-11-26</t>
  </si>
  <si>
    <t xml:space="preserve">2024-12-11</t>
  </si>
  <si>
    <t xml:space="preserve">2024-08-08</t>
  </si>
  <si>
    <t xml:space="preserve">2024-08-29</t>
  </si>
  <si>
    <t xml:space="preserve">23-Mar-2024</t>
  </si>
  <si>
    <t xml:space="preserve">07-Apr-2024</t>
  </si>
  <si>
    <t xml:space="preserve">22/04/2024</t>
  </si>
  <si>
    <t xml:space="preserve">17/05/2024</t>
  </si>
  <si>
    <t xml:space="preserve">06/06/2024</t>
  </si>
  <si>
    <t xml:space="preserve">26/05/2024</t>
  </si>
  <si>
    <t xml:space="preserve">03/06/2024</t>
  </si>
  <si>
    <t xml:space="preserve">01-Jan-2024</t>
  </si>
  <si>
    <t xml:space="preserve">15-May-2024</t>
  </si>
  <si>
    <t xml:space="preserve">29-Oct-2024</t>
  </si>
  <si>
    <t xml:space="preserve">26-Oct-2024</t>
  </si>
  <si>
    <t xml:space="preserve">2024-03-08</t>
  </si>
  <si>
    <t xml:space="preserve">2024-06-03</t>
  </si>
  <si>
    <t xml:space="preserve">2024-09-17</t>
  </si>
  <si>
    <t xml:space="preserve">04/01/2024</t>
  </si>
  <si>
    <t xml:space="preserve">20/01/2024</t>
  </si>
  <si>
    <t xml:space="preserve">24-Jun-2024</t>
  </si>
  <si>
    <t xml:space="preserve">27/11/2024</t>
  </si>
  <si>
    <t xml:space="preserve">08/12/2024</t>
  </si>
  <si>
    <t xml:space="preserve">05-Sep-2024</t>
  </si>
  <si>
    <t xml:space="preserve">2024-05-15</t>
  </si>
  <si>
    <t xml:space="preserve">2024-10-12</t>
  </si>
  <si>
    <t xml:space="preserve">18/02/2024</t>
  </si>
  <si>
    <t xml:space="preserve">20-Sep-2024</t>
  </si>
  <si>
    <t xml:space="preserve">08-Oct-2024</t>
  </si>
  <si>
    <t xml:space="preserve">10/03/2024</t>
  </si>
  <si>
    <t xml:space="preserve">10-May-2024</t>
  </si>
  <si>
    <t xml:space="preserve">01/02/2024</t>
  </si>
  <si>
    <t xml:space="preserve">28/02/2024</t>
  </si>
  <si>
    <t xml:space="preserve">06/10/2024</t>
  </si>
  <si>
    <t xml:space="preserve">07/01/2024</t>
  </si>
  <si>
    <t xml:space="preserve">31/01/2024</t>
  </si>
  <si>
    <t xml:space="preserve">2024-05-05</t>
  </si>
  <si>
    <t xml:space="preserve">2024-12-08</t>
  </si>
  <si>
    <t xml:space="preserve">11/11/2024</t>
  </si>
  <si>
    <t xml:space="preserve">2024-02-17</t>
  </si>
  <si>
    <t xml:space="preserve">09/11/2024</t>
  </si>
  <si>
    <t xml:space="preserve">15/01/2024</t>
  </si>
  <si>
    <t xml:space="preserve">16/03/2024</t>
  </si>
  <si>
    <t xml:space="preserve">11-Nov-2024</t>
  </si>
  <si>
    <t xml:space="preserve">2024-01-20</t>
  </si>
  <si>
    <t xml:space="preserve">17-Apr-2024</t>
  </si>
  <si>
    <t xml:space="preserve">11-May-2024</t>
  </si>
  <si>
    <t xml:space="preserve">2024-07-25</t>
  </si>
  <si>
    <t xml:space="preserve">2024-08-12</t>
  </si>
  <si>
    <t xml:space="preserve">2024-12-10</t>
  </si>
  <si>
    <t xml:space="preserve">2024-08-28</t>
  </si>
  <si>
    <t xml:space="preserve">2024-09-24</t>
  </si>
  <si>
    <t xml:space="preserve">2024-10-10</t>
  </si>
  <si>
    <t xml:space="preserve">30-Sep-2024</t>
  </si>
  <si>
    <t xml:space="preserve">2024-03-22</t>
  </si>
  <si>
    <t xml:space="preserve">02-Mar-2024</t>
  </si>
  <si>
    <t xml:space="preserve">29-Jul-2024</t>
  </si>
  <si>
    <t xml:space="preserve">07/11/2024</t>
  </si>
  <si>
    <t xml:space="preserve">13-Jul-2024</t>
  </si>
  <si>
    <t xml:space="preserve">2024-11-27</t>
  </si>
  <si>
    <t xml:space="preserve">2024-12-06</t>
  </si>
  <si>
    <t xml:space="preserve">05-Jun-2024</t>
  </si>
  <si>
    <t xml:space="preserve">  HERBAL RANGE AWARENESS  </t>
  </si>
  <si>
    <t xml:space="preserve">25-Apr-2024</t>
  </si>
  <si>
    <t xml:space="preserve">12/08/2024</t>
  </si>
  <si>
    <t xml:space="preserve">17-May-2024</t>
  </si>
  <si>
    <t xml:space="preserve">29-May-2024</t>
  </si>
  <si>
    <t xml:space="preserve">2024-07-17</t>
  </si>
  <si>
    <t xml:space="preserve">14-Jul-2024</t>
  </si>
  <si>
    <t xml:space="preserve">28-Apr-2024</t>
  </si>
  <si>
    <t xml:space="preserve">29/05/2024</t>
  </si>
  <si>
    <t xml:space="preserve">2024-08-17</t>
  </si>
  <si>
    <t xml:space="preserve">2024-09-16</t>
  </si>
  <si>
    <t xml:space="preserve">25/07/2024</t>
  </si>
  <si>
    <t xml:space="preserve">2024-07-24</t>
  </si>
  <si>
    <t xml:space="preserve">02-Nov-2024</t>
  </si>
  <si>
    <t xml:space="preserve">25-Nov-2024</t>
  </si>
  <si>
    <t xml:space="preserve">19-Jun-2024</t>
  </si>
  <si>
    <t xml:space="preserve">23-Jan-2024</t>
  </si>
  <si>
    <t xml:space="preserve">07-Dec-2024</t>
  </si>
  <si>
    <t xml:space="preserve">04-Feb-2024</t>
  </si>
  <si>
    <t xml:space="preserve">03-Feb-2024</t>
  </si>
  <si>
    <t xml:space="preserve">29/12/2024</t>
  </si>
  <si>
    <t xml:space="preserve">10/02/2024</t>
  </si>
  <si>
    <t xml:space="preserve">05/10/2024</t>
  </si>
  <si>
    <t xml:space="preserve">10/05/2024</t>
  </si>
  <si>
    <t xml:space="preserve">02-Aug-2024</t>
  </si>
  <si>
    <t xml:space="preserve">09/01/2024</t>
  </si>
  <si>
    <t xml:space="preserve">25/02/2024</t>
  </si>
  <si>
    <t xml:space="preserve">2024-01-30</t>
  </si>
  <si>
    <t xml:space="preserve">2024-10-23</t>
  </si>
  <si>
    <t xml:space="preserve">12/02/2024</t>
  </si>
  <si>
    <t xml:space="preserve">21/04/2024</t>
  </si>
  <si>
    <t xml:space="preserve">12/03/2024</t>
  </si>
  <si>
    <t xml:space="preserve">2024-08-04</t>
  </si>
  <si>
    <t xml:space="preserve">21-Nov-2024</t>
  </si>
  <si>
    <t xml:space="preserve">2024-09-28</t>
  </si>
  <si>
    <t xml:space="preserve">2024-01-27</t>
  </si>
  <si>
    <t xml:space="preserve">2024-02-20</t>
  </si>
  <si>
    <t xml:space="preserve">29-Aug-2024</t>
  </si>
  <si>
    <t xml:space="preserve">2024-08-26</t>
  </si>
  <si>
    <t xml:space="preserve">21-May-2024</t>
  </si>
  <si>
    <t xml:space="preserve">04-Apr-2024</t>
  </si>
  <si>
    <t xml:space="preserve">09-Dec-2024</t>
  </si>
  <si>
    <t xml:space="preserve">2024-05-16</t>
  </si>
  <si>
    <t xml:space="preserve">01-Nov-2024</t>
  </si>
  <si>
    <t xml:space="preserve">21-Sep-2024</t>
  </si>
  <si>
    <t xml:space="preserve">2024-05-20</t>
  </si>
  <si>
    <t xml:space="preserve">2024-01-19</t>
  </si>
  <si>
    <t xml:space="preserve">28-Nov-2024</t>
  </si>
  <si>
    <t xml:space="preserve">2024-12-05</t>
  </si>
  <si>
    <t xml:space="preserve">2024-05-09</t>
  </si>
  <si>
    <t xml:space="preserve">2024-05-29</t>
  </si>
  <si>
    <t xml:space="preserve">09/09/2024</t>
  </si>
  <si>
    <t xml:space="preserve">04-Jan-2024</t>
  </si>
  <si>
    <t xml:space="preserve">30-Oct-2024</t>
  </si>
  <si>
    <t xml:space="preserve">23-Apr-2024</t>
  </si>
  <si>
    <t xml:space="preserve">17/08/2024</t>
  </si>
  <si>
    <t xml:space="preserve">22/05/2024</t>
  </si>
  <si>
    <t xml:space="preserve">2024-06-12</t>
  </si>
  <si>
    <t xml:space="preserve">12-Mar-2024</t>
  </si>
  <si>
    <t xml:space="preserve">2024-05-18</t>
  </si>
  <si>
    <t xml:space="preserve">11-Jul-2024</t>
  </si>
  <si>
    <t xml:space="preserve">16/11/2024</t>
  </si>
  <si>
    <t xml:space="preserve">06/02/2024</t>
  </si>
  <si>
    <t xml:space="preserve">11-Jan-2024</t>
  </si>
  <si>
    <t xml:space="preserve">28-Jan-2024</t>
  </si>
  <si>
    <t xml:space="preserve">28-May-2024</t>
  </si>
  <si>
    <t xml:space="preserve">16-Oct-2024</t>
  </si>
  <si>
    <t xml:space="preserve">21/08/2024</t>
  </si>
  <si>
    <t xml:space="preserve">11/02/2024</t>
  </si>
  <si>
    <t xml:space="preserve">21/02/2024</t>
  </si>
  <si>
    <t xml:space="preserve">22/06/2024</t>
  </si>
  <si>
    <t xml:space="preserve">08/07/2024</t>
  </si>
  <si>
    <t xml:space="preserve">2024-06-01</t>
  </si>
  <si>
    <t xml:space="preserve">13/02/2024</t>
  </si>
  <si>
    <t xml:space="preserve">17-Feb-2024</t>
  </si>
  <si>
    <t xml:space="preserve">20-Nov-2024</t>
  </si>
  <si>
    <t xml:space="preserve">2024-02-23</t>
  </si>
  <si>
    <t xml:space="preserve">2024-03-05</t>
  </si>
  <si>
    <t xml:space="preserve">26-Mar-2024</t>
  </si>
  <si>
    <t xml:space="preserve">2024-02-02</t>
  </si>
  <si>
    <t xml:space="preserve">17-Oct-2024</t>
  </si>
  <si>
    <t xml:space="preserve">19/09/2024</t>
  </si>
  <si>
    <t xml:space="preserve">22-Jun-2024</t>
  </si>
  <si>
    <t xml:space="preserve">12-Dec-2024</t>
  </si>
  <si>
    <t xml:space="preserve">01-Apr-2024</t>
  </si>
  <si>
    <t xml:space="preserve">18-Apr-2024</t>
  </si>
  <si>
    <t xml:space="preserve">07/06/2024</t>
  </si>
  <si>
    <t xml:space="preserve">2024-06-23</t>
  </si>
  <si>
    <t xml:space="preserve">24/05/2024</t>
  </si>
  <si>
    <t xml:space="preserve">01/06/2024</t>
  </si>
  <si>
    <t xml:space="preserve">29/03/2024</t>
  </si>
  <si>
    <t xml:space="preserve">18/04/2024</t>
  </si>
  <si>
    <t xml:space="preserve">28/04/2024</t>
  </si>
  <si>
    <t xml:space="preserve">2024-07-01</t>
  </si>
  <si>
    <t xml:space="preserve">04/06/2024</t>
  </si>
  <si>
    <t xml:space="preserve">08/11/2024</t>
  </si>
  <si>
    <t xml:space="preserve">2024-05-26</t>
  </si>
  <si>
    <t xml:space="preserve">2024-07-10</t>
  </si>
  <si>
    <t xml:space="preserve">2024-07-21</t>
  </si>
  <si>
    <t xml:space="preserve">11/12/2024</t>
  </si>
  <si>
    <t xml:space="preserve">2024-10-06</t>
  </si>
  <si>
    <t xml:space="preserve">2024-08-24</t>
  </si>
  <si>
    <t xml:space="preserve">2024-09-25</t>
  </si>
  <si>
    <t xml:space="preserve">25-Jun-2024</t>
  </si>
  <si>
    <t xml:space="preserve">03-Jul-2024</t>
  </si>
  <si>
    <t xml:space="preserve">30/08/2024</t>
  </si>
  <si>
    <t xml:space="preserve">28-Feb-2024</t>
  </si>
  <si>
    <t xml:space="preserve">19-Mar-2024</t>
  </si>
  <si>
    <t xml:space="preserve">04/10/2024</t>
  </si>
  <si>
    <t xml:space="preserve">24-May-2024</t>
  </si>
  <si>
    <t xml:space="preserve">2024-03-13</t>
  </si>
  <si>
    <t xml:space="preserve">2024-03-25</t>
  </si>
  <si>
    <t xml:space="preserve">2024-04-26</t>
  </si>
  <si>
    <t xml:space="preserve">06-Nov-2024</t>
  </si>
  <si>
    <t xml:space="preserve">22-Apr-2024</t>
  </si>
  <si>
    <t xml:space="preserve">2024-03-19</t>
  </si>
  <si>
    <t xml:space="preserve">2024-02-22</t>
  </si>
  <si>
    <t xml:space="preserve">2024-03-10</t>
  </si>
  <si>
    <t xml:space="preserve">2024-04-15</t>
  </si>
  <si>
    <t xml:space="preserve">2024-05-11</t>
  </si>
  <si>
    <t xml:space="preserve">2024-11-13</t>
  </si>
  <si>
    <t xml:space="preserve">22-Sep-2024</t>
  </si>
  <si>
    <t xml:space="preserve">08-Aug-2024</t>
  </si>
  <si>
    <t xml:space="preserve">2024-05-27</t>
  </si>
  <si>
    <t xml:space="preserve">2024-06-18</t>
  </si>
  <si>
    <t xml:space="preserve">2024-09-19</t>
  </si>
  <si>
    <t xml:space="preserve">02-Apr-2024</t>
  </si>
  <si>
    <t xml:space="preserve">24/06/2024</t>
  </si>
  <si>
    <t xml:space="preserve">2024-01-15</t>
  </si>
  <si>
    <t xml:space="preserve">09-Jun-2024</t>
  </si>
  <si>
    <t xml:space="preserve">2024-07-11</t>
  </si>
  <si>
    <t xml:space="preserve">10-Apr-2024</t>
  </si>
  <si>
    <t xml:space="preserve">19/12/2024</t>
  </si>
  <si>
    <t xml:space="preserve">14/12/2024</t>
  </si>
  <si>
    <t xml:space="preserve">03/02/2024</t>
  </si>
  <si>
    <t xml:space="preserve">06-Apr-2024</t>
  </si>
  <si>
    <t xml:space="preserve">15-Dec-2024</t>
  </si>
  <si>
    <t xml:space="preserve">15/07/2024</t>
  </si>
  <si>
    <t xml:space="preserve">02-Jul-2024</t>
  </si>
  <si>
    <t xml:space="preserve">2024-04-21</t>
  </si>
  <si>
    <t xml:space="preserve">27/02/2024</t>
  </si>
  <si>
    <t xml:space="preserve">2024-03-29</t>
  </si>
  <si>
    <t xml:space="preserve">2024-10-21</t>
  </si>
  <si>
    <t xml:space="preserve">2024-06-10</t>
  </si>
  <si>
    <t xml:space="preserve">2024-08-22</t>
  </si>
  <si>
    <t xml:space="preserve">20/09/2024</t>
  </si>
  <si>
    <t xml:space="preserve">24-Oct-2024</t>
  </si>
  <si>
    <t xml:space="preserve">23-Nov-2024</t>
  </si>
  <si>
    <t xml:space="preserve">2024-03-09</t>
  </si>
  <si>
    <t xml:space="preserve">12-Jan-2024</t>
  </si>
  <si>
    <t xml:space="preserve">19-Aug-2024</t>
  </si>
  <si>
    <t xml:space="preserve">06-May-2024</t>
  </si>
  <si>
    <t xml:space="preserve">09-Feb-2024</t>
  </si>
  <si>
    <t xml:space="preserve">08-Mar-2024</t>
  </si>
  <si>
    <t xml:space="preserve">11/04/2024</t>
  </si>
  <si>
    <t xml:space="preserve">  NEW YEAR WELLNESS  </t>
  </si>
  <si>
    <t xml:space="preserve">2024-03-23</t>
  </si>
  <si>
    <t xml:space="preserve">25/12/2024</t>
  </si>
  <si>
    <t xml:space="preserve">13/07/2024</t>
  </si>
  <si>
    <t xml:space="preserve">10-Mar-2024</t>
  </si>
  <si>
    <t xml:space="preserve">2024-08-31</t>
  </si>
  <si>
    <t xml:space="preserve">2024-11-10</t>
  </si>
  <si>
    <t xml:space="preserve">22-Oct-2024</t>
  </si>
  <si>
    <t xml:space="preserve">14/03/2024</t>
  </si>
  <si>
    <t xml:space="preserve">24-Jan-2024</t>
  </si>
  <si>
    <t xml:space="preserve">14-Oct-2024</t>
  </si>
  <si>
    <t xml:space="preserve">06/03/2024</t>
  </si>
  <si>
    <t xml:space="preserve">29/07/2024</t>
  </si>
  <si>
    <t xml:space="preserve">2024-11-24</t>
  </si>
  <si>
    <t xml:space="preserve">14/08/2024</t>
  </si>
  <si>
    <t xml:space="preserve">14/02/2024</t>
  </si>
  <si>
    <t xml:space="preserve">2024-09-15</t>
  </si>
  <si>
    <t xml:space="preserve">2024-01-25</t>
  </si>
  <si>
    <t xml:space="preserve">25/11/2024</t>
  </si>
  <si>
    <t xml:space="preserve">2024-06-19</t>
  </si>
  <si>
    <t xml:space="preserve">13-Oct-2024</t>
  </si>
  <si>
    <t xml:space="preserve">24/02/2024</t>
  </si>
  <si>
    <t xml:space="preserve">2024-08-21</t>
  </si>
  <si>
    <t xml:space="preserve">16-Jul-2024</t>
  </si>
  <si>
    <t xml:space="preserve">Channel_Variant</t>
  </si>
  <si>
    <t xml:space="preserve">Channel_Clean</t>
  </si>
  <si>
    <t xml:space="preserve">Match_Key</t>
  </si>
  <si>
    <t xml:space="preserve">Region_Variant</t>
  </si>
  <si>
    <t xml:space="preserve">Region_Clean</t>
  </si>
  <si>
    <t xml:space="preserve">Campaign_Name_Clean</t>
  </si>
  <si>
    <t xml:space="preserve">Start_Date_Clean</t>
  </si>
  <si>
    <t xml:space="preserve">End_Date_Clean</t>
  </si>
  <si>
    <t xml:space="preserve">Spend_Filled</t>
  </si>
  <si>
    <t xml:space="preserve">Clicks_Fixed</t>
  </si>
  <si>
    <t xml:space="preserve">Revenue_Filled</t>
  </si>
  <si>
    <t xml:space="preserve">Duplicate_Flag</t>
  </si>
  <si>
    <t xml:space="preserve">Data_Quality_Note</t>
  </si>
  <si>
    <t xml:space="preserve">Total_Spend</t>
  </si>
  <si>
    <t xml:space="preserve">Total_Revenue</t>
  </si>
  <si>
    <t xml:space="preserve">Total_Conversions</t>
  </si>
  <si>
    <t xml:space="preserve">Total_Clicks</t>
  </si>
  <si>
    <t xml:space="preserve">Total_Impressions</t>
  </si>
  <si>
    <t xml:space="preserve">Avg_CTR</t>
  </si>
  <si>
    <t xml:space="preserve">Avg_CPA</t>
  </si>
  <si>
    <t xml:space="preserve">Overall_ROAS</t>
  </si>
  <si>
    <t xml:space="preserve">Month</t>
  </si>
  <si>
    <t xml:space="preserve">Month_Start</t>
  </si>
  <si>
    <t xml:space="preserve">Month_End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</si>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</sst>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.00"/>
    <numFmt numFmtId="167" formatCode="0.00%"/>
    <numFmt numFmtId="168" formatCode="0.00\x"/>
    <numFmt numFmtId="169" formatCode="0.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 t="s">
        <v>21</v>
      </c>
    </row>
    <row r="26" customFormat="false" ht="15" hidden="false" customHeight="true" outlineLevel="0" collapsed="false">
      <c r="A26" s="3" t="s">
        <v>22</v>
      </c>
    </row>
    <row r="27" customFormat="false" ht="15" hidden="false" customHeight="true" outlineLevel="0" collapsed="false">
      <c r="A27" s="3" t="s">
        <v>23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3" t="s">
        <v>25</v>
      </c>
    </row>
    <row r="31" customFormat="false" ht="15" hidden="false" customHeight="true" outlineLevel="0" collapsed="false">
      <c r="A31" s="3" t="s">
        <v>26</v>
      </c>
    </row>
    <row r="32" customFormat="false" ht="15" hidden="false" customHeight="true" outlineLevel="0" collapsed="false">
      <c r="A32" s="3" t="s">
        <v>27</v>
      </c>
    </row>
    <row r="33" customFormat="false" ht="15" hidden="false" customHeight="true" outlineLevel="0" collapsed="false">
      <c r="A33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Q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19"/>
    <col collapsed="false" customWidth="true" hidden="false" outlineLevel="0" max="16" min="16" style="0" width="20"/>
    <col collapsed="false" customWidth="true" hidden="false" outlineLevel="0" max="17" min="17" style="0" width="21"/>
  </cols>
  <sheetData>
    <row r="1" customFormat="false" ht="15" hidden="false" customHeight="fals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</row>
    <row r="2" customFormat="false" ht="15" hidden="false" customHeight="false" outlineLevel="0" collapsed="false">
      <c r="A2" s="6" t="n">
        <v>1179</v>
      </c>
      <c r="B2" s="6" t="s">
        <v>46</v>
      </c>
      <c r="C2" s="6" t="s">
        <v>47</v>
      </c>
      <c r="D2" s="7" t="n">
        <v>45320</v>
      </c>
      <c r="E2" s="7" t="n">
        <v>45341</v>
      </c>
      <c r="F2" s="6" t="s">
        <v>48</v>
      </c>
      <c r="G2" s="6" t="s">
        <v>49</v>
      </c>
      <c r="H2" s="8" t="n">
        <v>1459.32</v>
      </c>
      <c r="I2" s="6" t="n">
        <v>47777</v>
      </c>
      <c r="J2" s="6" t="n">
        <v>817</v>
      </c>
      <c r="K2" s="6" t="n">
        <v>52</v>
      </c>
      <c r="L2" s="8" t="n">
        <v>57731.18</v>
      </c>
      <c r="M2" s="9" t="n">
        <v>0.0171002783766247</v>
      </c>
      <c r="N2" s="8" t="n">
        <v>1.78619339045288</v>
      </c>
      <c r="O2" s="8" t="n">
        <v>28.0638461538462</v>
      </c>
      <c r="P2" s="10" t="n">
        <v>39.5603294685196</v>
      </c>
      <c r="Q2" s="9" t="n">
        <v>0.0636474908200734</v>
      </c>
    </row>
    <row r="3" customFormat="false" ht="15" hidden="false" customHeight="false" outlineLevel="0" collapsed="false">
      <c r="A3" s="6" t="n">
        <v>1665</v>
      </c>
      <c r="B3" s="6" t="s">
        <v>46</v>
      </c>
      <c r="C3" s="6" t="s">
        <v>50</v>
      </c>
      <c r="D3" s="7" t="n">
        <v>45610</v>
      </c>
      <c r="E3" s="7" t="n">
        <v>45623</v>
      </c>
      <c r="F3" s="6" t="s">
        <v>51</v>
      </c>
      <c r="G3" s="6" t="s">
        <v>49</v>
      </c>
      <c r="H3" s="8" t="n">
        <v>40790.41</v>
      </c>
      <c r="I3" s="6" t="n">
        <v>1371537</v>
      </c>
      <c r="J3" s="6" t="n">
        <v>33827</v>
      </c>
      <c r="K3" s="6" t="n">
        <v>1556</v>
      </c>
      <c r="L3" s="8" t="n">
        <v>1305729.84</v>
      </c>
      <c r="M3" s="9" t="n">
        <v>0.0246635708697614</v>
      </c>
      <c r="N3" s="8" t="n">
        <v>1.20585360806456</v>
      </c>
      <c r="O3" s="8" t="n">
        <v>26.2149164524422</v>
      </c>
      <c r="P3" s="10" t="n">
        <v>32.0107064381064</v>
      </c>
      <c r="Q3" s="9" t="n">
        <v>0.0459987583882697</v>
      </c>
    </row>
    <row r="4" customFormat="false" ht="15" hidden="false" customHeight="false" outlineLevel="0" collapsed="false">
      <c r="A4" s="6" t="n">
        <v>1798</v>
      </c>
      <c r="B4" s="6" t="s">
        <v>52</v>
      </c>
      <c r="C4" s="6" t="s">
        <v>47</v>
      </c>
      <c r="D4" s="7" t="n">
        <v>45595</v>
      </c>
      <c r="E4" s="7" t="n">
        <v>45604</v>
      </c>
      <c r="F4" s="6" t="s">
        <v>53</v>
      </c>
      <c r="G4" s="6" t="s">
        <v>54</v>
      </c>
      <c r="H4" s="8" t="n">
        <v>4460.42</v>
      </c>
      <c r="I4" s="6" t="n">
        <v>177985</v>
      </c>
      <c r="J4" s="6" t="n">
        <v>4765</v>
      </c>
      <c r="K4" s="6" t="n">
        <v>161</v>
      </c>
      <c r="L4" s="8" t="n">
        <v>110861.2</v>
      </c>
      <c r="M4" s="9" t="n">
        <v>0.0267719189819367</v>
      </c>
      <c r="N4" s="8" t="n">
        <v>0.936079748163694</v>
      </c>
      <c r="O4" s="8" t="n">
        <v>27.7044720496894</v>
      </c>
      <c r="P4" s="10" t="n">
        <v>24.8544307486739</v>
      </c>
      <c r="Q4" s="9" t="n">
        <v>0.033788037775446</v>
      </c>
    </row>
    <row r="5" customFormat="false" ht="15" hidden="false" customHeight="false" outlineLevel="0" collapsed="false">
      <c r="A5" s="6" t="n">
        <v>1396</v>
      </c>
      <c r="B5" s="6" t="s">
        <v>55</v>
      </c>
      <c r="C5" s="6" t="s">
        <v>47</v>
      </c>
      <c r="D5" s="7" t="n">
        <v>45540</v>
      </c>
      <c r="E5" s="7" t="n">
        <v>45567</v>
      </c>
      <c r="F5" s="6" t="s">
        <v>56</v>
      </c>
      <c r="G5" s="6" t="s">
        <v>49</v>
      </c>
      <c r="H5" s="8" t="n">
        <v>1905.7</v>
      </c>
      <c r="I5" s="6" t="n">
        <v>62150</v>
      </c>
      <c r="J5" s="6" t="n">
        <v>1920</v>
      </c>
      <c r="K5" s="6" t="n">
        <v>35</v>
      </c>
      <c r="L5" s="8" t="n">
        <v>23041.61</v>
      </c>
      <c r="M5" s="9" t="n">
        <v>0.0308930008045052</v>
      </c>
      <c r="N5" s="8" t="n">
        <v>0.992552083333333</v>
      </c>
      <c r="O5" s="8" t="n">
        <v>54.4485714285714</v>
      </c>
      <c r="P5" s="10" t="n">
        <v>12.0908904864354</v>
      </c>
      <c r="Q5" s="9" t="n">
        <v>0.0182291666666667</v>
      </c>
    </row>
    <row r="6" customFormat="false" ht="15" hidden="false" customHeight="false" outlineLevel="0" collapsed="false">
      <c r="A6" s="6" t="n">
        <v>1160</v>
      </c>
      <c r="B6" s="6" t="s">
        <v>46</v>
      </c>
      <c r="C6" s="6" t="s">
        <v>47</v>
      </c>
      <c r="D6" s="7" t="n">
        <v>45303</v>
      </c>
      <c r="E6" s="7" t="n">
        <v>45310</v>
      </c>
      <c r="F6" s="6" t="s">
        <v>53</v>
      </c>
      <c r="G6" s="6" t="s">
        <v>57</v>
      </c>
      <c r="H6" s="8" t="n">
        <v>7317.47</v>
      </c>
      <c r="I6" s="6" t="n">
        <v>190881</v>
      </c>
      <c r="J6" s="6" t="n">
        <v>1691</v>
      </c>
      <c r="K6" s="6" t="n">
        <v>124</v>
      </c>
      <c r="L6" s="8" t="n">
        <v>192518.24</v>
      </c>
      <c r="M6" s="9" t="n">
        <v>0.00885892257479791</v>
      </c>
      <c r="N6" s="8" t="n">
        <v>4.32730337078652</v>
      </c>
      <c r="O6" s="8" t="n">
        <v>59.0118548387097</v>
      </c>
      <c r="P6" s="10" t="n">
        <v>26.309399286912</v>
      </c>
      <c r="Q6" s="9" t="n">
        <v>0.0733293908929627</v>
      </c>
    </row>
    <row r="7" customFormat="false" ht="15" hidden="false" customHeight="false" outlineLevel="0" collapsed="false">
      <c r="A7" s="6" t="n">
        <v>1429</v>
      </c>
      <c r="B7" s="6" t="s">
        <v>58</v>
      </c>
      <c r="C7" s="6" t="s">
        <v>59</v>
      </c>
      <c r="D7" s="7" t="n">
        <v>45388</v>
      </c>
      <c r="E7" s="7" t="n">
        <v>45408</v>
      </c>
      <c r="F7" s="6" t="s">
        <v>60</v>
      </c>
      <c r="G7" s="6" t="s">
        <v>61</v>
      </c>
      <c r="H7" s="8" t="n">
        <v>39663.1</v>
      </c>
      <c r="I7" s="6" t="n">
        <v>1548782</v>
      </c>
      <c r="J7" s="6" t="n">
        <v>37434</v>
      </c>
      <c r="K7" s="6" t="n">
        <v>1172</v>
      </c>
      <c r="L7" s="8" t="n">
        <v>701517.37</v>
      </c>
      <c r="M7" s="9" t="n">
        <v>0.0241699606529518</v>
      </c>
      <c r="N7" s="8" t="n">
        <v>1.05954747021424</v>
      </c>
      <c r="O7" s="8" t="n">
        <v>33.8422354948806</v>
      </c>
      <c r="P7" s="10" t="n">
        <v>17.6869021836417</v>
      </c>
      <c r="Q7" s="9" t="n">
        <v>0.0313084361810119</v>
      </c>
    </row>
    <row r="8" customFormat="false" ht="15" hidden="false" customHeight="false" outlineLevel="0" collapsed="false">
      <c r="A8" s="6" t="n">
        <v>1077</v>
      </c>
      <c r="B8" s="6" t="s">
        <v>62</v>
      </c>
      <c r="C8" s="6" t="s">
        <v>63</v>
      </c>
      <c r="D8" s="7" t="n">
        <v>45556</v>
      </c>
      <c r="E8" s="7" t="n">
        <v>45564</v>
      </c>
      <c r="F8" s="6" t="s">
        <v>53</v>
      </c>
      <c r="G8" s="6" t="s">
        <v>49</v>
      </c>
      <c r="H8" s="8" t="n">
        <v>9690.51</v>
      </c>
      <c r="I8" s="6" t="n">
        <v>184195</v>
      </c>
      <c r="J8" s="6" t="n">
        <v>3403</v>
      </c>
      <c r="K8" s="6" t="n">
        <v>156</v>
      </c>
      <c r="L8" s="8" t="n">
        <v>242582.77</v>
      </c>
      <c r="M8" s="9" t="n">
        <v>0.0184749857487988</v>
      </c>
      <c r="N8" s="8" t="n">
        <v>2.84763737878343</v>
      </c>
      <c r="O8" s="8" t="n">
        <v>62.1186538461539</v>
      </c>
      <c r="P8" s="10" t="n">
        <v>25.0330240616851</v>
      </c>
      <c r="Q8" s="9" t="n">
        <v>0.0458419042021746</v>
      </c>
    </row>
    <row r="9" customFormat="false" ht="15" hidden="false" customHeight="false" outlineLevel="0" collapsed="false">
      <c r="A9" s="6" t="n">
        <v>1595</v>
      </c>
      <c r="B9" s="6" t="s">
        <v>64</v>
      </c>
      <c r="C9" s="6" t="s">
        <v>47</v>
      </c>
      <c r="D9" s="7" t="n">
        <v>45487</v>
      </c>
      <c r="E9" s="7" t="n">
        <v>45492</v>
      </c>
      <c r="F9" s="6" t="s">
        <v>65</v>
      </c>
      <c r="G9" s="6" t="s">
        <v>57</v>
      </c>
      <c r="H9" s="8" t="n">
        <v>6092.9</v>
      </c>
      <c r="I9" s="6" t="n">
        <v>236321</v>
      </c>
      <c r="J9" s="6" t="n">
        <v>6588</v>
      </c>
      <c r="K9" s="6" t="n">
        <v>395</v>
      </c>
      <c r="L9" s="8" t="n">
        <v>397287.84</v>
      </c>
      <c r="M9" s="9" t="n">
        <v>0.0278773363349004</v>
      </c>
      <c r="N9" s="8" t="n">
        <v>0.924848208864602</v>
      </c>
      <c r="O9" s="8" t="n">
        <v>15.4250632911392</v>
      </c>
      <c r="P9" s="10" t="n">
        <v>65.2050484990727</v>
      </c>
      <c r="Q9" s="9" t="n">
        <v>0.0599574984820886</v>
      </c>
    </row>
    <row r="10" customFormat="false" ht="15" hidden="false" customHeight="false" outlineLevel="0" collapsed="false">
      <c r="A10" s="6" t="n">
        <v>1784</v>
      </c>
      <c r="B10" s="6" t="s">
        <v>66</v>
      </c>
      <c r="C10" s="6" t="s">
        <v>47</v>
      </c>
      <c r="D10" s="7" t="n">
        <v>45362</v>
      </c>
      <c r="E10" s="7" t="n">
        <v>45369</v>
      </c>
      <c r="F10" s="6" t="s">
        <v>67</v>
      </c>
      <c r="G10" s="6" t="s">
        <v>57</v>
      </c>
      <c r="H10" s="8" t="n">
        <v>5243.17</v>
      </c>
      <c r="I10" s="6" t="n">
        <v>112725</v>
      </c>
      <c r="J10" s="6" t="n">
        <v>2739</v>
      </c>
      <c r="K10" s="6" t="n">
        <v>161</v>
      </c>
      <c r="L10" s="8" t="n">
        <v>78789.26</v>
      </c>
      <c r="M10" s="9" t="n">
        <v>0.0242980705256154</v>
      </c>
      <c r="N10" s="8" t="n">
        <v>1.91426433004746</v>
      </c>
      <c r="O10" s="8" t="n">
        <v>32.5662732919255</v>
      </c>
      <c r="P10" s="10" t="n">
        <v>15.0270275424981</v>
      </c>
      <c r="Q10" s="9" t="n">
        <v>0.058780576852866</v>
      </c>
    </row>
    <row r="11" customFormat="false" ht="15" hidden="false" customHeight="false" outlineLevel="0" collapsed="false">
      <c r="A11" s="6" t="n">
        <v>1326</v>
      </c>
      <c r="B11" s="6" t="s">
        <v>68</v>
      </c>
      <c r="C11" s="6" t="s">
        <v>50</v>
      </c>
      <c r="D11" s="7" t="n">
        <v>45555</v>
      </c>
      <c r="E11" s="7" t="n">
        <v>45581</v>
      </c>
      <c r="F11" s="6" t="s">
        <v>69</v>
      </c>
      <c r="G11" s="6" t="s">
        <v>54</v>
      </c>
      <c r="H11" s="8" t="n">
        <v>72158.45</v>
      </c>
      <c r="I11" s="6" t="n">
        <v>1282556</v>
      </c>
      <c r="J11" s="6" t="n">
        <v>20479</v>
      </c>
      <c r="K11" s="6" t="n">
        <v>1092</v>
      </c>
      <c r="L11" s="8" t="n">
        <v>961045.35</v>
      </c>
      <c r="M11" s="9" t="n">
        <v>0.0159673339799588</v>
      </c>
      <c r="N11" s="8" t="n">
        <v>3.5235338639582</v>
      </c>
      <c r="O11" s="8" t="n">
        <v>66.0791666666667</v>
      </c>
      <c r="P11" s="10" t="n">
        <v>13.3185420418537</v>
      </c>
      <c r="Q11" s="9" t="n">
        <v>0.0533229161580155</v>
      </c>
    </row>
    <row r="12" customFormat="false" ht="15" hidden="false" customHeight="false" outlineLevel="0" collapsed="false">
      <c r="A12" s="6" t="n">
        <v>1457</v>
      </c>
      <c r="B12" s="6" t="s">
        <v>70</v>
      </c>
      <c r="C12" s="6" t="s">
        <v>50</v>
      </c>
      <c r="D12" s="7" t="n">
        <v>45338</v>
      </c>
      <c r="E12" s="7" t="n">
        <v>45368</v>
      </c>
      <c r="F12" s="6" t="s">
        <v>51</v>
      </c>
      <c r="G12" s="6" t="s">
        <v>49</v>
      </c>
      <c r="H12" s="8" t="n">
        <v>33296.08</v>
      </c>
      <c r="I12" s="6" t="n">
        <v>685737</v>
      </c>
      <c r="J12" s="6" t="n">
        <v>15277</v>
      </c>
      <c r="K12" s="6" t="n">
        <v>1140</v>
      </c>
      <c r="L12" s="8" t="n">
        <v>505894.6</v>
      </c>
      <c r="M12" s="9" t="n">
        <v>0.0222782203672837</v>
      </c>
      <c r="N12" s="8" t="n">
        <v>2.17949073771028</v>
      </c>
      <c r="O12" s="8" t="n">
        <v>29.2070877192982</v>
      </c>
      <c r="P12" s="10" t="n">
        <v>15.1938186116804</v>
      </c>
      <c r="Q12" s="9" t="n">
        <v>0.0746219807553839</v>
      </c>
    </row>
    <row r="13" customFormat="false" ht="15" hidden="false" customHeight="false" outlineLevel="0" collapsed="false">
      <c r="A13" s="6" t="n">
        <v>1084</v>
      </c>
      <c r="B13" s="6" t="s">
        <v>66</v>
      </c>
      <c r="C13" s="6" t="s">
        <v>71</v>
      </c>
      <c r="D13" s="7" t="n">
        <v>45332</v>
      </c>
      <c r="E13" s="7" t="n">
        <v>45347</v>
      </c>
      <c r="F13" s="6" t="s">
        <v>53</v>
      </c>
      <c r="G13" s="6" t="s">
        <v>61</v>
      </c>
      <c r="H13" s="8" t="n">
        <v>23373.28</v>
      </c>
      <c r="I13" s="6" t="n">
        <v>611162</v>
      </c>
      <c r="J13" s="6" t="n">
        <v>16214</v>
      </c>
      <c r="K13" s="6" t="n">
        <v>351</v>
      </c>
      <c r="L13" s="8" t="n">
        <v>348777.17</v>
      </c>
      <c r="M13" s="9" t="n">
        <v>0.0265297907919668</v>
      </c>
      <c r="N13" s="8" t="n">
        <v>1.44154927840138</v>
      </c>
      <c r="O13" s="8" t="n">
        <v>66.5905413105413</v>
      </c>
      <c r="P13" s="10" t="n">
        <v>14.9220464564665</v>
      </c>
      <c r="Q13" s="9" t="n">
        <v>0.0216479585543358</v>
      </c>
    </row>
    <row r="14" customFormat="false" ht="15" hidden="false" customHeight="false" outlineLevel="0" collapsed="false">
      <c r="A14" s="6" t="n">
        <v>1404</v>
      </c>
      <c r="B14" s="6" t="s">
        <v>70</v>
      </c>
      <c r="C14" s="6" t="s">
        <v>71</v>
      </c>
      <c r="D14" s="7" t="n">
        <v>45617</v>
      </c>
      <c r="E14" s="7" t="n">
        <v>45638</v>
      </c>
      <c r="F14" s="6" t="s">
        <v>53</v>
      </c>
      <c r="G14" s="6" t="s">
        <v>72</v>
      </c>
      <c r="H14" s="8" t="n">
        <v>48709.84</v>
      </c>
      <c r="I14" s="6" t="n">
        <v>904014</v>
      </c>
      <c r="J14" s="6" t="n">
        <v>19177</v>
      </c>
      <c r="K14" s="6" t="n">
        <v>417</v>
      </c>
      <c r="L14" s="8" t="n">
        <v>294186.89</v>
      </c>
      <c r="M14" s="9" t="n">
        <v>0.0212131670527226</v>
      </c>
      <c r="N14" s="8" t="n">
        <v>2.54001355790791</v>
      </c>
      <c r="O14" s="8" t="n">
        <v>116.810167865707</v>
      </c>
      <c r="P14" s="10" t="n">
        <v>6.03957824538122</v>
      </c>
      <c r="Q14" s="9" t="n">
        <v>0.0217447984564843</v>
      </c>
    </row>
    <row r="15" customFormat="false" ht="15" hidden="false" customHeight="false" outlineLevel="0" collapsed="false">
      <c r="A15" s="6" t="n">
        <v>1345</v>
      </c>
      <c r="B15" s="6" t="s">
        <v>73</v>
      </c>
      <c r="C15" s="6" t="s">
        <v>71</v>
      </c>
      <c r="D15" s="7" t="n">
        <v>45384</v>
      </c>
      <c r="E15" s="7" t="n">
        <v>45400</v>
      </c>
      <c r="F15" s="6" t="s">
        <v>53</v>
      </c>
      <c r="G15" s="6" t="s">
        <v>72</v>
      </c>
      <c r="H15" s="8" t="n">
        <v>30052.78</v>
      </c>
      <c r="I15" s="6" t="n">
        <v>837158</v>
      </c>
      <c r="J15" s="6" t="n">
        <v>14422</v>
      </c>
      <c r="K15" s="6" t="n">
        <v>912</v>
      </c>
      <c r="L15" s="8" t="n">
        <v>734804.23</v>
      </c>
      <c r="M15" s="9" t="n">
        <v>0.0172273334304874</v>
      </c>
      <c r="N15" s="8" t="n">
        <v>2.0838150048537</v>
      </c>
      <c r="O15" s="8" t="n">
        <v>32.9526096491228</v>
      </c>
      <c r="P15" s="10" t="n">
        <v>24.4504578278615</v>
      </c>
      <c r="Q15" s="9" t="n">
        <v>0.0632367216752184</v>
      </c>
    </row>
    <row r="16" customFormat="false" ht="15" hidden="false" customHeight="false" outlineLevel="0" collapsed="false">
      <c r="A16" s="6" t="n">
        <v>1741</v>
      </c>
      <c r="B16" s="6" t="s">
        <v>52</v>
      </c>
      <c r="C16" s="6" t="s">
        <v>50</v>
      </c>
      <c r="D16" s="7" t="n">
        <v>45313</v>
      </c>
      <c r="E16" s="7" t="n">
        <v>45328</v>
      </c>
      <c r="F16" s="6" t="s">
        <v>56</v>
      </c>
      <c r="G16" s="6" t="s">
        <v>49</v>
      </c>
      <c r="H16" s="8" t="n">
        <v>74280.91</v>
      </c>
      <c r="I16" s="6" t="n">
        <v>2939136</v>
      </c>
      <c r="J16" s="6" t="n">
        <v>27485</v>
      </c>
      <c r="K16" s="6" t="n">
        <v>932</v>
      </c>
      <c r="L16" s="8" t="n">
        <v>1181227.33</v>
      </c>
      <c r="M16" s="9" t="n">
        <v>0.00935138761867433</v>
      </c>
      <c r="N16" s="8" t="n">
        <v>2.70259814444242</v>
      </c>
      <c r="O16" s="8" t="n">
        <v>79.7005472103004</v>
      </c>
      <c r="P16" s="10" t="n">
        <v>15.902165576593</v>
      </c>
      <c r="Q16" s="9" t="n">
        <v>0.033909405130071</v>
      </c>
    </row>
    <row r="17" customFormat="false" ht="15" hidden="false" customHeight="false" outlineLevel="0" collapsed="false">
      <c r="A17" s="6" t="n">
        <v>1625</v>
      </c>
      <c r="B17" s="6" t="s">
        <v>64</v>
      </c>
      <c r="C17" s="6" t="s">
        <v>50</v>
      </c>
      <c r="D17" s="7" t="n">
        <v>45351</v>
      </c>
      <c r="E17" s="7" t="n">
        <v>45381</v>
      </c>
      <c r="F17" s="6" t="s">
        <v>60</v>
      </c>
      <c r="G17" s="6" t="s">
        <v>72</v>
      </c>
      <c r="H17" s="8" t="n">
        <v>49962.66</v>
      </c>
      <c r="I17" s="6" t="n">
        <v>1992159</v>
      </c>
      <c r="J17" s="6" t="n">
        <v>46750</v>
      </c>
      <c r="K17" s="6" t="n">
        <v>2231</v>
      </c>
      <c r="L17" s="8" t="n">
        <v>3348505.73</v>
      </c>
      <c r="M17" s="9" t="n">
        <v>0.0234670023828419</v>
      </c>
      <c r="N17" s="8" t="n">
        <v>1.06872</v>
      </c>
      <c r="O17" s="8" t="n">
        <v>22.3947377857463</v>
      </c>
      <c r="P17" s="10" t="n">
        <v>67.0201652594157</v>
      </c>
      <c r="Q17" s="9" t="n">
        <v>0.0477219251336898</v>
      </c>
    </row>
    <row r="18" customFormat="false" ht="15" hidden="false" customHeight="false" outlineLevel="0" collapsed="false">
      <c r="A18" s="6" t="n">
        <v>1819</v>
      </c>
      <c r="B18" s="6" t="s">
        <v>62</v>
      </c>
      <c r="C18" s="6" t="s">
        <v>71</v>
      </c>
      <c r="D18" s="7" t="n">
        <v>45415</v>
      </c>
      <c r="E18" s="7" t="n">
        <v>45437</v>
      </c>
      <c r="F18" s="6" t="s">
        <v>53</v>
      </c>
      <c r="G18" s="6" t="s">
        <v>61</v>
      </c>
      <c r="H18" s="8" t="n">
        <v>12345.53</v>
      </c>
      <c r="I18" s="6" t="n">
        <v>347241</v>
      </c>
      <c r="J18" s="6" t="n">
        <v>2710</v>
      </c>
      <c r="K18" s="6" t="n">
        <v>76</v>
      </c>
      <c r="L18" s="8" t="n">
        <v>87089.6</v>
      </c>
      <c r="M18" s="9" t="n">
        <v>0.00780437793924105</v>
      </c>
      <c r="N18" s="8" t="n">
        <v>4.55554612546126</v>
      </c>
      <c r="O18" s="8" t="n">
        <v>162.441184210526</v>
      </c>
      <c r="P18" s="10" t="n">
        <v>7.05434274591694</v>
      </c>
      <c r="Q18" s="9" t="n">
        <v>0.0280442804428044</v>
      </c>
    </row>
    <row r="19" customFormat="false" ht="15" hidden="false" customHeight="false" outlineLevel="0" collapsed="false">
      <c r="A19" s="6" t="n">
        <v>1794</v>
      </c>
      <c r="B19" s="6" t="s">
        <v>66</v>
      </c>
      <c r="C19" s="6" t="s">
        <v>63</v>
      </c>
      <c r="D19" s="7" t="n">
        <v>45371</v>
      </c>
      <c r="E19" s="7" t="n">
        <v>45379</v>
      </c>
      <c r="F19" s="6" t="s">
        <v>53</v>
      </c>
      <c r="G19" s="6" t="s">
        <v>57</v>
      </c>
      <c r="H19" s="8" t="n">
        <v>47957.76</v>
      </c>
      <c r="I19" s="6" t="n">
        <v>798475</v>
      </c>
      <c r="J19" s="6" t="n">
        <v>22445</v>
      </c>
      <c r="K19" s="6" t="n">
        <v>1416</v>
      </c>
      <c r="L19" s="8" t="n">
        <v>1050068.93</v>
      </c>
      <c r="M19" s="9" t="n">
        <v>0.0281098343717712</v>
      </c>
      <c r="N19" s="8" t="n">
        <v>2.13667899309423</v>
      </c>
      <c r="O19" s="8" t="n">
        <v>33.8684745762712</v>
      </c>
      <c r="P19" s="10" t="n">
        <v>21.8957042614167</v>
      </c>
      <c r="Q19" s="9" t="n">
        <v>0.0630875473379372</v>
      </c>
    </row>
    <row r="20" customFormat="false" ht="15" hidden="false" customHeight="false" outlineLevel="0" collapsed="false">
      <c r="A20" s="6" t="n">
        <v>1240</v>
      </c>
      <c r="B20" s="6" t="s">
        <v>62</v>
      </c>
      <c r="C20" s="6" t="s">
        <v>47</v>
      </c>
      <c r="D20" s="7" t="n">
        <v>45360</v>
      </c>
      <c r="E20" s="7" t="n">
        <v>45385</v>
      </c>
      <c r="F20" s="6" t="s">
        <v>51</v>
      </c>
      <c r="G20" s="6" t="s">
        <v>49</v>
      </c>
      <c r="H20" s="8" t="n">
        <v>4737.88</v>
      </c>
      <c r="I20" s="6" t="n">
        <v>108465</v>
      </c>
      <c r="J20" s="6" t="n">
        <v>2125</v>
      </c>
      <c r="K20" s="6" t="n">
        <v>58</v>
      </c>
      <c r="L20" s="8" t="n">
        <v>92500.02</v>
      </c>
      <c r="M20" s="9" t="n">
        <v>0.019591573318582</v>
      </c>
      <c r="N20" s="8" t="n">
        <v>2.22959058823529</v>
      </c>
      <c r="O20" s="8" t="n">
        <v>81.6875862068966</v>
      </c>
      <c r="P20" s="10" t="n">
        <v>19.5235041833056</v>
      </c>
      <c r="Q20" s="9" t="n">
        <v>0.0272941176470588</v>
      </c>
    </row>
    <row r="21" customFormat="false" ht="15" hidden="false" customHeight="false" outlineLevel="0" collapsed="false">
      <c r="A21" s="6" t="n">
        <v>1612</v>
      </c>
      <c r="B21" s="6" t="s">
        <v>74</v>
      </c>
      <c r="C21" s="6" t="s">
        <v>63</v>
      </c>
      <c r="D21" s="7" t="n">
        <v>45469</v>
      </c>
      <c r="E21" s="7" t="n">
        <v>45494</v>
      </c>
      <c r="F21" s="6" t="s">
        <v>60</v>
      </c>
      <c r="G21" s="6" t="s">
        <v>57</v>
      </c>
      <c r="H21" s="8" t="n">
        <v>41035.94</v>
      </c>
      <c r="I21" s="6" t="n">
        <v>828358</v>
      </c>
      <c r="J21" s="6" t="n">
        <v>21528</v>
      </c>
      <c r="K21" s="6" t="n">
        <v>974</v>
      </c>
      <c r="L21" s="8" t="n">
        <v>1512908.01</v>
      </c>
      <c r="M21" s="9" t="n">
        <v>0.0259887633124808</v>
      </c>
      <c r="N21" s="8" t="n">
        <v>1.90616592344853</v>
      </c>
      <c r="O21" s="8" t="n">
        <v>42.1313552361396</v>
      </c>
      <c r="P21" s="10" t="n">
        <v>36.8678775239461</v>
      </c>
      <c r="Q21" s="9" t="n">
        <v>0.0452434039390561</v>
      </c>
    </row>
    <row r="22" customFormat="false" ht="15" hidden="false" customHeight="false" outlineLevel="0" collapsed="false">
      <c r="A22" s="6" t="n">
        <v>1226</v>
      </c>
      <c r="B22" s="6" t="s">
        <v>64</v>
      </c>
      <c r="C22" s="6" t="s">
        <v>63</v>
      </c>
      <c r="D22" s="7" t="n">
        <v>45602</v>
      </c>
      <c r="E22" s="7" t="n">
        <v>45610</v>
      </c>
      <c r="F22" s="6" t="s">
        <v>56</v>
      </c>
      <c r="G22" s="6" t="s">
        <v>57</v>
      </c>
      <c r="H22" s="8" t="n">
        <v>26938.24</v>
      </c>
      <c r="I22" s="6" t="n">
        <v>818079</v>
      </c>
      <c r="J22" s="6" t="n">
        <v>5048</v>
      </c>
      <c r="K22" s="6" t="n">
        <v>327</v>
      </c>
      <c r="L22" s="8" t="n">
        <v>353103.54</v>
      </c>
      <c r="M22" s="9" t="n">
        <v>0.00617055321063125</v>
      </c>
      <c r="N22" s="8" t="n">
        <v>5.33641838351823</v>
      </c>
      <c r="O22" s="8" t="n">
        <v>82.3799388379205</v>
      </c>
      <c r="P22" s="10" t="n">
        <v>13.1078919780951</v>
      </c>
      <c r="Q22" s="9" t="n">
        <v>0.0647781299524564</v>
      </c>
    </row>
    <row r="23" customFormat="false" ht="15" hidden="false" customHeight="false" outlineLevel="0" collapsed="false">
      <c r="A23" s="6" t="n">
        <v>1272</v>
      </c>
      <c r="B23" s="6" t="s">
        <v>73</v>
      </c>
      <c r="C23" s="6" t="s">
        <v>63</v>
      </c>
      <c r="D23" s="7" t="n">
        <v>45307</v>
      </c>
      <c r="E23" s="7" t="n">
        <v>45336</v>
      </c>
      <c r="F23" s="6" t="s">
        <v>56</v>
      </c>
      <c r="G23" s="6" t="s">
        <v>57</v>
      </c>
      <c r="H23" s="8" t="n">
        <v>44725.8</v>
      </c>
      <c r="I23" s="6" t="n">
        <v>1133843</v>
      </c>
      <c r="J23" s="6" t="n">
        <v>19658</v>
      </c>
      <c r="K23" s="6" t="n">
        <v>806</v>
      </c>
      <c r="L23" s="8" t="n">
        <v>1373395.27</v>
      </c>
      <c r="M23" s="9" t="n">
        <v>0.0173374973431066</v>
      </c>
      <c r="N23" s="8" t="n">
        <v>2.27519584901821</v>
      </c>
      <c r="O23" s="8" t="n">
        <v>55.4910669975186</v>
      </c>
      <c r="P23" s="10" t="n">
        <v>30.7070028931847</v>
      </c>
      <c r="Q23" s="9" t="n">
        <v>0.0410011191372469</v>
      </c>
    </row>
    <row r="24" customFormat="false" ht="15" hidden="false" customHeight="false" outlineLevel="0" collapsed="false">
      <c r="A24" s="6" t="n">
        <v>1205</v>
      </c>
      <c r="B24" s="6" t="s">
        <v>73</v>
      </c>
      <c r="C24" s="6" t="s">
        <v>59</v>
      </c>
      <c r="D24" s="7" t="n">
        <v>45319</v>
      </c>
      <c r="E24" s="7" t="n">
        <v>45345</v>
      </c>
      <c r="F24" s="6" t="s">
        <v>56</v>
      </c>
      <c r="G24" s="6" t="s">
        <v>75</v>
      </c>
      <c r="H24" s="8" t="n">
        <v>29992.68</v>
      </c>
      <c r="I24" s="6" t="n">
        <v>1012391</v>
      </c>
      <c r="J24" s="6" t="n">
        <v>9949</v>
      </c>
      <c r="K24" s="6" t="n">
        <v>299</v>
      </c>
      <c r="L24" s="8" t="n">
        <v>213280.72</v>
      </c>
      <c r="M24" s="9" t="n">
        <v>0.00982723078336334</v>
      </c>
      <c r="N24" s="8" t="n">
        <v>3.01464267765605</v>
      </c>
      <c r="O24" s="8" t="n">
        <v>100.309966555184</v>
      </c>
      <c r="P24" s="10" t="n">
        <v>7.11109243988867</v>
      </c>
      <c r="Q24" s="9" t="n">
        <v>0.0300532716855965</v>
      </c>
    </row>
    <row r="25" customFormat="false" ht="15" hidden="false" customHeight="false" outlineLevel="0" collapsed="false">
      <c r="A25" s="6" t="n">
        <v>1806</v>
      </c>
      <c r="B25" s="6" t="s">
        <v>64</v>
      </c>
      <c r="C25" s="6" t="s">
        <v>71</v>
      </c>
      <c r="D25" s="7" t="n">
        <v>45480</v>
      </c>
      <c r="E25" s="7" t="n">
        <v>45495</v>
      </c>
      <c r="F25" s="6" t="s">
        <v>53</v>
      </c>
      <c r="G25" s="6" t="s">
        <v>61</v>
      </c>
      <c r="H25" s="8" t="n">
        <v>27693.68</v>
      </c>
      <c r="I25" s="6" t="n">
        <v>774637</v>
      </c>
      <c r="J25" s="6" t="n">
        <v>10265</v>
      </c>
      <c r="K25" s="6" t="n">
        <v>579</v>
      </c>
      <c r="L25" s="8" t="n">
        <v>922779.24</v>
      </c>
      <c r="M25" s="9" t="n">
        <v>0.0132513680601366</v>
      </c>
      <c r="N25" s="8" t="n">
        <v>2.69787433024842</v>
      </c>
      <c r="O25" s="8" t="n">
        <v>47.8301899827289</v>
      </c>
      <c r="P25" s="10" t="n">
        <v>33.3209324293485</v>
      </c>
      <c r="Q25" s="9" t="n">
        <v>0.0564052605942523</v>
      </c>
    </row>
    <row r="26" customFormat="false" ht="15" hidden="false" customHeight="false" outlineLevel="0" collapsed="false">
      <c r="A26" s="6" t="n">
        <v>1241</v>
      </c>
      <c r="B26" s="6" t="s">
        <v>76</v>
      </c>
      <c r="C26" s="6" t="s">
        <v>63</v>
      </c>
      <c r="D26" s="7" t="n">
        <v>45468</v>
      </c>
      <c r="E26" s="7" t="n">
        <v>45473</v>
      </c>
      <c r="F26" s="6" t="s">
        <v>67</v>
      </c>
      <c r="G26" s="6" t="s">
        <v>72</v>
      </c>
      <c r="H26" s="8" t="n">
        <v>11334.45</v>
      </c>
      <c r="I26" s="6" t="n">
        <v>415795</v>
      </c>
      <c r="J26" s="6" t="n">
        <v>14092</v>
      </c>
      <c r="K26" s="6" t="n">
        <v>337</v>
      </c>
      <c r="L26" s="8" t="n">
        <v>399360.83</v>
      </c>
      <c r="M26" s="9" t="n">
        <v>0.0338917014394113</v>
      </c>
      <c r="N26" s="8" t="n">
        <v>0.804318052795913</v>
      </c>
      <c r="O26" s="8" t="n">
        <v>33.6333827893175</v>
      </c>
      <c r="P26" s="10" t="n">
        <v>35.2342486843208</v>
      </c>
      <c r="Q26" s="9" t="n">
        <v>0.0239142776043145</v>
      </c>
    </row>
    <row r="27" customFormat="false" ht="15" hidden="false" customHeight="false" outlineLevel="0" collapsed="false">
      <c r="A27" s="6" t="n">
        <v>1278</v>
      </c>
      <c r="B27" s="6" t="s">
        <v>66</v>
      </c>
      <c r="C27" s="6" t="s">
        <v>63</v>
      </c>
      <c r="D27" s="7" t="n">
        <v>45553</v>
      </c>
      <c r="E27" s="7" t="n">
        <v>45577</v>
      </c>
      <c r="F27" s="6" t="s">
        <v>60</v>
      </c>
      <c r="G27" s="6" t="s">
        <v>72</v>
      </c>
      <c r="H27" s="8" t="n">
        <v>22661.86</v>
      </c>
      <c r="I27" s="6" t="n">
        <v>555559</v>
      </c>
      <c r="J27" s="6" t="n">
        <v>15582</v>
      </c>
      <c r="K27" s="6" t="n">
        <v>1150</v>
      </c>
      <c r="L27" s="8" t="n">
        <v>1345457.21</v>
      </c>
      <c r="M27" s="9" t="n">
        <v>0.0280474261059581</v>
      </c>
      <c r="N27" s="8" t="n">
        <v>1.45436144269028</v>
      </c>
      <c r="O27" s="8" t="n">
        <v>19.7059652173913</v>
      </c>
      <c r="P27" s="10" t="n">
        <v>59.370996467192</v>
      </c>
      <c r="Q27" s="9" t="n">
        <v>0.0738031061481196</v>
      </c>
    </row>
    <row r="28" customFormat="false" ht="15" hidden="false" customHeight="false" outlineLevel="0" collapsed="false">
      <c r="A28" s="6" t="n">
        <v>1250</v>
      </c>
      <c r="B28" s="6" t="s">
        <v>77</v>
      </c>
      <c r="C28" s="6" t="s">
        <v>63</v>
      </c>
      <c r="D28" s="7" t="n">
        <v>45487</v>
      </c>
      <c r="E28" s="7" t="n">
        <v>45492</v>
      </c>
      <c r="F28" s="6" t="s">
        <v>67</v>
      </c>
      <c r="G28" s="6" t="s">
        <v>49</v>
      </c>
      <c r="H28" s="8" t="n">
        <v>48882.33</v>
      </c>
      <c r="I28" s="6" t="n">
        <v>1606618</v>
      </c>
      <c r="J28" s="6" t="n">
        <v>26579</v>
      </c>
      <c r="K28" s="6" t="n">
        <v>2079</v>
      </c>
      <c r="L28" s="8" t="n">
        <v>1472732.78</v>
      </c>
      <c r="M28" s="9" t="n">
        <v>0.0165434471666569</v>
      </c>
      <c r="N28" s="8" t="n">
        <v>1.83913352646826</v>
      </c>
      <c r="O28" s="8" t="n">
        <v>23.5124242424242</v>
      </c>
      <c r="P28" s="10" t="n">
        <v>30.1281215523073</v>
      </c>
      <c r="Q28" s="9" t="n">
        <v>0.0782196470898078</v>
      </c>
    </row>
    <row r="29" customFormat="false" ht="15" hidden="false" customHeight="false" outlineLevel="0" collapsed="false">
      <c r="A29" s="6" t="n">
        <v>1547</v>
      </c>
      <c r="B29" s="6" t="s">
        <v>58</v>
      </c>
      <c r="C29" s="6" t="s">
        <v>63</v>
      </c>
      <c r="D29" s="7" t="n">
        <v>45618</v>
      </c>
      <c r="E29" s="7" t="n">
        <v>45635</v>
      </c>
      <c r="F29" s="6" t="s">
        <v>65</v>
      </c>
      <c r="G29" s="6" t="s">
        <v>54</v>
      </c>
      <c r="H29" s="8" t="n">
        <v>23561</v>
      </c>
      <c r="I29" s="6" t="n">
        <v>885989</v>
      </c>
      <c r="J29" s="6" t="n">
        <v>28166</v>
      </c>
      <c r="K29" s="6" t="n">
        <v>2095</v>
      </c>
      <c r="L29" s="8" t="n">
        <v>2546904.59</v>
      </c>
      <c r="M29" s="9" t="n">
        <v>0.0317904624098042</v>
      </c>
      <c r="N29" s="8" t="n">
        <v>0.836505006035646</v>
      </c>
      <c r="O29" s="8" t="n">
        <v>11.2463007159905</v>
      </c>
      <c r="P29" s="10" t="n">
        <v>108.09832307627</v>
      </c>
      <c r="Q29" s="9" t="n">
        <v>0.0743804587090819</v>
      </c>
    </row>
    <row r="30" customFormat="false" ht="15" hidden="false" customHeight="false" outlineLevel="0" collapsed="false">
      <c r="A30" s="6" t="n">
        <v>1339</v>
      </c>
      <c r="B30" s="6" t="s">
        <v>52</v>
      </c>
      <c r="C30" s="6" t="s">
        <v>71</v>
      </c>
      <c r="D30" s="7" t="n">
        <v>45506</v>
      </c>
      <c r="E30" s="7" t="n">
        <v>45531</v>
      </c>
      <c r="F30" s="6" t="s">
        <v>48</v>
      </c>
      <c r="G30" s="6" t="s">
        <v>72</v>
      </c>
      <c r="H30" s="8" t="n">
        <v>10533.17</v>
      </c>
      <c r="I30" s="6" t="n">
        <v>234801</v>
      </c>
      <c r="J30" s="6" t="n">
        <v>5674</v>
      </c>
      <c r="K30" s="6" t="n">
        <v>87</v>
      </c>
      <c r="L30" s="8" t="n">
        <v>54899.74</v>
      </c>
      <c r="M30" s="9" t="n">
        <v>0.0241651441007491</v>
      </c>
      <c r="N30" s="8" t="n">
        <v>1.85639231582658</v>
      </c>
      <c r="O30" s="8" t="n">
        <v>121.07091954023</v>
      </c>
      <c r="P30" s="10" t="n">
        <v>5.21208145316177</v>
      </c>
      <c r="Q30" s="9" t="n">
        <v>0.0153330983433204</v>
      </c>
    </row>
    <row r="31" customFormat="false" ht="15" hidden="false" customHeight="false" outlineLevel="0" collapsed="false">
      <c r="A31" s="6" t="n">
        <v>1717</v>
      </c>
      <c r="B31" s="6" t="s">
        <v>46</v>
      </c>
      <c r="C31" s="6" t="s">
        <v>59</v>
      </c>
      <c r="D31" s="7" t="n">
        <v>45544</v>
      </c>
      <c r="E31" s="7" t="n">
        <v>45560</v>
      </c>
      <c r="F31" s="6" t="s">
        <v>53</v>
      </c>
      <c r="G31" s="6" t="s">
        <v>72</v>
      </c>
      <c r="H31" s="8" t="n">
        <v>19530.3</v>
      </c>
      <c r="I31" s="6" t="n">
        <v>661906</v>
      </c>
      <c r="J31" s="6" t="n">
        <v>11849</v>
      </c>
      <c r="K31" s="6" t="n">
        <v>677</v>
      </c>
      <c r="L31" s="8" t="n">
        <v>1119099.65</v>
      </c>
      <c r="M31" s="9" t="n">
        <v>0.0179013334219663</v>
      </c>
      <c r="N31" s="8" t="n">
        <v>1.64826567642839</v>
      </c>
      <c r="O31" s="8" t="n">
        <v>28.8483013293944</v>
      </c>
      <c r="P31" s="10" t="n">
        <v>57.300689185522</v>
      </c>
      <c r="Q31" s="9" t="n">
        <v>0.0571356232593468</v>
      </c>
    </row>
    <row r="32" customFormat="false" ht="15" hidden="false" customHeight="false" outlineLevel="0" collapsed="false">
      <c r="A32" s="6" t="n">
        <v>1238</v>
      </c>
      <c r="B32" s="6" t="s">
        <v>78</v>
      </c>
      <c r="C32" s="6" t="s">
        <v>47</v>
      </c>
      <c r="D32" s="7" t="n">
        <v>45453</v>
      </c>
      <c r="E32" s="7" t="n">
        <v>45480</v>
      </c>
      <c r="F32" s="6" t="s">
        <v>51</v>
      </c>
      <c r="G32" s="6" t="s">
        <v>61</v>
      </c>
      <c r="H32" s="8" t="n">
        <v>1082.74</v>
      </c>
      <c r="I32" s="6" t="n">
        <v>21945</v>
      </c>
      <c r="J32" s="6" t="n">
        <v>492</v>
      </c>
      <c r="K32" s="6" t="n">
        <v>16</v>
      </c>
      <c r="L32" s="8" t="n">
        <v>19816.45</v>
      </c>
      <c r="M32" s="9" t="n">
        <v>0.0224196855775803</v>
      </c>
      <c r="N32" s="8" t="n">
        <v>2.20069105691057</v>
      </c>
      <c r="O32" s="8" t="n">
        <v>67.67125</v>
      </c>
      <c r="P32" s="10" t="n">
        <v>18.3021316290153</v>
      </c>
      <c r="Q32" s="9" t="n">
        <v>0.032520325203252</v>
      </c>
    </row>
    <row r="33" customFormat="false" ht="15" hidden="false" customHeight="false" outlineLevel="0" collapsed="false">
      <c r="A33" s="6" t="n">
        <v>1645</v>
      </c>
      <c r="B33" s="6" t="s">
        <v>76</v>
      </c>
      <c r="C33" s="6" t="s">
        <v>71</v>
      </c>
      <c r="D33" s="7" t="n">
        <v>45325</v>
      </c>
      <c r="E33" s="7" t="n">
        <v>45354</v>
      </c>
      <c r="F33" s="6" t="s">
        <v>56</v>
      </c>
      <c r="G33" s="6" t="s">
        <v>57</v>
      </c>
      <c r="H33" s="8" t="n">
        <v>42994.76</v>
      </c>
      <c r="I33" s="6" t="n">
        <v>746569</v>
      </c>
      <c r="J33" s="6" t="n">
        <v>23039</v>
      </c>
      <c r="K33" s="6" t="n">
        <v>782</v>
      </c>
      <c r="L33" s="8" t="n">
        <v>1052642.73</v>
      </c>
      <c r="M33" s="9" t="n">
        <v>0.0308598401487337</v>
      </c>
      <c r="N33" s="8" t="n">
        <v>1.86617301098138</v>
      </c>
      <c r="O33" s="8" t="n">
        <v>54.9805115089514</v>
      </c>
      <c r="P33" s="10" t="n">
        <v>24.4830470038674</v>
      </c>
      <c r="Q33" s="9" t="n">
        <v>0.033942445418638</v>
      </c>
    </row>
    <row r="34" customFormat="false" ht="15" hidden="false" customHeight="false" outlineLevel="0" collapsed="false">
      <c r="A34" s="6" t="n">
        <v>1169</v>
      </c>
      <c r="B34" s="6" t="s">
        <v>77</v>
      </c>
      <c r="C34" s="6" t="s">
        <v>71</v>
      </c>
      <c r="D34" s="7" t="n">
        <v>45377</v>
      </c>
      <c r="E34" s="7" t="n">
        <v>45395</v>
      </c>
      <c r="F34" s="6" t="s">
        <v>60</v>
      </c>
      <c r="G34" s="6" t="s">
        <v>54</v>
      </c>
      <c r="H34" s="8" t="n">
        <v>53852.07</v>
      </c>
      <c r="I34" s="6" t="n">
        <v>1280644</v>
      </c>
      <c r="J34" s="6" t="n">
        <v>20823</v>
      </c>
      <c r="K34" s="6" t="n">
        <v>1416</v>
      </c>
      <c r="L34" s="8" t="n">
        <v>2115020.42</v>
      </c>
      <c r="M34" s="9" t="n">
        <v>0.0162597880441403</v>
      </c>
      <c r="N34" s="8" t="n">
        <v>2.58618210632474</v>
      </c>
      <c r="O34" s="8" t="n">
        <v>38.0311228813559</v>
      </c>
      <c r="P34" s="10" t="n">
        <v>39.2746354968342</v>
      </c>
      <c r="Q34" s="9" t="n">
        <v>0.0680017288575133</v>
      </c>
    </row>
    <row r="35" customFormat="false" ht="15" hidden="false" customHeight="false" outlineLevel="0" collapsed="false">
      <c r="A35" s="6" t="n">
        <v>1653</v>
      </c>
      <c r="B35" s="6" t="s">
        <v>58</v>
      </c>
      <c r="C35" s="6" t="s">
        <v>71</v>
      </c>
      <c r="D35" s="7" t="n">
        <v>45585</v>
      </c>
      <c r="E35" s="7" t="n">
        <v>45604</v>
      </c>
      <c r="F35" s="6" t="s">
        <v>53</v>
      </c>
      <c r="G35" s="6" t="s">
        <v>54</v>
      </c>
      <c r="H35" s="8" t="n">
        <v>41809.05</v>
      </c>
      <c r="I35" s="6" t="n">
        <v>826656</v>
      </c>
      <c r="J35" s="6" t="n">
        <v>5945</v>
      </c>
      <c r="K35" s="6" t="n">
        <v>344</v>
      </c>
      <c r="L35" s="8" t="n">
        <v>528296.58</v>
      </c>
      <c r="M35" s="9" t="n">
        <v>0.00719162505322649</v>
      </c>
      <c r="N35" s="8" t="n">
        <v>7.03264087468461</v>
      </c>
      <c r="O35" s="8" t="n">
        <v>121.537936046512</v>
      </c>
      <c r="P35" s="10" t="n">
        <v>12.6359383913291</v>
      </c>
      <c r="Q35" s="9" t="n">
        <v>0.0578637510513036</v>
      </c>
    </row>
    <row r="36" customFormat="false" ht="15" hidden="false" customHeight="false" outlineLevel="0" collapsed="false">
      <c r="A36" s="6" t="n">
        <v>1233</v>
      </c>
      <c r="B36" s="6" t="s">
        <v>68</v>
      </c>
      <c r="C36" s="6" t="s">
        <v>59</v>
      </c>
      <c r="D36" s="7" t="n">
        <v>45469</v>
      </c>
      <c r="E36" s="7" t="n">
        <v>45482</v>
      </c>
      <c r="F36" s="6" t="s">
        <v>48</v>
      </c>
      <c r="G36" s="6" t="s">
        <v>54</v>
      </c>
      <c r="H36" s="8" t="n">
        <v>60477.26</v>
      </c>
      <c r="I36" s="6" t="n">
        <v>1201267</v>
      </c>
      <c r="J36" s="6" t="n">
        <v>39511</v>
      </c>
      <c r="K36" s="6" t="n">
        <v>1985</v>
      </c>
      <c r="L36" s="8" t="n">
        <v>1446282.68</v>
      </c>
      <c r="M36" s="9" t="n">
        <v>0.0328911058074516</v>
      </c>
      <c r="N36" s="8" t="n">
        <v>1.5306436182329</v>
      </c>
      <c r="O36" s="8" t="n">
        <v>30.4671335012594</v>
      </c>
      <c r="P36" s="10" t="n">
        <v>23.9144875280395</v>
      </c>
      <c r="Q36" s="9" t="n">
        <v>0.050239173900939</v>
      </c>
    </row>
    <row r="37" customFormat="false" ht="15" hidden="false" customHeight="false" outlineLevel="0" collapsed="false">
      <c r="A37" s="6" t="n">
        <v>1525</v>
      </c>
      <c r="B37" s="6" t="s">
        <v>46</v>
      </c>
      <c r="C37" s="6" t="s">
        <v>71</v>
      </c>
      <c r="D37" s="7" t="n">
        <v>45539</v>
      </c>
      <c r="E37" s="7" t="n">
        <v>45563</v>
      </c>
      <c r="F37" s="6" t="s">
        <v>48</v>
      </c>
      <c r="G37" s="6" t="s">
        <v>54</v>
      </c>
      <c r="H37" s="8" t="n">
        <v>36417.1</v>
      </c>
      <c r="I37" s="6" t="n">
        <v>690457</v>
      </c>
      <c r="J37" s="6" t="n">
        <v>18815</v>
      </c>
      <c r="K37" s="6" t="n">
        <v>1408</v>
      </c>
      <c r="L37" s="8" t="n">
        <v>956998.6</v>
      </c>
      <c r="M37" s="9" t="n">
        <v>0.0272500677087784</v>
      </c>
      <c r="N37" s="8" t="n">
        <v>1.93553547701302</v>
      </c>
      <c r="O37" s="8" t="n">
        <v>25.8644176136364</v>
      </c>
      <c r="P37" s="10" t="n">
        <v>26.2788250574593</v>
      </c>
      <c r="Q37" s="9" t="n">
        <v>0.0748339091150678</v>
      </c>
    </row>
    <row r="38" customFormat="false" ht="15" hidden="false" customHeight="false" outlineLevel="0" collapsed="false">
      <c r="A38" s="6" t="n">
        <v>1231</v>
      </c>
      <c r="B38" s="6" t="s">
        <v>76</v>
      </c>
      <c r="C38" s="6" t="s">
        <v>71</v>
      </c>
      <c r="D38" s="7" t="n">
        <v>45603</v>
      </c>
      <c r="E38" s="7" t="n">
        <v>45609</v>
      </c>
      <c r="F38" s="6" t="s">
        <v>53</v>
      </c>
      <c r="G38" s="6" t="s">
        <v>54</v>
      </c>
      <c r="H38" s="8" t="n">
        <v>27984.95</v>
      </c>
      <c r="I38" s="6" t="n">
        <v>1108517</v>
      </c>
      <c r="J38" s="6" t="n">
        <v>25960</v>
      </c>
      <c r="K38" s="6" t="n">
        <v>1206</v>
      </c>
      <c r="L38" s="8" t="n">
        <v>1666485.12</v>
      </c>
      <c r="M38" s="9" t="n">
        <v>0.023418675581881</v>
      </c>
      <c r="N38" s="8" t="n">
        <v>1.07800269645609</v>
      </c>
      <c r="O38" s="8" t="n">
        <v>23.204767827529</v>
      </c>
      <c r="P38" s="10" t="n">
        <v>59.5493334810318</v>
      </c>
      <c r="Q38" s="9" t="n">
        <v>0.0464560862865948</v>
      </c>
    </row>
    <row r="39" customFormat="false" ht="15" hidden="false" customHeight="false" outlineLevel="0" collapsed="false">
      <c r="A39" s="6" t="n">
        <v>1047</v>
      </c>
      <c r="B39" s="6" t="s">
        <v>52</v>
      </c>
      <c r="C39" s="6" t="s">
        <v>47</v>
      </c>
      <c r="D39" s="7" t="n">
        <v>45545</v>
      </c>
      <c r="E39" s="7" t="n">
        <v>45551</v>
      </c>
      <c r="F39" s="6" t="s">
        <v>56</v>
      </c>
      <c r="G39" s="6" t="s">
        <v>49</v>
      </c>
      <c r="H39" s="8" t="n">
        <v>4516.04</v>
      </c>
      <c r="I39" s="6" t="n">
        <v>134372</v>
      </c>
      <c r="J39" s="6" t="n">
        <v>4177</v>
      </c>
      <c r="K39" s="6" t="n">
        <v>297</v>
      </c>
      <c r="L39" s="8" t="n">
        <v>293567.87</v>
      </c>
      <c r="M39" s="9" t="n">
        <v>0.0310853451611943</v>
      </c>
      <c r="N39" s="8" t="n">
        <v>1.08116830260953</v>
      </c>
      <c r="O39" s="8" t="n">
        <v>15.2055218855219</v>
      </c>
      <c r="P39" s="10" t="n">
        <v>65.0055956103135</v>
      </c>
      <c r="Q39" s="9" t="n">
        <v>0.0711036629159684</v>
      </c>
    </row>
    <row r="40" customFormat="false" ht="15" hidden="false" customHeight="false" outlineLevel="0" collapsed="false">
      <c r="A40" s="6" t="n">
        <v>1497</v>
      </c>
      <c r="B40" s="6" t="s">
        <v>58</v>
      </c>
      <c r="C40" s="6" t="s">
        <v>71</v>
      </c>
      <c r="D40" s="7" t="n">
        <v>45385</v>
      </c>
      <c r="E40" s="7" t="n">
        <v>45414</v>
      </c>
      <c r="F40" s="6" t="s">
        <v>56</v>
      </c>
      <c r="G40" s="6" t="s">
        <v>61</v>
      </c>
      <c r="H40" s="8" t="n">
        <v>26335.66</v>
      </c>
      <c r="I40" s="6" t="n">
        <v>720416</v>
      </c>
      <c r="J40" s="6" t="n">
        <v>14003</v>
      </c>
      <c r="K40" s="6" t="n">
        <v>1093</v>
      </c>
      <c r="L40" s="8" t="n">
        <v>1336222.58</v>
      </c>
      <c r="M40" s="9" t="n">
        <v>0.0194373806245281</v>
      </c>
      <c r="N40" s="8" t="n">
        <v>1.88071556095122</v>
      </c>
      <c r="O40" s="8" t="n">
        <v>24.0948398902104</v>
      </c>
      <c r="P40" s="10" t="n">
        <v>50.7381466802047</v>
      </c>
      <c r="Q40" s="9" t="n">
        <v>0.0780547025637363</v>
      </c>
    </row>
    <row r="41" customFormat="false" ht="15" hidden="false" customHeight="false" outlineLevel="0" collapsed="false">
      <c r="A41" s="6" t="n">
        <v>1082</v>
      </c>
      <c r="B41" s="6" t="s">
        <v>55</v>
      </c>
      <c r="C41" s="6" t="s">
        <v>63</v>
      </c>
      <c r="D41" s="7" t="n">
        <v>45310</v>
      </c>
      <c r="E41" s="7" t="n">
        <v>45324</v>
      </c>
      <c r="F41" s="6" t="s">
        <v>51</v>
      </c>
      <c r="G41" s="6" t="s">
        <v>61</v>
      </c>
      <c r="H41" s="8" t="n">
        <v>7927.48</v>
      </c>
      <c r="I41" s="6" t="n">
        <v>158444</v>
      </c>
      <c r="J41" s="6" t="n">
        <v>991</v>
      </c>
      <c r="K41" s="6" t="n">
        <v>74</v>
      </c>
      <c r="L41" s="8" t="n">
        <v>81200.66</v>
      </c>
      <c r="M41" s="9" t="n">
        <v>0.00625457574916059</v>
      </c>
      <c r="N41" s="8" t="n">
        <v>7.99947527749748</v>
      </c>
      <c r="O41" s="8" t="n">
        <v>107.128108108108</v>
      </c>
      <c r="P41" s="10" t="n">
        <v>10.2429347030835</v>
      </c>
      <c r="Q41" s="9" t="n">
        <v>0.0746720484359233</v>
      </c>
    </row>
    <row r="42" customFormat="false" ht="15" hidden="false" customHeight="false" outlineLevel="0" collapsed="false">
      <c r="A42" s="6" t="n">
        <v>1536</v>
      </c>
      <c r="B42" s="6" t="s">
        <v>74</v>
      </c>
      <c r="C42" s="6" t="s">
        <v>50</v>
      </c>
      <c r="D42" s="7" t="n">
        <v>45550</v>
      </c>
      <c r="E42" s="7" t="n">
        <v>45558</v>
      </c>
      <c r="F42" s="6" t="s">
        <v>56</v>
      </c>
      <c r="G42" s="6" t="s">
        <v>72</v>
      </c>
      <c r="H42" s="8" t="n">
        <v>25314.94</v>
      </c>
      <c r="I42" s="6" t="n">
        <v>609864</v>
      </c>
      <c r="J42" s="6" t="n">
        <v>20889</v>
      </c>
      <c r="K42" s="6" t="n">
        <v>1477</v>
      </c>
      <c r="L42" s="8" t="n">
        <v>1616610.27</v>
      </c>
      <c r="M42" s="9" t="n">
        <v>0.0342518987839912</v>
      </c>
      <c r="N42" s="8" t="n">
        <v>1.21187897936713</v>
      </c>
      <c r="O42" s="8" t="n">
        <v>17.1394312796209</v>
      </c>
      <c r="P42" s="10" t="n">
        <v>63.8599289589468</v>
      </c>
      <c r="Q42" s="9" t="n">
        <v>0.0707070707070707</v>
      </c>
    </row>
    <row r="43" customFormat="false" ht="15" hidden="false" customHeight="false" outlineLevel="0" collapsed="false">
      <c r="A43" s="6" t="n">
        <v>1365</v>
      </c>
      <c r="B43" s="6" t="s">
        <v>74</v>
      </c>
      <c r="C43" s="6" t="s">
        <v>59</v>
      </c>
      <c r="D43" s="7" t="n">
        <v>45425</v>
      </c>
      <c r="E43" s="7" t="n">
        <v>45435</v>
      </c>
      <c r="F43" s="6" t="s">
        <v>56</v>
      </c>
      <c r="G43" s="6" t="s">
        <v>72</v>
      </c>
      <c r="H43" s="8" t="n">
        <v>59476.53</v>
      </c>
      <c r="I43" s="6" t="n">
        <v>1379231</v>
      </c>
      <c r="J43" s="6" t="n">
        <v>18556</v>
      </c>
      <c r="K43" s="6" t="n">
        <v>295</v>
      </c>
      <c r="L43" s="8" t="n">
        <v>260490.71</v>
      </c>
      <c r="M43" s="9" t="n">
        <v>0.0134538739340981</v>
      </c>
      <c r="N43" s="8" t="n">
        <v>3.2052452037077</v>
      </c>
      <c r="O43" s="8" t="n">
        <v>201.615355932203</v>
      </c>
      <c r="P43" s="10" t="n">
        <v>4.37972272424097</v>
      </c>
      <c r="Q43" s="9" t="n">
        <v>0.0158978228066394</v>
      </c>
    </row>
    <row r="44" customFormat="false" ht="15" hidden="false" customHeight="false" outlineLevel="0" collapsed="false">
      <c r="A44" s="6" t="n">
        <v>1675</v>
      </c>
      <c r="B44" s="6" t="s">
        <v>74</v>
      </c>
      <c r="C44" s="6" t="s">
        <v>59</v>
      </c>
      <c r="D44" s="7" t="n">
        <v>45496</v>
      </c>
      <c r="E44" s="7" t="n">
        <v>45526</v>
      </c>
      <c r="F44" s="6" t="s">
        <v>69</v>
      </c>
      <c r="G44" s="6" t="s">
        <v>72</v>
      </c>
      <c r="H44" s="8" t="n">
        <v>70828.98</v>
      </c>
      <c r="I44" s="6" t="n">
        <v>1827028</v>
      </c>
      <c r="J44" s="6" t="n">
        <v>58907</v>
      </c>
      <c r="K44" s="6" t="n">
        <v>1479</v>
      </c>
      <c r="L44" s="8" t="n">
        <v>905251.01</v>
      </c>
      <c r="M44" s="9" t="n">
        <v>0.032241979871135</v>
      </c>
      <c r="N44" s="8" t="n">
        <v>1.20238647359397</v>
      </c>
      <c r="O44" s="8" t="n">
        <v>47.8897768762677</v>
      </c>
      <c r="P44" s="10" t="n">
        <v>12.78079975174</v>
      </c>
      <c r="Q44" s="9" t="n">
        <v>0.0251073726382264</v>
      </c>
    </row>
    <row r="45" customFormat="false" ht="15" hidden="false" customHeight="false" outlineLevel="0" collapsed="false">
      <c r="A45" s="6" t="n">
        <v>1702</v>
      </c>
      <c r="B45" s="6" t="s">
        <v>73</v>
      </c>
      <c r="C45" s="6" t="s">
        <v>47</v>
      </c>
      <c r="D45" s="7" t="n">
        <v>45480</v>
      </c>
      <c r="E45" s="7" t="n">
        <v>45508</v>
      </c>
      <c r="F45" s="6" t="s">
        <v>56</v>
      </c>
      <c r="G45" s="6" t="s">
        <v>61</v>
      </c>
      <c r="H45" s="8" t="n">
        <v>4022.16</v>
      </c>
      <c r="I45" s="6" t="n">
        <v>90484</v>
      </c>
      <c r="J45" s="6" t="n">
        <v>567</v>
      </c>
      <c r="K45" s="6" t="n">
        <v>21</v>
      </c>
      <c r="L45" s="8" t="n">
        <v>34140.06</v>
      </c>
      <c r="M45" s="9" t="n">
        <v>0.00626630122452588</v>
      </c>
      <c r="N45" s="8" t="n">
        <v>7.09375661375661</v>
      </c>
      <c r="O45" s="8" t="n">
        <v>191.531428571429</v>
      </c>
      <c r="P45" s="10" t="n">
        <v>8.48799152694075</v>
      </c>
      <c r="Q45" s="9" t="n">
        <v>0.037037037037037</v>
      </c>
    </row>
    <row r="46" customFormat="false" ht="15" hidden="false" customHeight="false" outlineLevel="0" collapsed="false">
      <c r="A46" s="6" t="n">
        <v>1033</v>
      </c>
      <c r="B46" s="6" t="s">
        <v>55</v>
      </c>
      <c r="C46" s="6" t="s">
        <v>47</v>
      </c>
      <c r="D46" s="7" t="n">
        <v>45515</v>
      </c>
      <c r="E46" s="7" t="n">
        <v>45543</v>
      </c>
      <c r="F46" s="6" t="s">
        <v>51</v>
      </c>
      <c r="G46" s="6" t="s">
        <v>57</v>
      </c>
      <c r="H46" s="8" t="n">
        <v>2878.77</v>
      </c>
      <c r="I46" s="6" t="n">
        <v>104478</v>
      </c>
      <c r="J46" s="6" t="n">
        <v>3126</v>
      </c>
      <c r="K46" s="6" t="n">
        <v>50</v>
      </c>
      <c r="L46" s="8" t="n">
        <v>81418.26</v>
      </c>
      <c r="M46" s="9" t="n">
        <v>0.0299201745822087</v>
      </c>
      <c r="N46" s="8" t="n">
        <v>0.920911708253359</v>
      </c>
      <c r="O46" s="8" t="n">
        <v>57.5754</v>
      </c>
      <c r="P46" s="10" t="n">
        <v>28.2823080690712</v>
      </c>
      <c r="Q46" s="9" t="n">
        <v>0.0159948816378759</v>
      </c>
    </row>
    <row r="47" customFormat="false" ht="15" hidden="false" customHeight="false" outlineLevel="0" collapsed="false">
      <c r="A47" s="6" t="n">
        <v>1668</v>
      </c>
      <c r="B47" s="6" t="s">
        <v>68</v>
      </c>
      <c r="C47" s="6" t="s">
        <v>59</v>
      </c>
      <c r="D47" s="7" t="n">
        <v>45376</v>
      </c>
      <c r="E47" s="7" t="n">
        <v>45401</v>
      </c>
      <c r="F47" s="6" t="s">
        <v>53</v>
      </c>
      <c r="G47" s="6" t="s">
        <v>57</v>
      </c>
      <c r="H47" s="8" t="n">
        <v>79420.56</v>
      </c>
      <c r="I47" s="6" t="n">
        <v>1640545</v>
      </c>
      <c r="J47" s="6" t="n">
        <v>54005</v>
      </c>
      <c r="K47" s="6" t="n">
        <v>3247</v>
      </c>
      <c r="L47" s="8" t="n">
        <v>3682719.06</v>
      </c>
      <c r="M47" s="9" t="n">
        <v>0.0329189385234785</v>
      </c>
      <c r="N47" s="8" t="n">
        <v>1.47061494306083</v>
      </c>
      <c r="O47" s="8" t="n">
        <v>24.4596735448106</v>
      </c>
      <c r="P47" s="10" t="n">
        <v>46.3698450376074</v>
      </c>
      <c r="Q47" s="9" t="n">
        <v>0.0601240625867975</v>
      </c>
    </row>
    <row r="48" customFormat="false" ht="15" hidden="false" customHeight="false" outlineLevel="0" collapsed="false">
      <c r="A48" s="6" t="n">
        <v>1032</v>
      </c>
      <c r="B48" s="6" t="s">
        <v>70</v>
      </c>
      <c r="C48" s="6" t="s">
        <v>50</v>
      </c>
      <c r="D48" s="7" t="n">
        <v>45327</v>
      </c>
      <c r="E48" s="7" t="n">
        <v>45348</v>
      </c>
      <c r="F48" s="6" t="s">
        <v>48</v>
      </c>
      <c r="G48" s="6" t="s">
        <v>54</v>
      </c>
      <c r="H48" s="8" t="n">
        <v>33886.18</v>
      </c>
      <c r="I48" s="6" t="n">
        <v>1228014</v>
      </c>
      <c r="J48" s="6" t="n">
        <v>36435</v>
      </c>
      <c r="K48" s="6" t="n">
        <v>633</v>
      </c>
      <c r="L48" s="8" t="n">
        <v>1103408.87</v>
      </c>
      <c r="M48" s="9" t="n">
        <v>0.0296698571840386</v>
      </c>
      <c r="N48" s="8" t="n">
        <v>0.930044737203239</v>
      </c>
      <c r="O48" s="8" t="n">
        <v>53.5326698262243</v>
      </c>
      <c r="P48" s="10" t="n">
        <v>32.5622088414805</v>
      </c>
      <c r="Q48" s="9" t="n">
        <v>0.0173734046932894</v>
      </c>
    </row>
    <row r="49" customFormat="false" ht="15" hidden="false" customHeight="false" outlineLevel="0" collapsed="false">
      <c r="A49" s="6" t="n">
        <v>1285</v>
      </c>
      <c r="B49" s="6" t="s">
        <v>77</v>
      </c>
      <c r="C49" s="6" t="s">
        <v>71</v>
      </c>
      <c r="D49" s="7" t="n">
        <v>45494</v>
      </c>
      <c r="E49" s="7" t="n">
        <v>45522</v>
      </c>
      <c r="F49" s="6" t="s">
        <v>48</v>
      </c>
      <c r="G49" s="6" t="s">
        <v>54</v>
      </c>
      <c r="H49" s="8" t="n">
        <v>40031.65</v>
      </c>
      <c r="I49" s="6" t="n">
        <v>629615</v>
      </c>
      <c r="J49" s="6" t="n">
        <v>6465</v>
      </c>
      <c r="K49" s="6" t="n">
        <v>214</v>
      </c>
      <c r="L49" s="8" t="n">
        <v>179761.81</v>
      </c>
      <c r="M49" s="9" t="n">
        <v>0.0102681797606474</v>
      </c>
      <c r="N49" s="8" t="n">
        <v>6.19205723124517</v>
      </c>
      <c r="O49" s="8" t="n">
        <v>187.063785046729</v>
      </c>
      <c r="P49" s="10" t="n">
        <v>4.49049214808783</v>
      </c>
      <c r="Q49" s="9" t="n">
        <v>0.0331013147718484</v>
      </c>
    </row>
    <row r="50" customFormat="false" ht="15" hidden="false" customHeight="false" outlineLevel="0" collapsed="false">
      <c r="A50" s="6" t="n">
        <v>1609</v>
      </c>
      <c r="B50" s="6" t="s">
        <v>77</v>
      </c>
      <c r="C50" s="6" t="s">
        <v>47</v>
      </c>
      <c r="D50" s="7" t="n">
        <v>45451</v>
      </c>
      <c r="E50" s="7" t="n">
        <v>45464</v>
      </c>
      <c r="F50" s="6" t="s">
        <v>69</v>
      </c>
      <c r="G50" s="6" t="s">
        <v>49</v>
      </c>
      <c r="H50" s="8" t="n">
        <v>3454.79</v>
      </c>
      <c r="I50" s="6" t="n">
        <v>81313</v>
      </c>
      <c r="J50" s="6" t="n">
        <v>1792</v>
      </c>
      <c r="K50" s="6" t="n">
        <v>105</v>
      </c>
      <c r="L50" s="8" t="n">
        <v>122952.32</v>
      </c>
      <c r="M50" s="9" t="n">
        <v>0.0220382964593607</v>
      </c>
      <c r="N50" s="8" t="n">
        <v>1.92789620535714</v>
      </c>
      <c r="O50" s="8" t="n">
        <v>32.9027619047619</v>
      </c>
      <c r="P50" s="10" t="n">
        <v>35.5889417301775</v>
      </c>
      <c r="Q50" s="9" t="n">
        <v>0.05859375</v>
      </c>
    </row>
    <row r="51" customFormat="false" ht="15" hidden="false" customHeight="false" outlineLevel="0" collapsed="false">
      <c r="A51" s="6" t="n">
        <v>1550</v>
      </c>
      <c r="B51" s="6" t="s">
        <v>64</v>
      </c>
      <c r="C51" s="6" t="s">
        <v>47</v>
      </c>
      <c r="D51" s="7" t="n">
        <v>45320</v>
      </c>
      <c r="E51" s="7" t="n">
        <v>45333</v>
      </c>
      <c r="F51" s="6" t="s">
        <v>53</v>
      </c>
      <c r="G51" s="6" t="s">
        <v>57</v>
      </c>
      <c r="H51" s="8" t="n">
        <v>1749.34</v>
      </c>
      <c r="I51" s="6" t="n">
        <v>52232</v>
      </c>
      <c r="J51" s="6" t="n">
        <v>1549</v>
      </c>
      <c r="K51" s="6" t="n">
        <v>76</v>
      </c>
      <c r="L51" s="8" t="n">
        <v>102703.34</v>
      </c>
      <c r="M51" s="9" t="n">
        <v>0.0296561494869046</v>
      </c>
      <c r="N51" s="8" t="n">
        <v>1.12933505487411</v>
      </c>
      <c r="O51" s="8" t="n">
        <v>23.0176315789474</v>
      </c>
      <c r="P51" s="10" t="n">
        <v>58.7097648255914</v>
      </c>
      <c r="Q51" s="9" t="n">
        <v>0.0490639122014203</v>
      </c>
    </row>
    <row r="52" customFormat="false" ht="15" hidden="false" customHeight="false" outlineLevel="0" collapsed="false">
      <c r="A52" s="6" t="n">
        <v>1768</v>
      </c>
      <c r="B52" s="6" t="s">
        <v>79</v>
      </c>
      <c r="C52" s="6" t="s">
        <v>50</v>
      </c>
      <c r="D52" s="7" t="n">
        <v>45585</v>
      </c>
      <c r="E52" s="7" t="n">
        <v>45610</v>
      </c>
      <c r="F52" s="6" t="s">
        <v>69</v>
      </c>
      <c r="G52" s="6" t="s">
        <v>54</v>
      </c>
      <c r="H52" s="8" t="n">
        <v>22316.07</v>
      </c>
      <c r="I52" s="6" t="n">
        <v>640436</v>
      </c>
      <c r="J52" s="6" t="n">
        <v>21301</v>
      </c>
      <c r="K52" s="6" t="n">
        <v>1547</v>
      </c>
      <c r="L52" s="8" t="n">
        <v>1071383.47</v>
      </c>
      <c r="M52" s="9" t="n">
        <v>0.0332601540200738</v>
      </c>
      <c r="N52" s="8" t="n">
        <v>1.04765363128492</v>
      </c>
      <c r="O52" s="8" t="n">
        <v>14.4253846153846</v>
      </c>
      <c r="P52" s="10" t="n">
        <v>48.0095048097627</v>
      </c>
      <c r="Q52" s="9" t="n">
        <v>0.0726256983240224</v>
      </c>
    </row>
    <row r="53" customFormat="false" ht="15" hidden="false" customHeight="false" outlineLevel="0" collapsed="false">
      <c r="A53" s="6" t="n">
        <v>1035</v>
      </c>
      <c r="B53" s="6" t="s">
        <v>76</v>
      </c>
      <c r="C53" s="6" t="s">
        <v>47</v>
      </c>
      <c r="D53" s="7" t="n">
        <v>45589</v>
      </c>
      <c r="E53" s="7" t="n">
        <v>45605</v>
      </c>
      <c r="F53" s="6" t="s">
        <v>67</v>
      </c>
      <c r="G53" s="6" t="s">
        <v>61</v>
      </c>
      <c r="H53" s="8" t="n">
        <v>4874.31</v>
      </c>
      <c r="I53" s="6" t="n">
        <v>115004</v>
      </c>
      <c r="J53" s="6" t="n">
        <v>4013</v>
      </c>
      <c r="K53" s="6" t="n">
        <v>194</v>
      </c>
      <c r="L53" s="8" t="n">
        <v>166864.3</v>
      </c>
      <c r="M53" s="9" t="n">
        <v>0.0348944384543146</v>
      </c>
      <c r="N53" s="8" t="n">
        <v>1.21462995265388</v>
      </c>
      <c r="O53" s="8" t="n">
        <v>25.1253092783505</v>
      </c>
      <c r="P53" s="10" t="n">
        <v>34.2334197045325</v>
      </c>
      <c r="Q53" s="9" t="n">
        <v>0.0483428856217294</v>
      </c>
    </row>
    <row r="54" customFormat="false" ht="15" hidden="false" customHeight="false" outlineLevel="0" collapsed="false">
      <c r="A54" s="6" t="n">
        <v>1096</v>
      </c>
      <c r="B54" s="6" t="s">
        <v>66</v>
      </c>
      <c r="C54" s="6" t="s">
        <v>59</v>
      </c>
      <c r="D54" s="7" t="n">
        <v>45365</v>
      </c>
      <c r="E54" s="7" t="n">
        <v>45376</v>
      </c>
      <c r="F54" s="6" t="s">
        <v>48</v>
      </c>
      <c r="G54" s="6" t="s">
        <v>72</v>
      </c>
      <c r="H54" s="8" t="n">
        <v>53184.19</v>
      </c>
      <c r="I54" s="6" t="n">
        <v>1462668</v>
      </c>
      <c r="J54" s="6" t="n">
        <v>9301</v>
      </c>
      <c r="K54" s="6" t="n">
        <v>182</v>
      </c>
      <c r="L54" s="8" t="n">
        <v>151589.44</v>
      </c>
      <c r="M54" s="9" t="n">
        <v>0.00635892765822456</v>
      </c>
      <c r="N54" s="8" t="n">
        <v>5.71811525642404</v>
      </c>
      <c r="O54" s="8" t="n">
        <v>292.220824175824</v>
      </c>
      <c r="P54" s="10" t="n">
        <v>2.85027260920962</v>
      </c>
      <c r="Q54" s="9" t="n">
        <v>0.0195677884098484</v>
      </c>
    </row>
    <row r="55" customFormat="false" ht="15" hidden="false" customHeight="false" outlineLevel="0" collapsed="false">
      <c r="A55" s="6" t="n">
        <v>1597</v>
      </c>
      <c r="B55" s="6" t="s">
        <v>70</v>
      </c>
      <c r="C55" s="6" t="s">
        <v>63</v>
      </c>
      <c r="D55" s="7" t="n">
        <v>45294</v>
      </c>
      <c r="E55" s="7" t="n">
        <v>45307</v>
      </c>
      <c r="F55" s="6" t="s">
        <v>60</v>
      </c>
      <c r="G55" s="6" t="s">
        <v>75</v>
      </c>
      <c r="H55" s="8" t="n">
        <v>15205.86</v>
      </c>
      <c r="I55" s="6" t="n">
        <v>441885</v>
      </c>
      <c r="J55" s="6" t="n">
        <v>8688</v>
      </c>
      <c r="K55" s="6" t="n">
        <v>390</v>
      </c>
      <c r="L55" s="8" t="n">
        <v>679083.27</v>
      </c>
      <c r="M55" s="9" t="n">
        <v>0.0196612240741369</v>
      </c>
      <c r="N55" s="8" t="n">
        <v>1.75021408839779</v>
      </c>
      <c r="O55" s="8" t="n">
        <v>38.9893846153846</v>
      </c>
      <c r="P55" s="10" t="n">
        <v>44.6593135804223</v>
      </c>
      <c r="Q55" s="9" t="n">
        <v>0.0448895027624309</v>
      </c>
    </row>
    <row r="56" customFormat="false" ht="15" hidden="false" customHeight="false" outlineLevel="0" collapsed="false">
      <c r="A56" s="6" t="n">
        <v>1523</v>
      </c>
      <c r="B56" s="6" t="s">
        <v>55</v>
      </c>
      <c r="C56" s="6" t="s">
        <v>59</v>
      </c>
      <c r="D56" s="7" t="n">
        <v>45613</v>
      </c>
      <c r="E56" s="7" t="n">
        <v>45618</v>
      </c>
      <c r="F56" s="6" t="s">
        <v>56</v>
      </c>
      <c r="G56" s="6" t="s">
        <v>72</v>
      </c>
      <c r="H56" s="8" t="n">
        <v>88859.84</v>
      </c>
      <c r="I56" s="6" t="n">
        <v>3258799</v>
      </c>
      <c r="J56" s="6" t="n">
        <v>27139</v>
      </c>
      <c r="K56" s="6" t="n">
        <v>2032</v>
      </c>
      <c r="L56" s="8" t="n">
        <v>1072677.09</v>
      </c>
      <c r="M56" s="9" t="n">
        <v>0.00832791467040465</v>
      </c>
      <c r="N56" s="8" t="n">
        <v>3.27424886694425</v>
      </c>
      <c r="O56" s="8" t="n">
        <v>43.7302362204724</v>
      </c>
      <c r="P56" s="10" t="n">
        <v>12.071562249043</v>
      </c>
      <c r="Q56" s="9" t="n">
        <v>0.0748737978554847</v>
      </c>
    </row>
    <row r="57" customFormat="false" ht="15" hidden="false" customHeight="false" outlineLevel="0" collapsed="false">
      <c r="A57" s="6" t="n">
        <v>1054</v>
      </c>
      <c r="B57" s="6" t="s">
        <v>70</v>
      </c>
      <c r="C57" s="6" t="s">
        <v>50</v>
      </c>
      <c r="D57" s="7" t="n">
        <v>45577</v>
      </c>
      <c r="E57" s="7" t="n">
        <v>45593</v>
      </c>
      <c r="F57" s="6" t="s">
        <v>60</v>
      </c>
      <c r="G57" s="6" t="s">
        <v>61</v>
      </c>
      <c r="H57" s="8" t="n">
        <v>65347.74</v>
      </c>
      <c r="I57" s="6" t="n">
        <v>1002954</v>
      </c>
      <c r="J57" s="6" t="n">
        <v>21159</v>
      </c>
      <c r="K57" s="6" t="n">
        <v>885</v>
      </c>
      <c r="L57" s="8" t="n">
        <v>1173157.02</v>
      </c>
      <c r="M57" s="9" t="n">
        <v>0.0210966804060804</v>
      </c>
      <c r="N57" s="8" t="n">
        <v>3.0884134410889</v>
      </c>
      <c r="O57" s="8" t="n">
        <v>73.8392542372881</v>
      </c>
      <c r="P57" s="10" t="n">
        <v>17.9525262847652</v>
      </c>
      <c r="Q57" s="9" t="n">
        <v>0.0418261732596058</v>
      </c>
    </row>
    <row r="58" customFormat="false" ht="15" hidden="false" customHeight="false" outlineLevel="0" collapsed="false">
      <c r="A58" s="6" t="n">
        <v>1168</v>
      </c>
      <c r="B58" s="6" t="s">
        <v>46</v>
      </c>
      <c r="C58" s="6" t="s">
        <v>59</v>
      </c>
      <c r="D58" s="7" t="n">
        <v>45469</v>
      </c>
      <c r="E58" s="7" t="n">
        <v>45484</v>
      </c>
      <c r="F58" s="6" t="s">
        <v>65</v>
      </c>
      <c r="G58" s="6" t="s">
        <v>61</v>
      </c>
      <c r="H58" s="8" t="n">
        <v>50405.87</v>
      </c>
      <c r="I58" s="6" t="n">
        <v>2450674</v>
      </c>
      <c r="J58" s="6" t="n">
        <v>72662</v>
      </c>
      <c r="K58" s="6" t="n">
        <v>4134</v>
      </c>
      <c r="L58" s="8" t="n">
        <v>5818458.75</v>
      </c>
      <c r="M58" s="9" t="n">
        <v>0.0296498024625062</v>
      </c>
      <c r="N58" s="8" t="n">
        <v>0.693703311221822</v>
      </c>
      <c r="O58" s="8" t="n">
        <v>12.1930019351717</v>
      </c>
      <c r="P58" s="10" t="n">
        <v>115.432165936229</v>
      </c>
      <c r="Q58" s="9" t="n">
        <v>0.0568935619718698</v>
      </c>
    </row>
    <row r="59" customFormat="false" ht="15" hidden="false" customHeight="false" outlineLevel="0" collapsed="false">
      <c r="A59" s="6" t="n">
        <v>1651</v>
      </c>
      <c r="B59" s="6" t="s">
        <v>68</v>
      </c>
      <c r="C59" s="6" t="s">
        <v>50</v>
      </c>
      <c r="D59" s="7" t="n">
        <v>45476</v>
      </c>
      <c r="E59" s="7" t="n">
        <v>45505</v>
      </c>
      <c r="F59" s="6" t="s">
        <v>48</v>
      </c>
      <c r="G59" s="6" t="s">
        <v>61</v>
      </c>
      <c r="H59" s="8" t="n">
        <v>62309.12</v>
      </c>
      <c r="I59" s="6" t="n">
        <v>1269256</v>
      </c>
      <c r="J59" s="6" t="n">
        <v>18579</v>
      </c>
      <c r="K59" s="6" t="n">
        <v>481</v>
      </c>
      <c r="L59" s="8" t="n">
        <v>420969.04</v>
      </c>
      <c r="M59" s="9" t="n">
        <v>0.0146377090200874</v>
      </c>
      <c r="N59" s="8" t="n">
        <v>3.35373916787771</v>
      </c>
      <c r="O59" s="8" t="n">
        <v>129.54079002079</v>
      </c>
      <c r="P59" s="10" t="n">
        <v>6.75613842724789</v>
      </c>
      <c r="Q59" s="9" t="n">
        <v>0.0258894450723936</v>
      </c>
    </row>
    <row r="60" customFormat="false" ht="15" hidden="false" customHeight="false" outlineLevel="0" collapsed="false">
      <c r="A60" s="6" t="n">
        <v>1398</v>
      </c>
      <c r="B60" s="6" t="s">
        <v>62</v>
      </c>
      <c r="C60" s="6" t="s">
        <v>50</v>
      </c>
      <c r="D60" s="7" t="n">
        <v>45505</v>
      </c>
      <c r="E60" s="7" t="n">
        <v>45525</v>
      </c>
      <c r="F60" s="6" t="s">
        <v>69</v>
      </c>
      <c r="G60" s="6" t="s">
        <v>54</v>
      </c>
      <c r="H60" s="8" t="n">
        <v>31679.13</v>
      </c>
      <c r="I60" s="6" t="n">
        <v>833457</v>
      </c>
      <c r="J60" s="6" t="n">
        <v>12614</v>
      </c>
      <c r="K60" s="6" t="n">
        <v>459</v>
      </c>
      <c r="L60" s="8" t="n">
        <v>716024.85</v>
      </c>
      <c r="M60" s="9" t="n">
        <v>0.0151345540321816</v>
      </c>
      <c r="N60" s="8" t="n">
        <v>2.51142619311876</v>
      </c>
      <c r="O60" s="8" t="n">
        <v>69.0177124183007</v>
      </c>
      <c r="P60" s="10" t="n">
        <v>22.6024152178422</v>
      </c>
      <c r="Q60" s="9" t="n">
        <v>0.0363881401617251</v>
      </c>
    </row>
    <row r="61" customFormat="false" ht="15" hidden="false" customHeight="false" outlineLevel="0" collapsed="false">
      <c r="A61" s="6" t="n">
        <v>1144</v>
      </c>
      <c r="B61" s="6" t="s">
        <v>73</v>
      </c>
      <c r="C61" s="6" t="s">
        <v>71</v>
      </c>
      <c r="D61" s="7" t="n">
        <v>45624</v>
      </c>
      <c r="E61" s="7" t="n">
        <v>45638</v>
      </c>
      <c r="F61" s="6" t="s">
        <v>56</v>
      </c>
      <c r="G61" s="6" t="s">
        <v>54</v>
      </c>
      <c r="H61" s="8" t="n">
        <v>53470.02</v>
      </c>
      <c r="I61" s="6" t="n">
        <v>1973839</v>
      </c>
      <c r="J61" s="6" t="n">
        <v>15396</v>
      </c>
      <c r="K61" s="6" t="n">
        <v>542</v>
      </c>
      <c r="L61" s="8" t="n">
        <v>254474.3</v>
      </c>
      <c r="M61" s="9" t="n">
        <v>0.0078000282697829</v>
      </c>
      <c r="N61" s="8" t="n">
        <v>3.47298129384256</v>
      </c>
      <c r="O61" s="8" t="n">
        <v>98.6531734317343</v>
      </c>
      <c r="P61" s="10" t="n">
        <v>4.75919590080572</v>
      </c>
      <c r="Q61" s="9" t="n">
        <v>0.0352039490776825</v>
      </c>
    </row>
    <row r="62" customFormat="false" ht="15" hidden="false" customHeight="false" outlineLevel="0" collapsed="false">
      <c r="A62" s="6" t="n">
        <v>1502</v>
      </c>
      <c r="B62" s="6" t="s">
        <v>55</v>
      </c>
      <c r="C62" s="6" t="s">
        <v>47</v>
      </c>
      <c r="D62" s="7" t="n">
        <v>45372</v>
      </c>
      <c r="E62" s="7" t="n">
        <v>45385</v>
      </c>
      <c r="F62" s="6" t="s">
        <v>60</v>
      </c>
      <c r="G62" s="6" t="s">
        <v>57</v>
      </c>
      <c r="H62" s="8" t="n">
        <v>4650.51</v>
      </c>
      <c r="I62" s="6" t="n">
        <v>183454</v>
      </c>
      <c r="J62" s="6" t="n">
        <v>1605</v>
      </c>
      <c r="K62" s="6" t="n">
        <v>39</v>
      </c>
      <c r="L62" s="8" t="n">
        <v>48656.92</v>
      </c>
      <c r="M62" s="9" t="n">
        <v>0.00874878716190435</v>
      </c>
      <c r="N62" s="8" t="n">
        <v>2.89751401869159</v>
      </c>
      <c r="O62" s="8" t="n">
        <v>119.243846153846</v>
      </c>
      <c r="P62" s="10" t="n">
        <v>10.4627062408209</v>
      </c>
      <c r="Q62" s="9" t="n">
        <v>0.0242990654205607</v>
      </c>
    </row>
    <row r="63" customFormat="false" ht="15" hidden="false" customHeight="false" outlineLevel="0" collapsed="false">
      <c r="A63" s="6" t="n">
        <v>1541</v>
      </c>
      <c r="B63" s="6" t="s">
        <v>77</v>
      </c>
      <c r="C63" s="6" t="s">
        <v>71</v>
      </c>
      <c r="D63" s="7" t="n">
        <v>45590</v>
      </c>
      <c r="E63" s="7" t="n">
        <v>45595</v>
      </c>
      <c r="F63" s="6" t="s">
        <v>51</v>
      </c>
      <c r="G63" s="6" t="s">
        <v>54</v>
      </c>
      <c r="H63" s="8" t="n">
        <v>53407.36</v>
      </c>
      <c r="I63" s="6" t="n">
        <v>1432075</v>
      </c>
      <c r="J63" s="6" t="n">
        <v>9101</v>
      </c>
      <c r="K63" s="6" t="n">
        <v>102</v>
      </c>
      <c r="L63" s="8" t="n">
        <v>136278.84</v>
      </c>
      <c r="M63" s="9" t="n">
        <v>0.00635511408271215</v>
      </c>
      <c r="N63" s="8" t="n">
        <v>5.86829579167125</v>
      </c>
      <c r="O63" s="8" t="n">
        <v>523.601568627451</v>
      </c>
      <c r="P63" s="10" t="n">
        <v>2.55168650912533</v>
      </c>
      <c r="Q63" s="9" t="n">
        <v>0.0112075596088342</v>
      </c>
    </row>
    <row r="64" customFormat="false" ht="15" hidden="false" customHeight="false" outlineLevel="0" collapsed="false">
      <c r="A64" s="6" t="n">
        <v>1730</v>
      </c>
      <c r="B64" s="6" t="s">
        <v>68</v>
      </c>
      <c r="C64" s="6" t="s">
        <v>47</v>
      </c>
      <c r="D64" s="7" t="n">
        <v>45408</v>
      </c>
      <c r="E64" s="7" t="n">
        <v>45420</v>
      </c>
      <c r="F64" s="6" t="s">
        <v>67</v>
      </c>
      <c r="G64" s="6" t="s">
        <v>49</v>
      </c>
      <c r="H64" s="8" t="n">
        <v>5513.31</v>
      </c>
      <c r="I64" s="6" t="n">
        <v>159566</v>
      </c>
      <c r="J64" s="6" t="n">
        <v>1049</v>
      </c>
      <c r="K64" s="6" t="n">
        <v>72</v>
      </c>
      <c r="L64" s="8" t="n">
        <v>48744.27</v>
      </c>
      <c r="M64" s="9" t="n">
        <v>0.00657408219796197</v>
      </c>
      <c r="N64" s="8" t="n">
        <v>5.25577693040991</v>
      </c>
      <c r="O64" s="8" t="n">
        <v>76.57375</v>
      </c>
      <c r="P64" s="10" t="n">
        <v>8.84119884425146</v>
      </c>
      <c r="Q64" s="9" t="n">
        <v>0.0686367969494757</v>
      </c>
    </row>
    <row r="65" customFormat="false" ht="15" hidden="false" customHeight="false" outlineLevel="0" collapsed="false">
      <c r="A65" s="6" t="n">
        <v>1236</v>
      </c>
      <c r="B65" s="6" t="s">
        <v>79</v>
      </c>
      <c r="C65" s="6" t="s">
        <v>50</v>
      </c>
      <c r="D65" s="7" t="n">
        <v>45415</v>
      </c>
      <c r="E65" s="7" t="n">
        <v>45428</v>
      </c>
      <c r="F65" s="6" t="s">
        <v>65</v>
      </c>
      <c r="G65" s="6" t="s">
        <v>61</v>
      </c>
      <c r="H65" s="8" t="n">
        <v>26044.53</v>
      </c>
      <c r="I65" s="6" t="n">
        <v>934308</v>
      </c>
      <c r="J65" s="6" t="n">
        <v>28113</v>
      </c>
      <c r="K65" s="6" t="n">
        <v>981</v>
      </c>
      <c r="L65" s="8" t="n">
        <v>1451351.04</v>
      </c>
      <c r="M65" s="9" t="n">
        <v>0.0300896492377246</v>
      </c>
      <c r="N65" s="8" t="n">
        <v>0.926423007149717</v>
      </c>
      <c r="O65" s="8" t="n">
        <v>26.5489602446483</v>
      </c>
      <c r="P65" s="10" t="n">
        <v>55.7257527780306</v>
      </c>
      <c r="Q65" s="9" t="n">
        <v>0.0348948884857539</v>
      </c>
    </row>
    <row r="66" customFormat="false" ht="15" hidden="false" customHeight="false" outlineLevel="0" collapsed="false">
      <c r="A66" s="6" t="n">
        <v>1788</v>
      </c>
      <c r="B66" s="6" t="s">
        <v>74</v>
      </c>
      <c r="C66" s="6" t="s">
        <v>50</v>
      </c>
      <c r="D66" s="7" t="n">
        <v>45463</v>
      </c>
      <c r="E66" s="7" t="n">
        <v>45472</v>
      </c>
      <c r="F66" s="6" t="s">
        <v>51</v>
      </c>
      <c r="G66" s="6" t="s">
        <v>61</v>
      </c>
      <c r="H66" s="8" t="n">
        <v>71895.34</v>
      </c>
      <c r="I66" s="6" t="n">
        <v>1509844</v>
      </c>
      <c r="J66" s="6" t="n">
        <v>34904</v>
      </c>
      <c r="K66" s="6" t="n">
        <v>2687</v>
      </c>
      <c r="L66" s="8" t="n">
        <v>4475453.76</v>
      </c>
      <c r="M66" s="9" t="n">
        <v>0.0231176200985002</v>
      </c>
      <c r="N66" s="8" t="n">
        <v>2.05980231492093</v>
      </c>
      <c r="O66" s="8" t="n">
        <v>26.7567324153331</v>
      </c>
      <c r="P66" s="10" t="n">
        <v>62.2495666617614</v>
      </c>
      <c r="Q66" s="9" t="n">
        <v>0.0769825807930323</v>
      </c>
    </row>
    <row r="67" customFormat="false" ht="15" hidden="false" customHeight="false" outlineLevel="0" collapsed="false">
      <c r="A67" s="6" t="n">
        <v>1148</v>
      </c>
      <c r="B67" s="6" t="s">
        <v>79</v>
      </c>
      <c r="C67" s="6" t="s">
        <v>71</v>
      </c>
      <c r="D67" s="7" t="n">
        <v>45545</v>
      </c>
      <c r="E67" s="7" t="n">
        <v>45562</v>
      </c>
      <c r="F67" s="6" t="s">
        <v>65</v>
      </c>
      <c r="G67" s="6" t="s">
        <v>49</v>
      </c>
      <c r="H67" s="8" t="n">
        <v>20536.25</v>
      </c>
      <c r="I67" s="6" t="n">
        <v>635639</v>
      </c>
      <c r="J67" s="6" t="n">
        <v>4532</v>
      </c>
      <c r="K67" s="6" t="n">
        <v>327</v>
      </c>
      <c r="L67" s="8" t="n">
        <v>120171.57</v>
      </c>
      <c r="M67" s="9" t="n">
        <v>0.00712983312855253</v>
      </c>
      <c r="N67" s="8" t="n">
        <v>4.5313879082083</v>
      </c>
      <c r="O67" s="8" t="n">
        <v>62.8019877675841</v>
      </c>
      <c r="P67" s="10" t="n">
        <v>5.85168032138292</v>
      </c>
      <c r="Q67" s="9" t="n">
        <v>0.0721535745807591</v>
      </c>
    </row>
    <row r="68" customFormat="false" ht="15" hidden="false" customHeight="false" outlineLevel="0" collapsed="false">
      <c r="A68" s="6" t="n">
        <v>1239</v>
      </c>
      <c r="B68" s="6" t="s">
        <v>52</v>
      </c>
      <c r="C68" s="6" t="s">
        <v>47</v>
      </c>
      <c r="D68" s="7" t="n">
        <v>45478</v>
      </c>
      <c r="E68" s="7" t="n">
        <v>45495</v>
      </c>
      <c r="F68" s="6" t="s">
        <v>48</v>
      </c>
      <c r="G68" s="6" t="s">
        <v>61</v>
      </c>
      <c r="H68" s="8" t="n">
        <v>4155.1</v>
      </c>
      <c r="I68" s="6" t="n">
        <v>121683</v>
      </c>
      <c r="J68" s="6" t="n">
        <v>4183</v>
      </c>
      <c r="K68" s="6" t="n">
        <v>242</v>
      </c>
      <c r="L68" s="8" t="n">
        <v>370399.5</v>
      </c>
      <c r="M68" s="9" t="n">
        <v>0.0343762070297412</v>
      </c>
      <c r="N68" s="8" t="n">
        <v>0.993330145828353</v>
      </c>
      <c r="O68" s="8" t="n">
        <v>17.1698347107438</v>
      </c>
      <c r="P68" s="10" t="n">
        <v>89.143341917162</v>
      </c>
      <c r="Q68" s="9" t="n">
        <v>0.0578532153956491</v>
      </c>
    </row>
    <row r="69" customFormat="false" ht="15" hidden="false" customHeight="false" outlineLevel="0" collapsed="false">
      <c r="A69" s="6" t="n">
        <v>1328</v>
      </c>
      <c r="B69" s="6" t="s">
        <v>46</v>
      </c>
      <c r="C69" s="6" t="s">
        <v>47</v>
      </c>
      <c r="D69" s="7" t="n">
        <v>45388</v>
      </c>
      <c r="E69" s="7" t="n">
        <v>45407</v>
      </c>
      <c r="F69" s="6" t="s">
        <v>53</v>
      </c>
      <c r="G69" s="6" t="s">
        <v>49</v>
      </c>
      <c r="H69" s="8" t="n">
        <v>1561.19</v>
      </c>
      <c r="I69" s="6" t="n">
        <v>58464</v>
      </c>
      <c r="J69" s="6" t="n">
        <v>798</v>
      </c>
      <c r="K69" s="6" t="n">
        <v>61</v>
      </c>
      <c r="L69" s="8" t="n">
        <v>31023.33</v>
      </c>
      <c r="M69" s="9" t="n">
        <v>0.0136494252873563</v>
      </c>
      <c r="N69" s="8" t="n">
        <v>1.95637844611529</v>
      </c>
      <c r="O69" s="8" t="n">
        <v>25.5932786885246</v>
      </c>
      <c r="P69" s="10" t="n">
        <v>19.8715915423491</v>
      </c>
      <c r="Q69" s="9" t="n">
        <v>0.0764411027568922</v>
      </c>
    </row>
    <row r="70" customFormat="false" ht="15" hidden="false" customHeight="false" outlineLevel="0" collapsed="false">
      <c r="A70" s="6" t="n">
        <v>1781</v>
      </c>
      <c r="B70" s="6" t="s">
        <v>73</v>
      </c>
      <c r="C70" s="6" t="s">
        <v>71</v>
      </c>
      <c r="D70" s="7" t="n">
        <v>45462</v>
      </c>
      <c r="E70" s="7" t="n">
        <v>45478</v>
      </c>
      <c r="F70" s="6" t="s">
        <v>69</v>
      </c>
      <c r="G70" s="6" t="s">
        <v>49</v>
      </c>
      <c r="H70" s="8" t="n">
        <v>24016.39</v>
      </c>
      <c r="I70" s="6" t="n">
        <v>652357</v>
      </c>
      <c r="J70" s="6" t="n">
        <v>22789</v>
      </c>
      <c r="K70" s="6" t="n">
        <v>1708</v>
      </c>
      <c r="L70" s="8" t="n">
        <v>1579387.22</v>
      </c>
      <c r="M70" s="9" t="n">
        <v>0.0349333263841731</v>
      </c>
      <c r="N70" s="8" t="n">
        <v>1.05385887928387</v>
      </c>
      <c r="O70" s="8" t="n">
        <v>14.0611182669789</v>
      </c>
      <c r="P70" s="10" t="n">
        <v>65.7628902595269</v>
      </c>
      <c r="Q70" s="9" t="n">
        <v>0.0749484400368599</v>
      </c>
    </row>
    <row r="71" customFormat="false" ht="15" hidden="false" customHeight="false" outlineLevel="0" collapsed="false">
      <c r="A71" s="6" t="n">
        <v>1133</v>
      </c>
      <c r="B71" s="6" t="s">
        <v>74</v>
      </c>
      <c r="C71" s="6" t="s">
        <v>71</v>
      </c>
      <c r="D71" s="7" t="n">
        <v>45558</v>
      </c>
      <c r="E71" s="7" t="n">
        <v>45578</v>
      </c>
      <c r="F71" s="6" t="s">
        <v>65</v>
      </c>
      <c r="G71" s="6" t="s">
        <v>72</v>
      </c>
      <c r="H71" s="8" t="n">
        <v>32760.45</v>
      </c>
      <c r="I71" s="6" t="n">
        <v>850269</v>
      </c>
      <c r="J71" s="6" t="n">
        <v>22024</v>
      </c>
      <c r="K71" s="6" t="n">
        <v>711</v>
      </c>
      <c r="L71" s="8" t="n">
        <v>558407.26</v>
      </c>
      <c r="M71" s="9" t="n">
        <v>0.0259023908904123</v>
      </c>
      <c r="N71" s="8" t="n">
        <v>1.48748864874682</v>
      </c>
      <c r="O71" s="8" t="n">
        <v>46.076582278481</v>
      </c>
      <c r="P71" s="10" t="n">
        <v>17.0451645200234</v>
      </c>
      <c r="Q71" s="9" t="n">
        <v>0.0322829640392299</v>
      </c>
    </row>
    <row r="72" customFormat="false" ht="15" hidden="false" customHeight="false" outlineLevel="0" collapsed="false">
      <c r="A72" s="6" t="n">
        <v>1749</v>
      </c>
      <c r="B72" s="6" t="s">
        <v>64</v>
      </c>
      <c r="C72" s="6" t="s">
        <v>63</v>
      </c>
      <c r="D72" s="7" t="n">
        <v>45406</v>
      </c>
      <c r="E72" s="7" t="n">
        <v>45421</v>
      </c>
      <c r="F72" s="6" t="s">
        <v>56</v>
      </c>
      <c r="G72" s="6" t="s">
        <v>75</v>
      </c>
      <c r="H72" s="8" t="n">
        <v>31677.07</v>
      </c>
      <c r="I72" s="6" t="n">
        <v>865853</v>
      </c>
      <c r="J72" s="6" t="n">
        <v>22871</v>
      </c>
      <c r="K72" s="6" t="n">
        <v>1522</v>
      </c>
      <c r="L72" s="8" t="n">
        <v>2624931.99</v>
      </c>
      <c r="M72" s="9" t="n">
        <v>0.0264144144560335</v>
      </c>
      <c r="N72" s="8" t="n">
        <v>1.38503213676709</v>
      </c>
      <c r="O72" s="8" t="n">
        <v>20.8127923784494</v>
      </c>
      <c r="P72" s="10" t="n">
        <v>82.8653657045933</v>
      </c>
      <c r="Q72" s="9" t="n">
        <v>0.0665471557868042</v>
      </c>
    </row>
    <row r="73" customFormat="false" ht="15" hidden="false" customHeight="false" outlineLevel="0" collapsed="false">
      <c r="A73" s="6" t="n">
        <v>1256</v>
      </c>
      <c r="B73" s="6" t="s">
        <v>46</v>
      </c>
      <c r="C73" s="6" t="s">
        <v>50</v>
      </c>
      <c r="D73" s="7" t="n">
        <v>45383</v>
      </c>
      <c r="E73" s="7" t="n">
        <v>45389</v>
      </c>
      <c r="F73" s="6" t="s">
        <v>56</v>
      </c>
      <c r="G73" s="6" t="s">
        <v>54</v>
      </c>
      <c r="H73" s="8" t="n">
        <v>17493.86</v>
      </c>
      <c r="I73" s="6" t="n">
        <v>346210</v>
      </c>
      <c r="J73" s="6" t="n">
        <v>2061</v>
      </c>
      <c r="K73" s="6" t="n">
        <v>113</v>
      </c>
      <c r="L73" s="8" t="n">
        <v>103221.92</v>
      </c>
      <c r="M73" s="9" t="n">
        <v>0.00595303428554923</v>
      </c>
      <c r="N73" s="8" t="n">
        <v>8.48804463852499</v>
      </c>
      <c r="O73" s="8" t="n">
        <v>154.812920353982</v>
      </c>
      <c r="P73" s="10" t="n">
        <v>5.9004656490906</v>
      </c>
      <c r="Q73" s="9" t="n">
        <v>0.0548277535177099</v>
      </c>
    </row>
    <row r="74" customFormat="false" ht="15" hidden="false" customHeight="false" outlineLevel="0" collapsed="false">
      <c r="A74" s="6" t="n">
        <v>1142</v>
      </c>
      <c r="B74" s="6" t="s">
        <v>46</v>
      </c>
      <c r="C74" s="6" t="s">
        <v>47</v>
      </c>
      <c r="D74" s="7" t="n">
        <v>45524</v>
      </c>
      <c r="E74" s="7" t="n">
        <v>45544</v>
      </c>
      <c r="F74" s="6" t="s">
        <v>48</v>
      </c>
      <c r="G74" s="6" t="s">
        <v>49</v>
      </c>
      <c r="H74" s="8" t="n">
        <v>5073.69</v>
      </c>
      <c r="I74" s="6" t="n">
        <v>186319</v>
      </c>
      <c r="J74" s="6" t="n">
        <v>5666</v>
      </c>
      <c r="K74" s="6" t="n">
        <v>93</v>
      </c>
      <c r="L74" s="8" t="n">
        <v>163644.47</v>
      </c>
      <c r="M74" s="9" t="n">
        <v>0.0304102104455262</v>
      </c>
      <c r="N74" s="8" t="n">
        <v>0.89546240734204</v>
      </c>
      <c r="O74" s="8" t="n">
        <v>54.5558064516129</v>
      </c>
      <c r="P74" s="10" t="n">
        <v>32.2535413081998</v>
      </c>
      <c r="Q74" s="9" t="n">
        <v>0.0164136957289093</v>
      </c>
    </row>
    <row r="75" customFormat="false" ht="15" hidden="false" customHeight="false" outlineLevel="0" collapsed="false">
      <c r="A75" s="6" t="n">
        <v>1414</v>
      </c>
      <c r="B75" s="6" t="s">
        <v>64</v>
      </c>
      <c r="C75" s="6" t="s">
        <v>71</v>
      </c>
      <c r="D75" s="7" t="n">
        <v>45320</v>
      </c>
      <c r="E75" s="7" t="n">
        <v>45334</v>
      </c>
      <c r="F75" s="6" t="s">
        <v>51</v>
      </c>
      <c r="G75" s="6" t="s">
        <v>54</v>
      </c>
      <c r="H75" s="8" t="n">
        <v>40561.63</v>
      </c>
      <c r="I75" s="6" t="n">
        <v>675138</v>
      </c>
      <c r="J75" s="6" t="n">
        <v>17099</v>
      </c>
      <c r="K75" s="6" t="n">
        <v>840</v>
      </c>
      <c r="L75" s="8" t="n">
        <v>653208.63</v>
      </c>
      <c r="M75" s="9" t="n">
        <v>0.0253266739540657</v>
      </c>
      <c r="N75" s="8" t="n">
        <v>2.37216386923212</v>
      </c>
      <c r="O75" s="8" t="n">
        <v>48.2876547619048</v>
      </c>
      <c r="P75" s="10" t="n">
        <v>16.104102078738</v>
      </c>
      <c r="Q75" s="9" t="n">
        <v>0.0491256798643196</v>
      </c>
    </row>
    <row r="76" customFormat="false" ht="15" hidden="false" customHeight="false" outlineLevel="0" collapsed="false">
      <c r="A76" s="6" t="n">
        <v>1756</v>
      </c>
      <c r="B76" s="6" t="s">
        <v>77</v>
      </c>
      <c r="C76" s="6" t="s">
        <v>47</v>
      </c>
      <c r="D76" s="7" t="n">
        <v>45593</v>
      </c>
      <c r="E76" s="7" t="n">
        <v>45620</v>
      </c>
      <c r="F76" s="6" t="s">
        <v>60</v>
      </c>
      <c r="G76" s="6" t="s">
        <v>72</v>
      </c>
      <c r="H76" s="8" t="n">
        <v>7464.18</v>
      </c>
      <c r="I76" s="6" t="n">
        <v>224896</v>
      </c>
      <c r="J76" s="6" t="n">
        <v>5584</v>
      </c>
      <c r="K76" s="6" t="n">
        <v>280</v>
      </c>
      <c r="L76" s="8" t="n">
        <v>288547.21</v>
      </c>
      <c r="M76" s="9" t="n">
        <v>0.0248292544109277</v>
      </c>
      <c r="N76" s="8" t="n">
        <v>1.33670845272206</v>
      </c>
      <c r="O76" s="8" t="n">
        <v>26.6577857142857</v>
      </c>
      <c r="P76" s="10" t="n">
        <v>38.6575899830926</v>
      </c>
      <c r="Q76" s="9" t="n">
        <v>0.0501432664756447</v>
      </c>
    </row>
    <row r="77" customFormat="false" ht="15" hidden="false" customHeight="false" outlineLevel="0" collapsed="false">
      <c r="A77" s="6" t="n">
        <v>1370</v>
      </c>
      <c r="B77" s="6" t="s">
        <v>73</v>
      </c>
      <c r="C77" s="6" t="s">
        <v>50</v>
      </c>
      <c r="D77" s="7" t="n">
        <v>45531</v>
      </c>
      <c r="E77" s="7" t="n">
        <v>45540</v>
      </c>
      <c r="F77" s="6" t="s">
        <v>48</v>
      </c>
      <c r="G77" s="6" t="s">
        <v>72</v>
      </c>
      <c r="H77" s="8" t="n">
        <v>32212.22</v>
      </c>
      <c r="I77" s="6" t="n">
        <v>910336</v>
      </c>
      <c r="J77" s="6" t="n">
        <v>8424</v>
      </c>
      <c r="K77" s="6" t="n">
        <v>153</v>
      </c>
      <c r="L77" s="8" t="n">
        <v>63347.38</v>
      </c>
      <c r="M77" s="9" t="n">
        <v>0.00925372609673791</v>
      </c>
      <c r="N77" s="8" t="n">
        <v>3.82386277302944</v>
      </c>
      <c r="O77" s="8" t="n">
        <v>210.537385620915</v>
      </c>
      <c r="P77" s="10" t="n">
        <v>1.96656362088673</v>
      </c>
      <c r="Q77" s="9" t="n">
        <v>0.0181623931623932</v>
      </c>
    </row>
    <row r="78" customFormat="false" ht="15" hidden="false" customHeight="false" outlineLevel="0" collapsed="false">
      <c r="A78" s="6" t="n">
        <v>1565</v>
      </c>
      <c r="B78" s="6" t="s">
        <v>79</v>
      </c>
      <c r="C78" s="6" t="s">
        <v>47</v>
      </c>
      <c r="D78" s="7" t="n">
        <v>45299</v>
      </c>
      <c r="E78" s="7" t="n">
        <v>45327</v>
      </c>
      <c r="F78" s="6" t="s">
        <v>69</v>
      </c>
      <c r="G78" s="6" t="s">
        <v>61</v>
      </c>
      <c r="H78" s="8" t="n">
        <v>6688.35</v>
      </c>
      <c r="I78" s="6" t="n">
        <v>113135</v>
      </c>
      <c r="J78" s="6" t="n">
        <v>995</v>
      </c>
      <c r="K78" s="6" t="n">
        <v>22</v>
      </c>
      <c r="L78" s="8" t="n">
        <v>9094.65</v>
      </c>
      <c r="M78" s="9" t="n">
        <v>0.00879480266937729</v>
      </c>
      <c r="N78" s="8" t="n">
        <v>6.72195979899498</v>
      </c>
      <c r="O78" s="8" t="n">
        <v>304.015909090909</v>
      </c>
      <c r="P78" s="10" t="n">
        <v>1.35977483235776</v>
      </c>
      <c r="Q78" s="9" t="n">
        <v>0.0221105527638191</v>
      </c>
    </row>
    <row r="79" customFormat="false" ht="15" hidden="false" customHeight="false" outlineLevel="0" collapsed="false">
      <c r="A79" s="6" t="n">
        <v>1507</v>
      </c>
      <c r="B79" s="6" t="s">
        <v>70</v>
      </c>
      <c r="C79" s="6" t="s">
        <v>50</v>
      </c>
      <c r="D79" s="7" t="n">
        <v>45414</v>
      </c>
      <c r="E79" s="7" t="n">
        <v>45425</v>
      </c>
      <c r="F79" s="6" t="s">
        <v>60</v>
      </c>
      <c r="G79" s="6" t="s">
        <v>75</v>
      </c>
      <c r="H79" s="8" t="n">
        <v>52481.39</v>
      </c>
      <c r="I79" s="6" t="n">
        <v>2044170</v>
      </c>
      <c r="J79" s="6" t="n">
        <v>44986</v>
      </c>
      <c r="K79" s="6" t="n">
        <v>3581</v>
      </c>
      <c r="L79" s="8" t="n">
        <v>1376716.55</v>
      </c>
      <c r="M79" s="9" t="n">
        <v>0.0220069759364436</v>
      </c>
      <c r="N79" s="8" t="n">
        <v>1.16661605832926</v>
      </c>
      <c r="O79" s="8" t="n">
        <v>14.6555124266965</v>
      </c>
      <c r="P79" s="10" t="n">
        <v>26.2324711673986</v>
      </c>
      <c r="Q79" s="9" t="n">
        <v>0.079602543013382</v>
      </c>
    </row>
    <row r="80" customFormat="false" ht="15" hidden="false" customHeight="false" outlineLevel="0" collapsed="false">
      <c r="A80" s="6" t="n">
        <v>1262</v>
      </c>
      <c r="B80" s="6" t="s">
        <v>55</v>
      </c>
      <c r="C80" s="6" t="s">
        <v>63</v>
      </c>
      <c r="D80" s="7" t="n">
        <v>45596</v>
      </c>
      <c r="E80" s="7" t="n">
        <v>45621</v>
      </c>
      <c r="F80" s="6" t="s">
        <v>53</v>
      </c>
      <c r="G80" s="6" t="s">
        <v>49</v>
      </c>
      <c r="H80" s="8" t="n">
        <v>7644.35</v>
      </c>
      <c r="I80" s="6" t="n">
        <v>269146</v>
      </c>
      <c r="J80" s="6" t="n">
        <v>4426</v>
      </c>
      <c r="K80" s="6" t="n">
        <v>285</v>
      </c>
      <c r="L80" s="8" t="n">
        <v>480713.4</v>
      </c>
      <c r="M80" s="9" t="n">
        <v>0.0164446062731752</v>
      </c>
      <c r="N80" s="8" t="n">
        <v>1.7271464075915</v>
      </c>
      <c r="O80" s="8" t="n">
        <v>26.8222807017544</v>
      </c>
      <c r="P80" s="10" t="n">
        <v>62.8847972685709</v>
      </c>
      <c r="Q80" s="9" t="n">
        <v>0.0643922277451424</v>
      </c>
    </row>
    <row r="81" customFormat="false" ht="15" hidden="false" customHeight="false" outlineLevel="0" collapsed="false">
      <c r="A81" s="6" t="n">
        <v>1603</v>
      </c>
      <c r="B81" s="6" t="s">
        <v>73</v>
      </c>
      <c r="C81" s="6" t="s">
        <v>63</v>
      </c>
      <c r="D81" s="7" t="n">
        <v>45331</v>
      </c>
      <c r="E81" s="7" t="n">
        <v>45337</v>
      </c>
      <c r="F81" s="6" t="s">
        <v>48</v>
      </c>
      <c r="G81" s="6" t="s">
        <v>61</v>
      </c>
      <c r="H81" s="8" t="n">
        <v>28515.03</v>
      </c>
      <c r="I81" s="6" t="n">
        <v>741169</v>
      </c>
      <c r="J81" s="6" t="n">
        <v>18488</v>
      </c>
      <c r="K81" s="6" t="n">
        <v>608</v>
      </c>
      <c r="L81" s="8" t="n">
        <v>653930.69</v>
      </c>
      <c r="M81" s="9" t="n">
        <v>0.0249443784076236</v>
      </c>
      <c r="N81" s="8" t="n">
        <v>1.54235341843358</v>
      </c>
      <c r="O81" s="8" t="n">
        <v>46.8997203947368</v>
      </c>
      <c r="P81" s="10" t="n">
        <v>22.9328424343232</v>
      </c>
      <c r="Q81" s="9" t="n">
        <v>0.0328861964517525</v>
      </c>
    </row>
    <row r="82" customFormat="false" ht="15" hidden="false" customHeight="false" outlineLevel="0" collapsed="false">
      <c r="A82" s="6" t="n">
        <v>1374</v>
      </c>
      <c r="B82" s="6" t="s">
        <v>62</v>
      </c>
      <c r="C82" s="6" t="s">
        <v>71</v>
      </c>
      <c r="D82" s="7" t="n">
        <v>45596</v>
      </c>
      <c r="E82" s="7" t="n">
        <v>45622</v>
      </c>
      <c r="F82" s="6" t="s">
        <v>67</v>
      </c>
      <c r="G82" s="6" t="s">
        <v>49</v>
      </c>
      <c r="H82" s="8" t="n">
        <v>25130.2</v>
      </c>
      <c r="I82" s="6" t="n">
        <v>404500</v>
      </c>
      <c r="J82" s="6" t="n">
        <v>9574</v>
      </c>
      <c r="K82" s="6" t="n">
        <v>399</v>
      </c>
      <c r="L82" s="8" t="n">
        <v>687778.91</v>
      </c>
      <c r="M82" s="9" t="n">
        <v>0.0236687268232386</v>
      </c>
      <c r="N82" s="8" t="n">
        <v>2.62483810319616</v>
      </c>
      <c r="O82" s="8" t="n">
        <v>62.9829573934837</v>
      </c>
      <c r="P82" s="10" t="n">
        <v>27.3686206237913</v>
      </c>
      <c r="Q82" s="9" t="n">
        <v>0.0416753707959056</v>
      </c>
    </row>
    <row r="83" customFormat="false" ht="15" hidden="false" customHeight="false" outlineLevel="0" collapsed="false">
      <c r="A83" s="6" t="n">
        <v>1373</v>
      </c>
      <c r="B83" s="6" t="s">
        <v>58</v>
      </c>
      <c r="C83" s="6" t="s">
        <v>59</v>
      </c>
      <c r="D83" s="7" t="n">
        <v>45505</v>
      </c>
      <c r="E83" s="7" t="n">
        <v>45512</v>
      </c>
      <c r="F83" s="6" t="s">
        <v>56</v>
      </c>
      <c r="G83" s="6" t="s">
        <v>57</v>
      </c>
      <c r="H83" s="8" t="n">
        <v>72619.01</v>
      </c>
      <c r="I83" s="6" t="n">
        <v>2318195</v>
      </c>
      <c r="J83" s="6" t="n">
        <v>73303</v>
      </c>
      <c r="K83" s="6" t="n">
        <v>866</v>
      </c>
      <c r="L83" s="8" t="n">
        <v>1158623.91</v>
      </c>
      <c r="M83" s="9" t="n">
        <v>0.0316207221566779</v>
      </c>
      <c r="N83" s="8" t="n">
        <v>0.990669003997108</v>
      </c>
      <c r="O83" s="8" t="n">
        <v>83.8556697459584</v>
      </c>
      <c r="P83" s="10" t="n">
        <v>15.9548293208624</v>
      </c>
      <c r="Q83" s="9" t="n">
        <v>0.0118139775998254</v>
      </c>
    </row>
    <row r="84" customFormat="false" ht="15" hidden="false" customHeight="false" outlineLevel="0" collapsed="false">
      <c r="A84" s="6" t="n">
        <v>1476</v>
      </c>
      <c r="B84" s="6" t="s">
        <v>62</v>
      </c>
      <c r="C84" s="6" t="s">
        <v>59</v>
      </c>
      <c r="D84" s="7" t="n">
        <v>45545</v>
      </c>
      <c r="E84" s="7" t="n">
        <v>45562</v>
      </c>
      <c r="F84" s="6" t="s">
        <v>60</v>
      </c>
      <c r="G84" s="6" t="s">
        <v>57</v>
      </c>
      <c r="H84" s="8" t="n">
        <v>42996.28</v>
      </c>
      <c r="I84" s="6" t="n">
        <v>766659</v>
      </c>
      <c r="J84" s="6" t="n">
        <v>24856</v>
      </c>
      <c r="K84" s="6" t="n">
        <v>683</v>
      </c>
      <c r="L84" s="8" t="n">
        <v>772967.12</v>
      </c>
      <c r="M84" s="9" t="n">
        <v>0.0324211937771552</v>
      </c>
      <c r="N84" s="8" t="n">
        <v>1.72981493401996</v>
      </c>
      <c r="O84" s="8" t="n">
        <v>62.952093704246</v>
      </c>
      <c r="P84" s="10" t="n">
        <v>17.9775348006851</v>
      </c>
      <c r="Q84" s="9" t="n">
        <v>0.0274782748632121</v>
      </c>
    </row>
    <row r="85" customFormat="false" ht="15" hidden="false" customHeight="false" outlineLevel="0" collapsed="false">
      <c r="A85" s="6" t="n">
        <v>1372</v>
      </c>
      <c r="B85" s="6" t="s">
        <v>77</v>
      </c>
      <c r="C85" s="6" t="s">
        <v>71</v>
      </c>
      <c r="D85" s="7" t="n">
        <v>45579</v>
      </c>
      <c r="E85" s="7" t="n">
        <v>45599</v>
      </c>
      <c r="F85" s="6" t="s">
        <v>48</v>
      </c>
      <c r="G85" s="6" t="s">
        <v>75</v>
      </c>
      <c r="H85" s="8" t="n">
        <v>33635.4</v>
      </c>
      <c r="I85" s="6" t="n">
        <v>1215783</v>
      </c>
      <c r="J85" s="6" t="n">
        <v>37697</v>
      </c>
      <c r="K85" s="6" t="n">
        <v>703</v>
      </c>
      <c r="L85" s="8" t="n">
        <v>341438.61</v>
      </c>
      <c r="M85" s="9" t="n">
        <v>0.0310063555749669</v>
      </c>
      <c r="N85" s="8" t="n">
        <v>0.892256678250259</v>
      </c>
      <c r="O85" s="8" t="n">
        <v>47.8455192034139</v>
      </c>
      <c r="P85" s="10" t="n">
        <v>10.1511684118518</v>
      </c>
      <c r="Q85" s="9" t="n">
        <v>0.0186486988354511</v>
      </c>
    </row>
    <row r="86" customFormat="false" ht="15" hidden="false" customHeight="false" outlineLevel="0" collapsed="false">
      <c r="A86" s="6" t="n">
        <v>1274</v>
      </c>
      <c r="B86" s="6" t="s">
        <v>76</v>
      </c>
      <c r="C86" s="6" t="s">
        <v>47</v>
      </c>
      <c r="D86" s="7" t="n">
        <v>45430</v>
      </c>
      <c r="E86" s="7" t="n">
        <v>45448</v>
      </c>
      <c r="F86" s="6" t="s">
        <v>69</v>
      </c>
      <c r="G86" s="6" t="s">
        <v>54</v>
      </c>
      <c r="H86" s="8" t="n">
        <v>6196.57</v>
      </c>
      <c r="I86" s="6" t="n">
        <v>246041</v>
      </c>
      <c r="J86" s="6" t="n">
        <v>6823</v>
      </c>
      <c r="K86" s="6" t="n">
        <v>99</v>
      </c>
      <c r="L86" s="8" t="n">
        <v>167735.67</v>
      </c>
      <c r="M86" s="9" t="n">
        <v>0.027731150499307</v>
      </c>
      <c r="N86" s="8" t="n">
        <v>0.908188480140701</v>
      </c>
      <c r="O86" s="8" t="n">
        <v>62.5916161616162</v>
      </c>
      <c r="P86" s="10" t="n">
        <v>27.0691156559193</v>
      </c>
      <c r="Q86" s="9" t="n">
        <v>0.0145097464458449</v>
      </c>
    </row>
    <row r="87" customFormat="false" ht="15" hidden="false" customHeight="false" outlineLevel="0" collapsed="false">
      <c r="A87" s="6" t="n">
        <v>1490</v>
      </c>
      <c r="B87" s="6" t="s">
        <v>77</v>
      </c>
      <c r="C87" s="6" t="s">
        <v>50</v>
      </c>
      <c r="D87" s="7" t="n">
        <v>45626</v>
      </c>
      <c r="E87" s="7" t="n">
        <v>45639</v>
      </c>
      <c r="F87" s="6" t="s">
        <v>60</v>
      </c>
      <c r="G87" s="6" t="s">
        <v>57</v>
      </c>
      <c r="H87" s="8" t="n">
        <v>54401.39</v>
      </c>
      <c r="I87" s="6" t="n">
        <v>1565233</v>
      </c>
      <c r="J87" s="6" t="n">
        <v>46182</v>
      </c>
      <c r="K87" s="6" t="n">
        <v>1175</v>
      </c>
      <c r="L87" s="8" t="n">
        <v>869206.93</v>
      </c>
      <c r="M87" s="9" t="n">
        <v>0.0295048724375221</v>
      </c>
      <c r="N87" s="8" t="n">
        <v>1.17797821662119</v>
      </c>
      <c r="O87" s="8" t="n">
        <v>46.2990553191489</v>
      </c>
      <c r="P87" s="10" t="n">
        <v>15.9776603134589</v>
      </c>
      <c r="Q87" s="9" t="n">
        <v>0.0254428132172708</v>
      </c>
    </row>
    <row r="88" customFormat="false" ht="15" hidden="false" customHeight="false" outlineLevel="0" collapsed="false">
      <c r="A88" s="6" t="n">
        <v>1119</v>
      </c>
      <c r="B88" s="6" t="s">
        <v>78</v>
      </c>
      <c r="C88" s="6" t="s">
        <v>71</v>
      </c>
      <c r="D88" s="7" t="n">
        <v>45326</v>
      </c>
      <c r="E88" s="7" t="n">
        <v>45353</v>
      </c>
      <c r="F88" s="6" t="s">
        <v>65</v>
      </c>
      <c r="G88" s="6" t="s">
        <v>54</v>
      </c>
      <c r="H88" s="8" t="n">
        <v>8475.36</v>
      </c>
      <c r="I88" s="6" t="n">
        <v>234287</v>
      </c>
      <c r="J88" s="6" t="n">
        <v>3794</v>
      </c>
      <c r="K88" s="6" t="n">
        <v>202</v>
      </c>
      <c r="L88" s="8" t="n">
        <v>265992.46</v>
      </c>
      <c r="M88" s="9" t="n">
        <v>0.0161938135705353</v>
      </c>
      <c r="N88" s="8" t="n">
        <v>2.23388508170796</v>
      </c>
      <c r="O88" s="8" t="n">
        <v>41.9572277227723</v>
      </c>
      <c r="P88" s="10" t="n">
        <v>31.3842078684563</v>
      </c>
      <c r="Q88" s="9" t="n">
        <v>0.0532419609910385</v>
      </c>
    </row>
    <row r="89" customFormat="false" ht="15" hidden="false" customHeight="false" outlineLevel="0" collapsed="false">
      <c r="A89" s="6" t="n">
        <v>1416</v>
      </c>
      <c r="B89" s="6" t="s">
        <v>62</v>
      </c>
      <c r="C89" s="6" t="s">
        <v>63</v>
      </c>
      <c r="D89" s="7" t="n">
        <v>45387</v>
      </c>
      <c r="E89" s="7" t="n">
        <v>45399</v>
      </c>
      <c r="F89" s="6" t="s">
        <v>51</v>
      </c>
      <c r="G89" s="6" t="s">
        <v>49</v>
      </c>
      <c r="H89" s="8" t="n">
        <v>41069.13</v>
      </c>
      <c r="I89" s="6" t="n">
        <v>678144</v>
      </c>
      <c r="J89" s="6" t="n">
        <v>9731</v>
      </c>
      <c r="K89" s="6" t="n">
        <v>394</v>
      </c>
      <c r="L89" s="8" t="n">
        <v>686200.23</v>
      </c>
      <c r="M89" s="9" t="n">
        <v>0.0143494597017743</v>
      </c>
      <c r="N89" s="8" t="n">
        <v>4.22044291439729</v>
      </c>
      <c r="O89" s="8" t="n">
        <v>104.236370558376</v>
      </c>
      <c r="P89" s="10" t="n">
        <v>16.7084189511684</v>
      </c>
      <c r="Q89" s="9" t="n">
        <v>0.0404891583598808</v>
      </c>
    </row>
    <row r="90" customFormat="false" ht="15" hidden="false" customHeight="false" outlineLevel="0" collapsed="false">
      <c r="A90" s="6" t="n">
        <v>1792</v>
      </c>
      <c r="B90" s="6" t="s">
        <v>68</v>
      </c>
      <c r="C90" s="6" t="s">
        <v>71</v>
      </c>
      <c r="D90" s="7" t="n">
        <v>45599</v>
      </c>
      <c r="E90" s="7" t="n">
        <v>45625</v>
      </c>
      <c r="F90" s="6" t="s">
        <v>67</v>
      </c>
      <c r="G90" s="6" t="s">
        <v>49</v>
      </c>
      <c r="H90" s="8" t="n">
        <v>33825.05</v>
      </c>
      <c r="I90" s="6" t="n">
        <v>997988</v>
      </c>
      <c r="J90" s="6" t="n">
        <v>20980</v>
      </c>
      <c r="K90" s="6" t="n">
        <v>1020</v>
      </c>
      <c r="L90" s="8" t="n">
        <v>1510139.03</v>
      </c>
      <c r="M90" s="9" t="n">
        <v>0.0210222968612849</v>
      </c>
      <c r="N90" s="8" t="n">
        <v>1.6122521448999</v>
      </c>
      <c r="O90" s="8" t="n">
        <v>33.1618137254902</v>
      </c>
      <c r="P90" s="10" t="n">
        <v>44.6455816029836</v>
      </c>
      <c r="Q90" s="9" t="n">
        <v>0.0486177311725453</v>
      </c>
    </row>
    <row r="91" customFormat="false" ht="15" hidden="false" customHeight="false" outlineLevel="0" collapsed="false">
      <c r="A91" s="6" t="n">
        <v>1441</v>
      </c>
      <c r="B91" s="6" t="s">
        <v>70</v>
      </c>
      <c r="C91" s="6" t="s">
        <v>71</v>
      </c>
      <c r="D91" s="7" t="n">
        <v>45362</v>
      </c>
      <c r="E91" s="7" t="n">
        <v>45378</v>
      </c>
      <c r="F91" s="6" t="s">
        <v>69</v>
      </c>
      <c r="G91" s="6" t="s">
        <v>49</v>
      </c>
      <c r="H91" s="8" t="n">
        <v>23423.97</v>
      </c>
      <c r="I91" s="6" t="n">
        <v>440177</v>
      </c>
      <c r="J91" s="6" t="n">
        <v>4899</v>
      </c>
      <c r="K91" s="6" t="n">
        <v>61</v>
      </c>
      <c r="L91" s="8" t="n">
        <v>103025.54</v>
      </c>
      <c r="M91" s="9" t="n">
        <v>0.0111296137690066</v>
      </c>
      <c r="N91" s="8" t="n">
        <v>4.78137783221066</v>
      </c>
      <c r="O91" s="8" t="n">
        <v>383.999508196721</v>
      </c>
      <c r="P91" s="10" t="n">
        <v>4.39829542131415</v>
      </c>
      <c r="Q91" s="9" t="n">
        <v>0.012451520718514</v>
      </c>
    </row>
    <row r="92" customFormat="false" ht="15" hidden="false" customHeight="false" outlineLevel="0" collapsed="false">
      <c r="A92" s="6" t="n">
        <v>1244</v>
      </c>
      <c r="B92" s="6" t="s">
        <v>62</v>
      </c>
      <c r="C92" s="6" t="s">
        <v>71</v>
      </c>
      <c r="D92" s="7" t="n">
        <v>45560</v>
      </c>
      <c r="E92" s="7" t="n">
        <v>45589</v>
      </c>
      <c r="F92" s="6" t="s">
        <v>60</v>
      </c>
      <c r="G92" s="6" t="s">
        <v>49</v>
      </c>
      <c r="H92" s="8" t="n">
        <v>13404.28</v>
      </c>
      <c r="I92" s="6" t="n">
        <v>408194</v>
      </c>
      <c r="J92" s="6" t="n">
        <v>3073</v>
      </c>
      <c r="K92" s="6" t="n">
        <v>231</v>
      </c>
      <c r="L92" s="8" t="n">
        <v>211428.99</v>
      </c>
      <c r="M92" s="9" t="n">
        <v>0.00752828312028104</v>
      </c>
      <c r="N92" s="8" t="n">
        <v>4.36195248942402</v>
      </c>
      <c r="O92" s="8" t="n">
        <v>58.0271861471862</v>
      </c>
      <c r="P92" s="10" t="n">
        <v>15.7732448143429</v>
      </c>
      <c r="Q92" s="9" t="n">
        <v>0.0751708428246014</v>
      </c>
    </row>
    <row r="93" customFormat="false" ht="15" hidden="false" customHeight="false" outlineLevel="0" collapsed="false">
      <c r="A93" s="6" t="n">
        <v>1698</v>
      </c>
      <c r="B93" s="6" t="s">
        <v>79</v>
      </c>
      <c r="C93" s="6" t="s">
        <v>71</v>
      </c>
      <c r="D93" s="7" t="n">
        <v>45549</v>
      </c>
      <c r="E93" s="7" t="n">
        <v>45578</v>
      </c>
      <c r="F93" s="6" t="s">
        <v>69</v>
      </c>
      <c r="G93" s="6" t="s">
        <v>61</v>
      </c>
      <c r="H93" s="8" t="n">
        <v>47964.56</v>
      </c>
      <c r="I93" s="6" t="n">
        <v>1588718</v>
      </c>
      <c r="J93" s="6" t="n">
        <v>10029</v>
      </c>
      <c r="K93" s="6" t="n">
        <v>110</v>
      </c>
      <c r="L93" s="8" t="n">
        <v>62857.33</v>
      </c>
      <c r="M93" s="9" t="n">
        <v>0.00631263698151591</v>
      </c>
      <c r="N93" s="8" t="n">
        <v>4.78258649915246</v>
      </c>
      <c r="O93" s="8" t="n">
        <v>436.041454545455</v>
      </c>
      <c r="P93" s="10" t="n">
        <v>1.31049529068963</v>
      </c>
      <c r="Q93" s="9" t="n">
        <v>0.0109681922424968</v>
      </c>
    </row>
    <row r="94" customFormat="false" ht="15" hidden="false" customHeight="false" outlineLevel="0" collapsed="false">
      <c r="A94" s="6" t="n">
        <v>1304</v>
      </c>
      <c r="B94" s="6" t="s">
        <v>58</v>
      </c>
      <c r="C94" s="6" t="s">
        <v>71</v>
      </c>
      <c r="D94" s="7" t="n">
        <v>45517</v>
      </c>
      <c r="E94" s="7" t="n">
        <v>45545</v>
      </c>
      <c r="F94" s="6" t="s">
        <v>65</v>
      </c>
      <c r="G94" s="6" t="s">
        <v>49</v>
      </c>
      <c r="H94" s="8" t="n">
        <v>16698.73</v>
      </c>
      <c r="I94" s="6" t="n">
        <v>491676</v>
      </c>
      <c r="J94" s="6" t="n">
        <v>14875</v>
      </c>
      <c r="K94" s="6" t="n">
        <v>205</v>
      </c>
      <c r="L94" s="8" t="n">
        <v>150341.56</v>
      </c>
      <c r="M94" s="9" t="n">
        <v>0.0302536629813129</v>
      </c>
      <c r="N94" s="8" t="n">
        <v>1.12260369747899</v>
      </c>
      <c r="O94" s="8" t="n">
        <v>81.4572195121951</v>
      </c>
      <c r="P94" s="10" t="n">
        <v>9.00317329521467</v>
      </c>
      <c r="Q94" s="9" t="n">
        <v>0.013781512605042</v>
      </c>
    </row>
    <row r="95" customFormat="false" ht="15" hidden="false" customHeight="false" outlineLevel="0" collapsed="false">
      <c r="A95" s="6" t="n">
        <v>1456</v>
      </c>
      <c r="B95" s="6" t="s">
        <v>74</v>
      </c>
      <c r="C95" s="6" t="s">
        <v>71</v>
      </c>
      <c r="D95" s="7" t="n">
        <v>45538</v>
      </c>
      <c r="E95" s="7" t="n">
        <v>45564</v>
      </c>
      <c r="F95" s="6" t="s">
        <v>53</v>
      </c>
      <c r="G95" s="6" t="s">
        <v>49</v>
      </c>
      <c r="H95" s="8" t="n">
        <v>20526.88</v>
      </c>
      <c r="I95" s="6" t="n">
        <v>416511</v>
      </c>
      <c r="J95" s="6" t="n">
        <v>11494</v>
      </c>
      <c r="K95" s="6" t="n">
        <v>645</v>
      </c>
      <c r="L95" s="8" t="n">
        <v>309391.11</v>
      </c>
      <c r="M95" s="9" t="n">
        <v>0.0275959098319132</v>
      </c>
      <c r="N95" s="8" t="n">
        <v>1.78587784931269</v>
      </c>
      <c r="O95" s="8" t="n">
        <v>31.8246201550388</v>
      </c>
      <c r="P95" s="10" t="n">
        <v>15.0724859306431</v>
      </c>
      <c r="Q95" s="9" t="n">
        <v>0.0561162345571603</v>
      </c>
    </row>
    <row r="96" customFormat="false" ht="15" hidden="false" customHeight="false" outlineLevel="0" collapsed="false">
      <c r="A96" s="6" t="n">
        <v>1469</v>
      </c>
      <c r="B96" s="6" t="s">
        <v>64</v>
      </c>
      <c r="C96" s="6" t="s">
        <v>63</v>
      </c>
      <c r="D96" s="7" t="n">
        <v>45422</v>
      </c>
      <c r="E96" s="7" t="n">
        <v>45448</v>
      </c>
      <c r="F96" s="6" t="s">
        <v>53</v>
      </c>
      <c r="G96" s="6" t="s">
        <v>49</v>
      </c>
      <c r="H96" s="8" t="n">
        <v>47368.77</v>
      </c>
      <c r="I96" s="6" t="n">
        <v>880163</v>
      </c>
      <c r="J96" s="6" t="n">
        <v>9781</v>
      </c>
      <c r="K96" s="6" t="n">
        <v>528</v>
      </c>
      <c r="L96" s="8" t="n">
        <v>391052.4</v>
      </c>
      <c r="M96" s="9" t="n">
        <v>0.0111127143495012</v>
      </c>
      <c r="N96" s="8" t="n">
        <v>4.84293732747163</v>
      </c>
      <c r="O96" s="8" t="n">
        <v>89.7135795454545</v>
      </c>
      <c r="P96" s="10" t="n">
        <v>8.25548985122476</v>
      </c>
      <c r="Q96" s="9" t="n">
        <v>0.0539822104079338</v>
      </c>
    </row>
    <row r="97" customFormat="false" ht="15" hidden="false" customHeight="false" outlineLevel="0" collapsed="false">
      <c r="A97" s="6" t="n">
        <v>1740</v>
      </c>
      <c r="B97" s="6" t="s">
        <v>55</v>
      </c>
      <c r="C97" s="6" t="s">
        <v>50</v>
      </c>
      <c r="D97" s="7" t="n">
        <v>45482</v>
      </c>
      <c r="E97" s="7" t="n">
        <v>45501</v>
      </c>
      <c r="F97" s="6" t="s">
        <v>60</v>
      </c>
      <c r="G97" s="6" t="s">
        <v>72</v>
      </c>
      <c r="H97" s="8" t="n">
        <v>63711.93</v>
      </c>
      <c r="I97" s="6" t="n">
        <v>1190828</v>
      </c>
      <c r="J97" s="6" t="n">
        <v>29984</v>
      </c>
      <c r="K97" s="6" t="n">
        <v>2166</v>
      </c>
      <c r="L97" s="8" t="n">
        <v>2880304.59</v>
      </c>
      <c r="M97" s="9" t="n">
        <v>0.0251791190667334</v>
      </c>
      <c r="N97" s="8" t="n">
        <v>2.12486426093917</v>
      </c>
      <c r="O97" s="8" t="n">
        <v>29.4145567867036</v>
      </c>
      <c r="P97" s="10" t="n">
        <v>45.2082457712394</v>
      </c>
      <c r="Q97" s="9" t="n">
        <v>0.0722385272145144</v>
      </c>
    </row>
    <row r="98" customFormat="false" ht="15" hidden="false" customHeight="false" outlineLevel="0" collapsed="false">
      <c r="A98" s="6" t="n">
        <v>1735</v>
      </c>
      <c r="B98" s="6" t="s">
        <v>70</v>
      </c>
      <c r="C98" s="6" t="s">
        <v>47</v>
      </c>
      <c r="D98" s="7" t="n">
        <v>45331</v>
      </c>
      <c r="E98" s="7" t="n">
        <v>45355</v>
      </c>
      <c r="F98" s="6" t="s">
        <v>65</v>
      </c>
      <c r="G98" s="6" t="s">
        <v>57</v>
      </c>
      <c r="H98" s="8" t="n">
        <v>7190.89</v>
      </c>
      <c r="I98" s="6" t="n">
        <v>261151</v>
      </c>
      <c r="J98" s="6" t="n">
        <v>6157</v>
      </c>
      <c r="K98" s="6" t="n">
        <v>430</v>
      </c>
      <c r="L98" s="8" t="n">
        <v>740821.77</v>
      </c>
      <c r="M98" s="9" t="n">
        <v>0.0235763983289361</v>
      </c>
      <c r="N98" s="8" t="n">
        <v>1.16792106545396</v>
      </c>
      <c r="O98" s="8" t="n">
        <v>16.723</v>
      </c>
      <c r="P98" s="10" t="n">
        <v>103.022264281612</v>
      </c>
      <c r="Q98" s="9" t="n">
        <v>0.0698392074062043</v>
      </c>
    </row>
    <row r="99" customFormat="false" ht="15" hidden="false" customHeight="false" outlineLevel="0" collapsed="false">
      <c r="A99" s="6" t="n">
        <v>1263</v>
      </c>
      <c r="B99" s="6" t="s">
        <v>55</v>
      </c>
      <c r="C99" s="6" t="s">
        <v>71</v>
      </c>
      <c r="D99" s="7" t="n">
        <v>45455</v>
      </c>
      <c r="E99" s="7" t="n">
        <v>45477</v>
      </c>
      <c r="F99" s="6" t="s">
        <v>69</v>
      </c>
      <c r="G99" s="6" t="s">
        <v>54</v>
      </c>
      <c r="H99" s="8" t="n">
        <v>15778.16</v>
      </c>
      <c r="I99" s="6" t="n">
        <v>434846</v>
      </c>
      <c r="J99" s="6" t="n">
        <v>5054</v>
      </c>
      <c r="K99" s="6" t="n">
        <v>68</v>
      </c>
      <c r="L99" s="8" t="n">
        <v>95933.65</v>
      </c>
      <c r="M99" s="9" t="n">
        <v>0.011622505438707</v>
      </c>
      <c r="N99" s="8" t="n">
        <v>3.1219153146023</v>
      </c>
      <c r="O99" s="8" t="n">
        <v>232.031764705882</v>
      </c>
      <c r="P99" s="10" t="n">
        <v>6.08015446668053</v>
      </c>
      <c r="Q99" s="9" t="n">
        <v>0.0134546893549664</v>
      </c>
    </row>
    <row r="100" customFormat="false" ht="15" hidden="false" customHeight="false" outlineLevel="0" collapsed="false">
      <c r="A100" s="6" t="n">
        <v>1086</v>
      </c>
      <c r="B100" s="6" t="s">
        <v>64</v>
      </c>
      <c r="C100" s="6" t="s">
        <v>50</v>
      </c>
      <c r="D100" s="7" t="n">
        <v>45519</v>
      </c>
      <c r="E100" s="7" t="n">
        <v>45548</v>
      </c>
      <c r="F100" s="6" t="s">
        <v>48</v>
      </c>
      <c r="G100" s="6" t="s">
        <v>61</v>
      </c>
      <c r="H100" s="8" t="n">
        <v>50174.52</v>
      </c>
      <c r="I100" s="6" t="n">
        <v>1416752</v>
      </c>
      <c r="J100" s="6" t="n">
        <v>24001</v>
      </c>
      <c r="K100" s="6" t="n">
        <v>1331</v>
      </c>
      <c r="L100" s="8" t="n">
        <v>947588.01</v>
      </c>
      <c r="M100" s="9" t="n">
        <v>0.0169408619151411</v>
      </c>
      <c r="N100" s="8" t="n">
        <v>2.0905178950877</v>
      </c>
      <c r="O100" s="8" t="n">
        <v>37.6968595041322</v>
      </c>
      <c r="P100" s="10" t="n">
        <v>18.8858410603629</v>
      </c>
      <c r="Q100" s="9" t="n">
        <v>0.0554560226657223</v>
      </c>
    </row>
    <row r="101" customFormat="false" ht="15" hidden="false" customHeight="false" outlineLevel="0" collapsed="false">
      <c r="A101" s="6" t="n">
        <v>1582</v>
      </c>
      <c r="B101" s="6" t="s">
        <v>73</v>
      </c>
      <c r="C101" s="6" t="s">
        <v>71</v>
      </c>
      <c r="D101" s="7" t="n">
        <v>45552</v>
      </c>
      <c r="E101" s="7" t="n">
        <v>45580</v>
      </c>
      <c r="F101" s="6" t="s">
        <v>56</v>
      </c>
      <c r="G101" s="6" t="s">
        <v>49</v>
      </c>
      <c r="H101" s="8" t="n">
        <v>22523.58</v>
      </c>
      <c r="I101" s="6" t="n">
        <v>773125</v>
      </c>
      <c r="J101" s="6" t="n">
        <v>9252</v>
      </c>
      <c r="K101" s="6" t="n">
        <v>411</v>
      </c>
      <c r="L101" s="8" t="n">
        <v>172627.2</v>
      </c>
      <c r="M101" s="9" t="n">
        <v>0.0119670169765562</v>
      </c>
      <c r="N101" s="8" t="n">
        <v>2.43445525291829</v>
      </c>
      <c r="O101" s="8" t="n">
        <v>54.801897810219</v>
      </c>
      <c r="P101" s="10" t="n">
        <v>7.66428782635798</v>
      </c>
      <c r="Q101" s="9" t="n">
        <v>0.0444228274967575</v>
      </c>
    </row>
    <row r="102" customFormat="false" ht="15" hidden="false" customHeight="false" outlineLevel="0" collapsed="false">
      <c r="A102" s="6" t="n">
        <v>1254</v>
      </c>
      <c r="B102" s="6" t="s">
        <v>68</v>
      </c>
      <c r="C102" s="6" t="s">
        <v>47</v>
      </c>
      <c r="D102" s="7" t="n">
        <v>45457</v>
      </c>
      <c r="E102" s="7" t="n">
        <v>45485</v>
      </c>
      <c r="F102" s="6" t="s">
        <v>48</v>
      </c>
      <c r="G102" s="6" t="s">
        <v>61</v>
      </c>
      <c r="H102" s="8" t="n">
        <v>2927.27</v>
      </c>
      <c r="I102" s="6" t="n">
        <v>104748</v>
      </c>
      <c r="J102" s="6" t="n">
        <v>3397</v>
      </c>
      <c r="K102" s="6" t="n">
        <v>165</v>
      </c>
      <c r="L102" s="8" t="n">
        <v>74228.72</v>
      </c>
      <c r="M102" s="9" t="n">
        <v>0.0324302134646962</v>
      </c>
      <c r="N102" s="8" t="n">
        <v>0.861722107742125</v>
      </c>
      <c r="O102" s="8" t="n">
        <v>17.7410303030303</v>
      </c>
      <c r="P102" s="10" t="n">
        <v>25.3576608922306</v>
      </c>
      <c r="Q102" s="9" t="n">
        <v>0.0485722696496909</v>
      </c>
    </row>
    <row r="103" customFormat="false" ht="15" hidden="false" customHeight="false" outlineLevel="0" collapsed="false">
      <c r="A103" s="6" t="n">
        <v>1504</v>
      </c>
      <c r="B103" s="6" t="s">
        <v>68</v>
      </c>
      <c r="C103" s="6" t="s">
        <v>50</v>
      </c>
      <c r="D103" s="7" t="n">
        <v>45618</v>
      </c>
      <c r="E103" s="7" t="n">
        <v>45624</v>
      </c>
      <c r="F103" s="6" t="s">
        <v>65</v>
      </c>
      <c r="G103" s="6" t="s">
        <v>54</v>
      </c>
      <c r="H103" s="8" t="n">
        <v>28841.76</v>
      </c>
      <c r="I103" s="6" t="n">
        <v>1136843</v>
      </c>
      <c r="J103" s="6" t="n">
        <v>24946</v>
      </c>
      <c r="K103" s="6" t="n">
        <v>1233</v>
      </c>
      <c r="L103" s="8" t="n">
        <v>1844355.02</v>
      </c>
      <c r="M103" s="9" t="n">
        <v>0.0219432234706112</v>
      </c>
      <c r="N103" s="8" t="n">
        <v>1.15616772228013</v>
      </c>
      <c r="O103" s="8" t="n">
        <v>23.3915328467153</v>
      </c>
      <c r="P103" s="10" t="n">
        <v>63.9473811584314</v>
      </c>
      <c r="Q103" s="9" t="n">
        <v>0.0494267618054999</v>
      </c>
    </row>
    <row r="104" customFormat="false" ht="15" hidden="false" customHeight="false" outlineLevel="0" collapsed="false">
      <c r="A104" s="6" t="n">
        <v>1393</v>
      </c>
      <c r="B104" s="6" t="s">
        <v>78</v>
      </c>
      <c r="C104" s="6" t="s">
        <v>63</v>
      </c>
      <c r="D104" s="7" t="n">
        <v>45508</v>
      </c>
      <c r="E104" s="7" t="n">
        <v>45529</v>
      </c>
      <c r="F104" s="6" t="s">
        <v>67</v>
      </c>
      <c r="G104" s="6" t="s">
        <v>72</v>
      </c>
      <c r="H104" s="8" t="n">
        <v>38207.39</v>
      </c>
      <c r="I104" s="6" t="n">
        <v>1376978</v>
      </c>
      <c r="J104" s="6" t="n">
        <v>17615</v>
      </c>
      <c r="K104" s="6" t="n">
        <v>801</v>
      </c>
      <c r="L104" s="8" t="n">
        <v>424152.63</v>
      </c>
      <c r="M104" s="9" t="n">
        <v>0.0127925064888473</v>
      </c>
      <c r="N104" s="8" t="n">
        <v>2.1690258302583</v>
      </c>
      <c r="O104" s="8" t="n">
        <v>47.6996129837703</v>
      </c>
      <c r="P104" s="10" t="n">
        <v>11.1013243772998</v>
      </c>
      <c r="Q104" s="9" t="n">
        <v>0.0454726085722396</v>
      </c>
    </row>
    <row r="105" customFormat="false" ht="15" hidden="false" customHeight="false" outlineLevel="0" collapsed="false">
      <c r="A105" s="6" t="n">
        <v>1078</v>
      </c>
      <c r="B105" s="6" t="s">
        <v>64</v>
      </c>
      <c r="C105" s="6" t="s">
        <v>50</v>
      </c>
      <c r="D105" s="7" t="n">
        <v>45406</v>
      </c>
      <c r="E105" s="7" t="n">
        <v>45411</v>
      </c>
      <c r="F105" s="6" t="s">
        <v>48</v>
      </c>
      <c r="G105" s="6" t="s">
        <v>61</v>
      </c>
      <c r="H105" s="8" t="n">
        <v>75157.81</v>
      </c>
      <c r="I105" s="6" t="n">
        <v>2704133</v>
      </c>
      <c r="J105" s="6" t="n">
        <v>66248</v>
      </c>
      <c r="K105" s="6" t="n">
        <v>4332</v>
      </c>
      <c r="L105" s="8" t="n">
        <v>2380518.05</v>
      </c>
      <c r="M105" s="9" t="n">
        <v>0.0244987949927019</v>
      </c>
      <c r="N105" s="8" t="n">
        <v>1.13449175824176</v>
      </c>
      <c r="O105" s="8" t="n">
        <v>17.3494482917821</v>
      </c>
      <c r="P105" s="10" t="n">
        <v>31.6735951992215</v>
      </c>
      <c r="Q105" s="9" t="n">
        <v>0.0653906533027412</v>
      </c>
    </row>
    <row r="106" customFormat="false" ht="15" hidden="false" customHeight="false" outlineLevel="0" collapsed="false">
      <c r="A106" s="6" t="n">
        <v>1674</v>
      </c>
      <c r="B106" s="6" t="s">
        <v>68</v>
      </c>
      <c r="C106" s="6" t="s">
        <v>71</v>
      </c>
      <c r="D106" s="7" t="n">
        <v>45313</v>
      </c>
      <c r="E106" s="7" t="n">
        <v>45337</v>
      </c>
      <c r="F106" s="6" t="s">
        <v>60</v>
      </c>
      <c r="G106" s="6" t="s">
        <v>57</v>
      </c>
      <c r="H106" s="8" t="n">
        <v>38697.84</v>
      </c>
      <c r="I106" s="6" t="n">
        <v>1348232</v>
      </c>
      <c r="J106" s="6" t="n">
        <v>45330</v>
      </c>
      <c r="K106" s="6" t="n">
        <v>2279</v>
      </c>
      <c r="L106" s="8" t="n">
        <v>1185846.6</v>
      </c>
      <c r="M106" s="9" t="n">
        <v>0.0336218098962196</v>
      </c>
      <c r="N106" s="8" t="n">
        <v>0.853691594970218</v>
      </c>
      <c r="O106" s="8" t="n">
        <v>16.9801842913559</v>
      </c>
      <c r="P106" s="10" t="n">
        <v>30.6437413561067</v>
      </c>
      <c r="Q106" s="9" t="n">
        <v>0.0502757555702625</v>
      </c>
    </row>
    <row r="107" customFormat="false" ht="15" hidden="false" customHeight="false" outlineLevel="0" collapsed="false">
      <c r="A107" s="6" t="n">
        <v>1116</v>
      </c>
      <c r="B107" s="6" t="s">
        <v>79</v>
      </c>
      <c r="C107" s="6" t="s">
        <v>63</v>
      </c>
      <c r="D107" s="7" t="n">
        <v>45537</v>
      </c>
      <c r="E107" s="7" t="n">
        <v>45549</v>
      </c>
      <c r="F107" s="6" t="s">
        <v>53</v>
      </c>
      <c r="G107" s="6" t="s">
        <v>54</v>
      </c>
      <c r="H107" s="8" t="n">
        <v>32593.67</v>
      </c>
      <c r="I107" s="6" t="n">
        <v>655550</v>
      </c>
      <c r="J107" s="6" t="n">
        <v>21275</v>
      </c>
      <c r="K107" s="6" t="n">
        <v>1034</v>
      </c>
      <c r="L107" s="8" t="n">
        <v>1524627.96</v>
      </c>
      <c r="M107" s="9" t="n">
        <v>0.0324536648615666</v>
      </c>
      <c r="N107" s="8" t="n">
        <v>1.53201739130435</v>
      </c>
      <c r="O107" s="8" t="n">
        <v>31.5219245647969</v>
      </c>
      <c r="P107" s="10" t="n">
        <v>46.7768115710811</v>
      </c>
      <c r="Q107" s="9" t="n">
        <v>0.0486016451233843</v>
      </c>
    </row>
    <row r="108" customFormat="false" ht="15" hidden="false" customHeight="false" outlineLevel="0" collapsed="false">
      <c r="A108" s="6" t="n">
        <v>1731</v>
      </c>
      <c r="B108" s="6" t="s">
        <v>68</v>
      </c>
      <c r="C108" s="6" t="s">
        <v>63</v>
      </c>
      <c r="D108" s="7" t="n">
        <v>45544</v>
      </c>
      <c r="E108" s="7" t="n">
        <v>45549</v>
      </c>
      <c r="F108" s="6" t="s">
        <v>67</v>
      </c>
      <c r="G108" s="6" t="s">
        <v>49</v>
      </c>
      <c r="H108" s="8" t="n">
        <v>37448.66</v>
      </c>
      <c r="I108" s="6" t="n">
        <v>950202</v>
      </c>
      <c r="J108" s="6" t="n">
        <v>6688</v>
      </c>
      <c r="K108" s="6" t="n">
        <v>160</v>
      </c>
      <c r="L108" s="8" t="n">
        <v>64353.3</v>
      </c>
      <c r="M108" s="9" t="n">
        <v>0.00703850339191035</v>
      </c>
      <c r="N108" s="8" t="n">
        <v>5.59938098086125</v>
      </c>
      <c r="O108" s="8" t="n">
        <v>234.054125</v>
      </c>
      <c r="P108" s="10" t="n">
        <v>1.71844065982601</v>
      </c>
      <c r="Q108" s="9" t="n">
        <v>0.0239234449760766</v>
      </c>
    </row>
    <row r="109" customFormat="false" ht="15" hidden="false" customHeight="false" outlineLevel="0" collapsed="false">
      <c r="A109" s="6" t="n">
        <v>1121</v>
      </c>
      <c r="B109" s="6" t="s">
        <v>70</v>
      </c>
      <c r="C109" s="6" t="s">
        <v>50</v>
      </c>
      <c r="D109" s="7" t="n">
        <v>45445</v>
      </c>
      <c r="E109" s="7" t="n">
        <v>45471</v>
      </c>
      <c r="F109" s="6" t="s">
        <v>65</v>
      </c>
      <c r="G109" s="6" t="s">
        <v>49</v>
      </c>
      <c r="H109" s="8" t="n">
        <v>55761.5</v>
      </c>
      <c r="I109" s="6" t="n">
        <v>2032812</v>
      </c>
      <c r="J109" s="6" t="n">
        <v>56486</v>
      </c>
      <c r="K109" s="6" t="n">
        <v>934</v>
      </c>
      <c r="L109" s="8" t="n">
        <v>840537.27</v>
      </c>
      <c r="M109" s="9" t="n">
        <v>0.0277871244364949</v>
      </c>
      <c r="N109" s="8" t="n">
        <v>0.987173812980208</v>
      </c>
      <c r="O109" s="8" t="n">
        <v>59.7018201284797</v>
      </c>
      <c r="P109" s="10" t="n">
        <v>15.0737923118998</v>
      </c>
      <c r="Q109" s="9" t="n">
        <v>0.016535070636972</v>
      </c>
    </row>
    <row r="110" customFormat="false" ht="15" hidden="false" customHeight="false" outlineLevel="0" collapsed="false">
      <c r="A110" s="6" t="n">
        <v>1695</v>
      </c>
      <c r="B110" s="6" t="s">
        <v>58</v>
      </c>
      <c r="C110" s="6" t="s">
        <v>63</v>
      </c>
      <c r="D110" s="7" t="n">
        <v>45396</v>
      </c>
      <c r="E110" s="7" t="n">
        <v>45421</v>
      </c>
      <c r="F110" s="6" t="s">
        <v>67</v>
      </c>
      <c r="G110" s="6" t="s">
        <v>49</v>
      </c>
      <c r="H110" s="8" t="n">
        <v>46204.39</v>
      </c>
      <c r="I110" s="6" t="n">
        <v>1165740</v>
      </c>
      <c r="J110" s="6" t="n">
        <v>6186</v>
      </c>
      <c r="K110" s="6" t="n">
        <v>418</v>
      </c>
      <c r="L110" s="8" t="n">
        <v>374879.56</v>
      </c>
      <c r="M110" s="9" t="n">
        <v>0.00530650059189871</v>
      </c>
      <c r="N110" s="8" t="n">
        <v>7.46918687358552</v>
      </c>
      <c r="O110" s="8" t="n">
        <v>110.536818181818</v>
      </c>
      <c r="P110" s="10" t="n">
        <v>8.11350523186217</v>
      </c>
      <c r="Q110" s="9" t="n">
        <v>0.0675719366311025</v>
      </c>
    </row>
    <row r="111" customFormat="false" ht="15" hidden="false" customHeight="false" outlineLevel="0" collapsed="false">
      <c r="A111" s="6" t="n">
        <v>1432</v>
      </c>
      <c r="B111" s="6" t="s">
        <v>70</v>
      </c>
      <c r="C111" s="6" t="s">
        <v>47</v>
      </c>
      <c r="D111" s="7" t="n">
        <v>45338</v>
      </c>
      <c r="E111" s="7" t="n">
        <v>45352</v>
      </c>
      <c r="F111" s="6" t="s">
        <v>69</v>
      </c>
      <c r="G111" s="6" t="s">
        <v>57</v>
      </c>
      <c r="H111" s="8" t="n">
        <v>7166.96</v>
      </c>
      <c r="I111" s="6" t="n">
        <v>189262</v>
      </c>
      <c r="J111" s="6" t="n">
        <v>4922</v>
      </c>
      <c r="K111" s="6" t="n">
        <v>294</v>
      </c>
      <c r="L111" s="8" t="n">
        <v>229702.39</v>
      </c>
      <c r="M111" s="9" t="n">
        <v>0.0260062770128182</v>
      </c>
      <c r="N111" s="8" t="n">
        <v>1.45610727346607</v>
      </c>
      <c r="O111" s="8" t="n">
        <v>24.3774149659864</v>
      </c>
      <c r="P111" s="10" t="n">
        <v>32.0501844575664</v>
      </c>
      <c r="Q111" s="9" t="n">
        <v>0.0597318163348232</v>
      </c>
    </row>
    <row r="112" customFormat="false" ht="15" hidden="false" customHeight="false" outlineLevel="0" collapsed="false">
      <c r="A112" s="6" t="n">
        <v>1790</v>
      </c>
      <c r="B112" s="6" t="s">
        <v>70</v>
      </c>
      <c r="C112" s="6" t="s">
        <v>63</v>
      </c>
      <c r="D112" s="7" t="n">
        <v>45314</v>
      </c>
      <c r="E112" s="7" t="n">
        <v>45328</v>
      </c>
      <c r="F112" s="6" t="s">
        <v>51</v>
      </c>
      <c r="G112" s="6" t="s">
        <v>49</v>
      </c>
      <c r="H112" s="8" t="n">
        <v>6788.26</v>
      </c>
      <c r="I112" s="6" t="n">
        <v>201835</v>
      </c>
      <c r="J112" s="6" t="n">
        <v>6852</v>
      </c>
      <c r="K112" s="6" t="n">
        <v>98</v>
      </c>
      <c r="L112" s="8" t="n">
        <v>152179.45</v>
      </c>
      <c r="M112" s="9" t="n">
        <v>0.0339485223078257</v>
      </c>
      <c r="N112" s="8" t="n">
        <v>0.990697606538237</v>
      </c>
      <c r="O112" s="8" t="n">
        <v>69.2679591836735</v>
      </c>
      <c r="P112" s="10" t="n">
        <v>22.418034960358</v>
      </c>
      <c r="Q112" s="9" t="n">
        <v>0.014302393461763</v>
      </c>
    </row>
    <row r="113" customFormat="false" ht="15" hidden="false" customHeight="false" outlineLevel="0" collapsed="false">
      <c r="A113" s="6" t="n">
        <v>1187</v>
      </c>
      <c r="B113" s="6" t="s">
        <v>64</v>
      </c>
      <c r="C113" s="6" t="s">
        <v>59</v>
      </c>
      <c r="D113" s="7" t="n">
        <v>45365</v>
      </c>
      <c r="E113" s="7" t="n">
        <v>45380</v>
      </c>
      <c r="F113" s="6" t="s">
        <v>51</v>
      </c>
      <c r="G113" s="6" t="s">
        <v>61</v>
      </c>
      <c r="H113" s="8" t="n">
        <v>28526.76</v>
      </c>
      <c r="I113" s="6" t="n">
        <v>485533</v>
      </c>
      <c r="J113" s="6" t="n">
        <v>7272</v>
      </c>
      <c r="K113" s="6" t="n">
        <v>574</v>
      </c>
      <c r="L113" s="8" t="n">
        <v>461754.53</v>
      </c>
      <c r="M113" s="9" t="n">
        <v>0.0149773547833</v>
      </c>
      <c r="N113" s="8" t="n">
        <v>3.92282178217822</v>
      </c>
      <c r="O113" s="8" t="n">
        <v>49.6981881533101</v>
      </c>
      <c r="P113" s="10" t="n">
        <v>16.1867148600121</v>
      </c>
      <c r="Q113" s="9" t="n">
        <v>0.0789328932893289</v>
      </c>
    </row>
    <row r="114" customFormat="false" ht="15" hidden="false" customHeight="false" outlineLevel="0" collapsed="false">
      <c r="A114" s="6" t="n">
        <v>1598</v>
      </c>
      <c r="B114" s="6" t="s">
        <v>73</v>
      </c>
      <c r="C114" s="6" t="s">
        <v>59</v>
      </c>
      <c r="D114" s="7" t="n">
        <v>45558</v>
      </c>
      <c r="E114" s="7" t="n">
        <v>45586</v>
      </c>
      <c r="F114" s="6" t="s">
        <v>56</v>
      </c>
      <c r="G114" s="6" t="s">
        <v>49</v>
      </c>
      <c r="H114" s="8" t="n">
        <v>27464.77</v>
      </c>
      <c r="I114" s="6" t="n">
        <v>712436</v>
      </c>
      <c r="J114" s="6" t="n">
        <v>24335</v>
      </c>
      <c r="K114" s="6" t="n">
        <v>309</v>
      </c>
      <c r="L114" s="8" t="n">
        <v>298204.85</v>
      </c>
      <c r="M114" s="9" t="n">
        <v>0.0341574541432494</v>
      </c>
      <c r="N114" s="8" t="n">
        <v>1.12861187589891</v>
      </c>
      <c r="O114" s="8" t="n">
        <v>88.8827508090615</v>
      </c>
      <c r="P114" s="10" t="n">
        <v>10.8577224568056</v>
      </c>
      <c r="Q114" s="9" t="n">
        <v>0.012697760427368</v>
      </c>
    </row>
    <row r="115" customFormat="false" ht="15" hidden="false" customHeight="false" outlineLevel="0" collapsed="false">
      <c r="A115" s="6" t="n">
        <v>1765</v>
      </c>
      <c r="B115" s="6" t="s">
        <v>58</v>
      </c>
      <c r="C115" s="6" t="s">
        <v>63</v>
      </c>
      <c r="D115" s="7" t="n">
        <v>45472</v>
      </c>
      <c r="E115" s="7" t="n">
        <v>45489</v>
      </c>
      <c r="F115" s="6" t="s">
        <v>48</v>
      </c>
      <c r="G115" s="6" t="s">
        <v>61</v>
      </c>
      <c r="H115" s="8" t="n">
        <v>16945.69</v>
      </c>
      <c r="I115" s="6" t="n">
        <v>377329</v>
      </c>
      <c r="J115" s="6" t="n">
        <v>4500</v>
      </c>
      <c r="K115" s="6" t="n">
        <v>234</v>
      </c>
      <c r="L115" s="8" t="n">
        <v>796455.55</v>
      </c>
      <c r="M115" s="9" t="n">
        <v>0.0119259320115867</v>
      </c>
      <c r="N115" s="8" t="n">
        <v>3.76570888888889</v>
      </c>
      <c r="O115" s="8" t="n">
        <v>72.4174786324786</v>
      </c>
      <c r="P115" s="10" t="n">
        <v>47.0004791778913</v>
      </c>
      <c r="Q115" s="9" t="n">
        <v>0.052</v>
      </c>
    </row>
    <row r="116" customFormat="false" ht="15" hidden="false" customHeight="false" outlineLevel="0" collapsed="false">
      <c r="A116" s="6" t="n">
        <v>1130</v>
      </c>
      <c r="B116" s="6" t="s">
        <v>70</v>
      </c>
      <c r="C116" s="6" t="s">
        <v>63</v>
      </c>
      <c r="D116" s="7" t="n">
        <v>45415</v>
      </c>
      <c r="E116" s="7" t="n">
        <v>45428</v>
      </c>
      <c r="F116" s="6" t="s">
        <v>67</v>
      </c>
      <c r="G116" s="6" t="s">
        <v>49</v>
      </c>
      <c r="H116" s="8" t="n">
        <v>12782.3</v>
      </c>
      <c r="I116" s="6" t="n">
        <v>326948</v>
      </c>
      <c r="J116" s="6" t="n">
        <v>5332</v>
      </c>
      <c r="K116" s="6" t="n">
        <v>220</v>
      </c>
      <c r="L116" s="8" t="n">
        <v>267740.9</v>
      </c>
      <c r="M116" s="9" t="n">
        <v>0.0163084037828646</v>
      </c>
      <c r="N116" s="8" t="n">
        <v>2.39728057014254</v>
      </c>
      <c r="O116" s="8" t="n">
        <v>58.1013636363636</v>
      </c>
      <c r="P116" s="10" t="n">
        <v>20.9462225108157</v>
      </c>
      <c r="Q116" s="9" t="n">
        <v>0.0412603150787697</v>
      </c>
    </row>
    <row r="117" customFormat="false" ht="15" hidden="false" customHeight="false" outlineLevel="0" collapsed="false">
      <c r="A117" s="6" t="n">
        <v>1392</v>
      </c>
      <c r="B117" s="6" t="s">
        <v>73</v>
      </c>
      <c r="C117" s="6" t="s">
        <v>47</v>
      </c>
      <c r="D117" s="7" t="n">
        <v>45491</v>
      </c>
      <c r="E117" s="7" t="n">
        <v>45519</v>
      </c>
      <c r="F117" s="6" t="s">
        <v>48</v>
      </c>
      <c r="G117" s="6" t="s">
        <v>61</v>
      </c>
      <c r="H117" s="8" t="n">
        <v>6180.37</v>
      </c>
      <c r="I117" s="6" t="n">
        <v>112174</v>
      </c>
      <c r="J117" s="6" t="n">
        <v>3898</v>
      </c>
      <c r="K117" s="6" t="n">
        <v>116</v>
      </c>
      <c r="L117" s="8" t="n">
        <v>56212.25</v>
      </c>
      <c r="M117" s="9" t="n">
        <v>0.0347495854654376</v>
      </c>
      <c r="N117" s="8" t="n">
        <v>1.58552334530528</v>
      </c>
      <c r="O117" s="8" t="n">
        <v>53.2790517241379</v>
      </c>
      <c r="P117" s="10" t="n">
        <v>9.09528879338939</v>
      </c>
      <c r="Q117" s="9" t="n">
        <v>0.0297588506926629</v>
      </c>
    </row>
    <row r="118" customFormat="false" ht="15" hidden="false" customHeight="false" outlineLevel="0" collapsed="false">
      <c r="A118" s="6" t="n">
        <v>1217</v>
      </c>
      <c r="B118" s="6" t="s">
        <v>52</v>
      </c>
      <c r="C118" s="6" t="s">
        <v>71</v>
      </c>
      <c r="D118" s="7" t="n">
        <v>45453</v>
      </c>
      <c r="E118" s="7" t="n">
        <v>45471</v>
      </c>
      <c r="F118" s="6" t="s">
        <v>48</v>
      </c>
      <c r="G118" s="6" t="s">
        <v>72</v>
      </c>
      <c r="H118" s="8" t="n">
        <v>8251.26</v>
      </c>
      <c r="I118" s="6" t="n">
        <v>174550</v>
      </c>
      <c r="J118" s="6" t="n">
        <v>2032</v>
      </c>
      <c r="K118" s="6" t="n">
        <v>125</v>
      </c>
      <c r="L118" s="8" t="n">
        <v>122797.49</v>
      </c>
      <c r="M118" s="9" t="n">
        <v>0.0116413635061587</v>
      </c>
      <c r="N118" s="8" t="n">
        <v>4.0606594488189</v>
      </c>
      <c r="O118" s="8" t="n">
        <v>66.01008</v>
      </c>
      <c r="P118" s="10" t="n">
        <v>14.8822713137145</v>
      </c>
      <c r="Q118" s="9" t="n">
        <v>0.0615157480314961</v>
      </c>
    </row>
    <row r="119" customFormat="false" ht="15" hidden="false" customHeight="false" outlineLevel="0" collapsed="false">
      <c r="A119" s="6" t="n">
        <v>1815</v>
      </c>
      <c r="B119" s="6" t="s">
        <v>55</v>
      </c>
      <c r="C119" s="6" t="s">
        <v>63</v>
      </c>
      <c r="D119" s="7" t="n">
        <v>45411</v>
      </c>
      <c r="E119" s="7" t="n">
        <v>45439</v>
      </c>
      <c r="F119" s="6" t="s">
        <v>56</v>
      </c>
      <c r="G119" s="6" t="s">
        <v>54</v>
      </c>
      <c r="H119" s="8" t="n">
        <v>38227.37</v>
      </c>
      <c r="I119" s="6" t="n">
        <v>760587</v>
      </c>
      <c r="J119" s="6" t="n">
        <v>8573</v>
      </c>
      <c r="K119" s="6" t="n">
        <v>165</v>
      </c>
      <c r="L119" s="8" t="n">
        <v>168009.59</v>
      </c>
      <c r="M119" s="9" t="n">
        <v>0.0112715573629315</v>
      </c>
      <c r="N119" s="8" t="n">
        <v>4.45904234223726</v>
      </c>
      <c r="O119" s="8" t="n">
        <v>231.68103030303</v>
      </c>
      <c r="P119" s="10" t="n">
        <v>4.39500781769711</v>
      </c>
      <c r="Q119" s="9" t="n">
        <v>0.0192464714802286</v>
      </c>
    </row>
    <row r="120" customFormat="false" ht="15" hidden="false" customHeight="false" outlineLevel="0" collapsed="false">
      <c r="A120" s="6" t="n">
        <v>1045</v>
      </c>
      <c r="B120" s="6" t="s">
        <v>55</v>
      </c>
      <c r="C120" s="6" t="s">
        <v>50</v>
      </c>
      <c r="D120" s="7" t="n">
        <v>45488</v>
      </c>
      <c r="E120" s="7" t="n">
        <v>45499</v>
      </c>
      <c r="F120" s="6" t="s">
        <v>56</v>
      </c>
      <c r="G120" s="6" t="s">
        <v>49</v>
      </c>
      <c r="H120" s="8" t="n">
        <v>45576.86</v>
      </c>
      <c r="I120" s="6" t="n">
        <v>1685576</v>
      </c>
      <c r="J120" s="6" t="n">
        <v>52119</v>
      </c>
      <c r="K120" s="6" t="n">
        <v>1529</v>
      </c>
      <c r="L120" s="8" t="n">
        <v>2286633.21</v>
      </c>
      <c r="M120" s="9" t="n">
        <v>0.0309205873837786</v>
      </c>
      <c r="N120" s="8" t="n">
        <v>0.87447687023926</v>
      </c>
      <c r="O120" s="8" t="n">
        <v>29.8082799215173</v>
      </c>
      <c r="P120" s="10" t="n">
        <v>50.1709246753726</v>
      </c>
      <c r="Q120" s="9" t="n">
        <v>0.0293367102208408</v>
      </c>
    </row>
    <row r="121" customFormat="false" ht="15" hidden="false" customHeight="false" outlineLevel="0" collapsed="false">
      <c r="A121" s="6" t="n">
        <v>1026</v>
      </c>
      <c r="B121" s="6" t="s">
        <v>74</v>
      </c>
      <c r="C121" s="6" t="s">
        <v>47</v>
      </c>
      <c r="D121" s="7" t="n">
        <v>45522</v>
      </c>
      <c r="E121" s="7" t="n">
        <v>45535</v>
      </c>
      <c r="F121" s="6" t="s">
        <v>51</v>
      </c>
      <c r="G121" s="6" t="s">
        <v>57</v>
      </c>
      <c r="H121" s="8" t="n">
        <v>6879.04</v>
      </c>
      <c r="I121" s="6" t="n">
        <v>150876</v>
      </c>
      <c r="J121" s="6" t="n">
        <v>4274</v>
      </c>
      <c r="K121" s="6" t="n">
        <v>187</v>
      </c>
      <c r="L121" s="8" t="n">
        <v>130321.52</v>
      </c>
      <c r="M121" s="9" t="n">
        <v>0.0283278984066386</v>
      </c>
      <c r="N121" s="8" t="n">
        <v>1.60950865699579</v>
      </c>
      <c r="O121" s="8" t="n">
        <v>36.7863101604278</v>
      </c>
      <c r="P121" s="10" t="n">
        <v>18.9447248453273</v>
      </c>
      <c r="Q121" s="9" t="n">
        <v>0.0437529246607394</v>
      </c>
    </row>
    <row r="122" customFormat="false" ht="15" hidden="false" customHeight="false" outlineLevel="0" collapsed="false">
      <c r="A122" s="6" t="n">
        <v>1464</v>
      </c>
      <c r="B122" s="6" t="s">
        <v>78</v>
      </c>
      <c r="C122" s="6" t="s">
        <v>47</v>
      </c>
      <c r="D122" s="7" t="n">
        <v>45337</v>
      </c>
      <c r="E122" s="7" t="n">
        <v>45366</v>
      </c>
      <c r="F122" s="6" t="s">
        <v>60</v>
      </c>
      <c r="G122" s="6" t="s">
        <v>72</v>
      </c>
      <c r="H122" s="8" t="n">
        <v>7054.27</v>
      </c>
      <c r="I122" s="6" t="n">
        <v>220500</v>
      </c>
      <c r="J122" s="6" t="n">
        <v>2923</v>
      </c>
      <c r="K122" s="6" t="n">
        <v>162</v>
      </c>
      <c r="L122" s="8" t="n">
        <v>142984.19</v>
      </c>
      <c r="M122" s="9" t="n">
        <v>0.0132562358276644</v>
      </c>
      <c r="N122" s="8" t="n">
        <v>2.41336640437906</v>
      </c>
      <c r="O122" s="8" t="n">
        <v>43.5448765432099</v>
      </c>
      <c r="P122" s="10" t="n">
        <v>20.2691688863624</v>
      </c>
      <c r="Q122" s="9" t="n">
        <v>0.0554225111187137</v>
      </c>
    </row>
    <row r="123" customFormat="false" ht="15" hidden="false" customHeight="false" outlineLevel="0" collapsed="false">
      <c r="A123" s="6" t="n">
        <v>1437</v>
      </c>
      <c r="B123" s="6" t="s">
        <v>55</v>
      </c>
      <c r="C123" s="6" t="s">
        <v>71</v>
      </c>
      <c r="D123" s="7" t="n">
        <v>45419</v>
      </c>
      <c r="E123" s="7" t="n">
        <v>45435</v>
      </c>
      <c r="F123" s="6" t="s">
        <v>65</v>
      </c>
      <c r="G123" s="6" t="s">
        <v>54</v>
      </c>
      <c r="H123" s="8" t="n">
        <v>18399.26</v>
      </c>
      <c r="I123" s="6" t="n">
        <v>283366</v>
      </c>
      <c r="J123" s="6" t="n">
        <v>1654</v>
      </c>
      <c r="K123" s="6" t="n">
        <v>18</v>
      </c>
      <c r="L123" s="8" t="n">
        <v>27715.74</v>
      </c>
      <c r="M123" s="9" t="n">
        <v>0.00583697409004609</v>
      </c>
      <c r="N123" s="8" t="n">
        <v>11.1240991535671</v>
      </c>
      <c r="O123" s="8" t="n">
        <v>1022.18111111111</v>
      </c>
      <c r="P123" s="10" t="n">
        <v>1.50635079889083</v>
      </c>
      <c r="Q123" s="9" t="n">
        <v>0.0108827085852479</v>
      </c>
    </row>
    <row r="124" customFormat="false" ht="15" hidden="false" customHeight="false" outlineLevel="0" collapsed="false">
      <c r="A124" s="6" t="n">
        <v>1092</v>
      </c>
      <c r="B124" s="6" t="s">
        <v>46</v>
      </c>
      <c r="C124" s="6" t="s">
        <v>59</v>
      </c>
      <c r="D124" s="7" t="n">
        <v>45372</v>
      </c>
      <c r="E124" s="7" t="n">
        <v>45391</v>
      </c>
      <c r="F124" s="6" t="s">
        <v>69</v>
      </c>
      <c r="G124" s="6" t="s">
        <v>49</v>
      </c>
      <c r="H124" s="8" t="n">
        <v>51318.83</v>
      </c>
      <c r="I124" s="6" t="n">
        <v>1031538</v>
      </c>
      <c r="J124" s="6" t="n">
        <v>23931</v>
      </c>
      <c r="K124" s="6" t="n">
        <v>762</v>
      </c>
      <c r="L124" s="8" t="n">
        <v>1060419.15</v>
      </c>
      <c r="M124" s="9" t="n">
        <v>0.023199339239078</v>
      </c>
      <c r="N124" s="8" t="n">
        <v>2.14444987672893</v>
      </c>
      <c r="O124" s="8" t="n">
        <v>67.3475459317585</v>
      </c>
      <c r="P124" s="10" t="n">
        <v>20.6633539774777</v>
      </c>
      <c r="Q124" s="9" t="n">
        <v>0.0318415444402658</v>
      </c>
    </row>
    <row r="125" customFormat="false" ht="15" hidden="false" customHeight="false" outlineLevel="0" collapsed="false">
      <c r="A125" s="6" t="n">
        <v>1181</v>
      </c>
      <c r="B125" s="6" t="s">
        <v>74</v>
      </c>
      <c r="C125" s="6" t="s">
        <v>50</v>
      </c>
      <c r="D125" s="7" t="n">
        <v>45375</v>
      </c>
      <c r="E125" s="7" t="n">
        <v>45398</v>
      </c>
      <c r="F125" s="6" t="s">
        <v>69</v>
      </c>
      <c r="G125" s="6" t="s">
        <v>75</v>
      </c>
      <c r="H125" s="8" t="n">
        <v>69997.78</v>
      </c>
      <c r="I125" s="6" t="n">
        <v>2182845</v>
      </c>
      <c r="J125" s="6" t="n">
        <v>55293</v>
      </c>
      <c r="K125" s="6" t="n">
        <v>1594</v>
      </c>
      <c r="L125" s="8" t="n">
        <v>1193969.55</v>
      </c>
      <c r="M125" s="9" t="n">
        <v>0.0253307037375535</v>
      </c>
      <c r="N125" s="8" t="n">
        <v>1.26594288607961</v>
      </c>
      <c r="O125" s="8" t="n">
        <v>43.913287327478</v>
      </c>
      <c r="P125" s="10" t="n">
        <v>17.0572488156053</v>
      </c>
      <c r="Q125" s="9" t="n">
        <v>0.0288282422729821</v>
      </c>
    </row>
    <row r="126" customFormat="false" ht="15" hidden="false" customHeight="false" outlineLevel="0" collapsed="false">
      <c r="A126" s="6" t="n">
        <v>1758</v>
      </c>
      <c r="B126" s="6" t="s">
        <v>73</v>
      </c>
      <c r="C126" s="6" t="s">
        <v>63</v>
      </c>
      <c r="D126" s="7" t="n">
        <v>45569</v>
      </c>
      <c r="E126" s="7" t="n">
        <v>45591</v>
      </c>
      <c r="F126" s="6" t="s">
        <v>48</v>
      </c>
      <c r="G126" s="6" t="s">
        <v>72</v>
      </c>
      <c r="H126" s="8" t="n">
        <v>14996.44</v>
      </c>
      <c r="I126" s="6" t="n">
        <v>398414</v>
      </c>
      <c r="J126" s="6" t="n">
        <v>8208</v>
      </c>
      <c r="K126" s="6" t="n">
        <v>149</v>
      </c>
      <c r="L126" s="8" t="n">
        <v>208298.53</v>
      </c>
      <c r="M126" s="9" t="n">
        <v>0.020601685683736</v>
      </c>
      <c r="N126" s="8" t="n">
        <v>1.82705165692008</v>
      </c>
      <c r="O126" s="8" t="n">
        <v>100.647248322148</v>
      </c>
      <c r="P126" s="10" t="n">
        <v>13.8898651946729</v>
      </c>
      <c r="Q126" s="9" t="n">
        <v>0.0181530214424951</v>
      </c>
    </row>
    <row r="127" customFormat="false" ht="15" hidden="false" customHeight="false" outlineLevel="0" collapsed="false">
      <c r="A127" s="6" t="n">
        <v>1549</v>
      </c>
      <c r="B127" s="6" t="s">
        <v>76</v>
      </c>
      <c r="C127" s="6" t="s">
        <v>59</v>
      </c>
      <c r="D127" s="7" t="n">
        <v>45507</v>
      </c>
      <c r="E127" s="7" t="n">
        <v>45514</v>
      </c>
      <c r="F127" s="6" t="s">
        <v>69</v>
      </c>
      <c r="G127" s="6" t="s">
        <v>75</v>
      </c>
      <c r="H127" s="8" t="n">
        <v>61140.64</v>
      </c>
      <c r="I127" s="6" t="n">
        <v>1379317</v>
      </c>
      <c r="J127" s="6" t="n">
        <v>16937</v>
      </c>
      <c r="K127" s="6" t="n">
        <v>776</v>
      </c>
      <c r="L127" s="8" t="n">
        <v>414809.67</v>
      </c>
      <c r="M127" s="9" t="n">
        <v>0.0122792657525427</v>
      </c>
      <c r="N127" s="8" t="n">
        <v>3.60988604829663</v>
      </c>
      <c r="O127" s="8" t="n">
        <v>78.7894845360825</v>
      </c>
      <c r="P127" s="10" t="n">
        <v>6.78451632171335</v>
      </c>
      <c r="Q127" s="9" t="n">
        <v>0.045816850681939</v>
      </c>
    </row>
    <row r="128" customFormat="false" ht="15" hidden="false" customHeight="false" outlineLevel="0" collapsed="false">
      <c r="A128" s="6" t="n">
        <v>1649</v>
      </c>
      <c r="B128" s="6" t="s">
        <v>76</v>
      </c>
      <c r="C128" s="6" t="s">
        <v>59</v>
      </c>
      <c r="D128" s="7" t="n">
        <v>45595</v>
      </c>
      <c r="E128" s="7" t="n">
        <v>45615</v>
      </c>
      <c r="F128" s="6" t="s">
        <v>51</v>
      </c>
      <c r="G128" s="6" t="s">
        <v>61</v>
      </c>
      <c r="H128" s="8" t="n">
        <v>73592.1</v>
      </c>
      <c r="I128" s="6" t="n">
        <v>1821520</v>
      </c>
      <c r="J128" s="6" t="n">
        <v>61552</v>
      </c>
      <c r="K128" s="6" t="n">
        <v>3659</v>
      </c>
      <c r="L128" s="8" t="n">
        <v>2606221.11</v>
      </c>
      <c r="M128" s="9" t="n">
        <v>0.0337915586982301</v>
      </c>
      <c r="N128" s="8" t="n">
        <v>1.19560859110996</v>
      </c>
      <c r="O128" s="8" t="n">
        <v>20.1126264006559</v>
      </c>
      <c r="P128" s="10" t="n">
        <v>35.4144141830441</v>
      </c>
      <c r="Q128" s="9" t="n">
        <v>0.0594456719521705</v>
      </c>
    </row>
    <row r="129" customFormat="false" ht="15" hidden="false" customHeight="false" outlineLevel="0" collapsed="false">
      <c r="A129" s="6" t="n">
        <v>1338</v>
      </c>
      <c r="B129" s="6" t="s">
        <v>66</v>
      </c>
      <c r="C129" s="6" t="s">
        <v>63</v>
      </c>
      <c r="D129" s="7" t="n">
        <v>45581</v>
      </c>
      <c r="E129" s="7" t="n">
        <v>45599</v>
      </c>
      <c r="F129" s="6" t="s">
        <v>51</v>
      </c>
      <c r="G129" s="6" t="s">
        <v>54</v>
      </c>
      <c r="H129" s="8" t="n">
        <v>33631.83</v>
      </c>
      <c r="I129" s="6" t="n">
        <v>904730</v>
      </c>
      <c r="J129" s="6" t="n">
        <v>23366</v>
      </c>
      <c r="K129" s="6" t="n">
        <v>429</v>
      </c>
      <c r="L129" s="8" t="n">
        <v>468966.72</v>
      </c>
      <c r="M129" s="9" t="n">
        <v>0.0258264896709516</v>
      </c>
      <c r="N129" s="8" t="n">
        <v>1.43934905418129</v>
      </c>
      <c r="O129" s="8" t="n">
        <v>78.3958741258741</v>
      </c>
      <c r="P129" s="10" t="n">
        <v>13.944133280883</v>
      </c>
      <c r="Q129" s="9" t="n">
        <v>0.0183600102713344</v>
      </c>
    </row>
    <row r="130" customFormat="false" ht="15" hidden="false" customHeight="false" outlineLevel="0" collapsed="false">
      <c r="A130" s="6" t="n">
        <v>1023</v>
      </c>
      <c r="B130" s="6" t="s">
        <v>58</v>
      </c>
      <c r="C130" s="6" t="s">
        <v>63</v>
      </c>
      <c r="D130" s="7" t="n">
        <v>45588</v>
      </c>
      <c r="E130" s="7" t="n">
        <v>45612</v>
      </c>
      <c r="F130" s="6" t="s">
        <v>60</v>
      </c>
      <c r="G130" s="6" t="s">
        <v>54</v>
      </c>
      <c r="H130" s="8" t="n">
        <v>20178.97</v>
      </c>
      <c r="I130" s="6" t="n">
        <v>525554</v>
      </c>
      <c r="J130" s="6" t="n">
        <v>13280</v>
      </c>
      <c r="K130" s="6" t="n">
        <v>607</v>
      </c>
      <c r="L130" s="8" t="n">
        <v>911056.21</v>
      </c>
      <c r="M130" s="9" t="n">
        <v>0.025268573733622</v>
      </c>
      <c r="N130" s="8" t="n">
        <v>1.51950075301205</v>
      </c>
      <c r="O130" s="8" t="n">
        <v>33.2437726523888</v>
      </c>
      <c r="P130" s="10" t="n">
        <v>45.1487964945684</v>
      </c>
      <c r="Q130" s="9" t="n">
        <v>0.0457078313253012</v>
      </c>
    </row>
    <row r="131" customFormat="false" ht="15" hidden="false" customHeight="false" outlineLevel="0" collapsed="false">
      <c r="A131" s="6" t="n">
        <v>1408</v>
      </c>
      <c r="B131" s="6" t="s">
        <v>78</v>
      </c>
      <c r="C131" s="6" t="s">
        <v>71</v>
      </c>
      <c r="D131" s="7" t="n">
        <v>45599</v>
      </c>
      <c r="E131" s="7" t="n">
        <v>45615</v>
      </c>
      <c r="F131" s="6" t="s">
        <v>60</v>
      </c>
      <c r="G131" s="6" t="s">
        <v>49</v>
      </c>
      <c r="H131" s="8" t="n">
        <v>17213.71</v>
      </c>
      <c r="I131" s="6" t="n">
        <v>588694</v>
      </c>
      <c r="J131" s="6" t="n">
        <v>15253</v>
      </c>
      <c r="K131" s="6" t="n">
        <v>161</v>
      </c>
      <c r="L131" s="8" t="n">
        <v>164365.57</v>
      </c>
      <c r="M131" s="9" t="n">
        <v>0.0259098954635176</v>
      </c>
      <c r="N131" s="8" t="n">
        <v>1.12854585983085</v>
      </c>
      <c r="O131" s="8" t="n">
        <v>106.917453416149</v>
      </c>
      <c r="P131" s="10" t="n">
        <v>9.54852672666148</v>
      </c>
      <c r="Q131" s="9" t="n">
        <v>0.0105553005966039</v>
      </c>
    </row>
    <row r="132" customFormat="false" ht="15" hidden="false" customHeight="false" outlineLevel="0" collapsed="false">
      <c r="A132" s="6" t="n">
        <v>1433</v>
      </c>
      <c r="B132" s="6" t="s">
        <v>73</v>
      </c>
      <c r="C132" s="6" t="s">
        <v>63</v>
      </c>
      <c r="D132" s="7" t="n">
        <v>45493</v>
      </c>
      <c r="E132" s="7" t="n">
        <v>45520</v>
      </c>
      <c r="F132" s="6" t="s">
        <v>53</v>
      </c>
      <c r="G132" s="6" t="s">
        <v>49</v>
      </c>
      <c r="H132" s="8" t="n">
        <v>16546.59</v>
      </c>
      <c r="I132" s="6" t="n">
        <v>608310</v>
      </c>
      <c r="J132" s="6" t="n">
        <v>8037</v>
      </c>
      <c r="K132" s="6" t="n">
        <v>433</v>
      </c>
      <c r="L132" s="8" t="n">
        <v>334812.88</v>
      </c>
      <c r="M132" s="9" t="n">
        <v>0.013212013611481</v>
      </c>
      <c r="N132" s="8" t="n">
        <v>2.05880179171333</v>
      </c>
      <c r="O132" s="8" t="n">
        <v>38.2138337182448</v>
      </c>
      <c r="P132" s="10" t="n">
        <v>20.2345546725942</v>
      </c>
      <c r="Q132" s="9" t="n">
        <v>0.0538758243125544</v>
      </c>
    </row>
    <row r="133" customFormat="false" ht="15" hidden="false" customHeight="false" outlineLevel="0" collapsed="false">
      <c r="A133" s="6" t="n">
        <v>1206</v>
      </c>
      <c r="B133" s="6" t="s">
        <v>52</v>
      </c>
      <c r="C133" s="6" t="s">
        <v>59</v>
      </c>
      <c r="D133" s="7" t="n">
        <v>45413</v>
      </c>
      <c r="E133" s="7" t="n">
        <v>45434</v>
      </c>
      <c r="F133" s="6" t="s">
        <v>60</v>
      </c>
      <c r="G133" s="6" t="s">
        <v>57</v>
      </c>
      <c r="H133" s="8" t="n">
        <v>36572.9</v>
      </c>
      <c r="I133" s="6" t="n">
        <v>1156154</v>
      </c>
      <c r="J133" s="6" t="n">
        <v>37915</v>
      </c>
      <c r="K133" s="6" t="n">
        <v>1407</v>
      </c>
      <c r="L133" s="8" t="n">
        <v>2444265.52</v>
      </c>
      <c r="M133" s="9" t="n">
        <v>0.0327940741458318</v>
      </c>
      <c r="N133" s="8" t="n">
        <v>0.964602400105499</v>
      </c>
      <c r="O133" s="8" t="n">
        <v>25.9935323383085</v>
      </c>
      <c r="P133" s="10" t="n">
        <v>66.8326963407332</v>
      </c>
      <c r="Q133" s="9" t="n">
        <v>0.0371093234867467</v>
      </c>
    </row>
    <row r="134" customFormat="false" ht="15" hidden="false" customHeight="false" outlineLevel="0" collapsed="false">
      <c r="A134" s="6" t="n">
        <v>1178</v>
      </c>
      <c r="B134" s="6" t="s">
        <v>55</v>
      </c>
      <c r="C134" s="6" t="s">
        <v>63</v>
      </c>
      <c r="D134" s="7" t="n">
        <v>45451</v>
      </c>
      <c r="E134" s="7" t="n">
        <v>45464</v>
      </c>
      <c r="F134" s="6" t="s">
        <v>67</v>
      </c>
      <c r="G134" s="6" t="s">
        <v>72</v>
      </c>
      <c r="H134" s="8" t="n">
        <v>43762.33</v>
      </c>
      <c r="I134" s="6" t="n">
        <v>1405702</v>
      </c>
      <c r="J134" s="6" t="n">
        <v>48039</v>
      </c>
      <c r="K134" s="6" t="n">
        <v>1246</v>
      </c>
      <c r="L134" s="8" t="n">
        <v>978978.02</v>
      </c>
      <c r="M134" s="9" t="n">
        <v>0.0341743840444134</v>
      </c>
      <c r="N134" s="8" t="n">
        <v>0.91097504111243</v>
      </c>
      <c r="O134" s="8" t="n">
        <v>35.1222552166934</v>
      </c>
      <c r="P134" s="10" t="n">
        <v>22.3703358573458</v>
      </c>
      <c r="Q134" s="9" t="n">
        <v>0.0259372593101438</v>
      </c>
    </row>
    <row r="135" customFormat="false" ht="15" hidden="false" customHeight="false" outlineLevel="0" collapsed="false">
      <c r="A135" s="6" t="n">
        <v>1202</v>
      </c>
      <c r="B135" s="6" t="s">
        <v>76</v>
      </c>
      <c r="C135" s="6" t="s">
        <v>71</v>
      </c>
      <c r="D135" s="7" t="n">
        <v>45575</v>
      </c>
      <c r="E135" s="7" t="n">
        <v>45593</v>
      </c>
      <c r="F135" s="6" t="s">
        <v>69</v>
      </c>
      <c r="G135" s="6" t="s">
        <v>75</v>
      </c>
      <c r="H135" s="8" t="n">
        <v>33112.46</v>
      </c>
      <c r="I135" s="6" t="n">
        <v>917490</v>
      </c>
      <c r="J135" s="6" t="n">
        <v>29942</v>
      </c>
      <c r="K135" s="6" t="n">
        <v>670</v>
      </c>
      <c r="L135" s="8" t="n">
        <v>796565.59</v>
      </c>
      <c r="M135" s="9" t="n">
        <v>0.0326346881164917</v>
      </c>
      <c r="N135" s="8" t="n">
        <v>1.10588671431434</v>
      </c>
      <c r="O135" s="8" t="n">
        <v>49.4215820895522</v>
      </c>
      <c r="P135" s="10" t="n">
        <v>24.05637001902</v>
      </c>
      <c r="Q135" s="9" t="n">
        <v>0.0223765947498497</v>
      </c>
    </row>
    <row r="136" customFormat="false" ht="15" hidden="false" customHeight="false" outlineLevel="0" collapsed="false">
      <c r="A136" s="6" t="n">
        <v>1699</v>
      </c>
      <c r="B136" s="6" t="s">
        <v>73</v>
      </c>
      <c r="C136" s="6" t="s">
        <v>47</v>
      </c>
      <c r="D136" s="7" t="n">
        <v>45386</v>
      </c>
      <c r="E136" s="7" t="n">
        <v>45411</v>
      </c>
      <c r="F136" s="6" t="s">
        <v>65</v>
      </c>
      <c r="G136" s="6" t="s">
        <v>61</v>
      </c>
      <c r="H136" s="8" t="n">
        <v>3351.22</v>
      </c>
      <c r="I136" s="6" t="n">
        <v>110689</v>
      </c>
      <c r="J136" s="6" t="n">
        <v>637</v>
      </c>
      <c r="K136" s="6" t="n">
        <v>26</v>
      </c>
      <c r="L136" s="8" t="n">
        <v>40897.02</v>
      </c>
      <c r="M136" s="9" t="n">
        <v>0.00575486272348653</v>
      </c>
      <c r="N136" s="8" t="n">
        <v>5.26094191522763</v>
      </c>
      <c r="O136" s="8" t="n">
        <v>128.893076923077</v>
      </c>
      <c r="P136" s="10" t="n">
        <v>12.2036213677407</v>
      </c>
      <c r="Q136" s="9" t="n">
        <v>0.0408163265306122</v>
      </c>
    </row>
    <row r="137" customFormat="false" ht="15" hidden="false" customHeight="false" outlineLevel="0" collapsed="false">
      <c r="A137" s="6" t="n">
        <v>1140</v>
      </c>
      <c r="B137" s="6" t="s">
        <v>70</v>
      </c>
      <c r="C137" s="6" t="s">
        <v>63</v>
      </c>
      <c r="D137" s="7" t="n">
        <v>45397</v>
      </c>
      <c r="E137" s="7" t="n">
        <v>45408</v>
      </c>
      <c r="F137" s="6" t="s">
        <v>56</v>
      </c>
      <c r="G137" s="6" t="s">
        <v>57</v>
      </c>
      <c r="H137" s="8" t="n">
        <v>31083.27</v>
      </c>
      <c r="I137" s="6" t="n">
        <v>879874</v>
      </c>
      <c r="J137" s="6" t="n">
        <v>20154</v>
      </c>
      <c r="K137" s="6" t="n">
        <v>439</v>
      </c>
      <c r="L137" s="8" t="n">
        <v>776832.55</v>
      </c>
      <c r="M137" s="9" t="n">
        <v>0.0229055523859098</v>
      </c>
      <c r="N137" s="8" t="n">
        <v>1.5422878832986</v>
      </c>
      <c r="O137" s="8" t="n">
        <v>70.804715261959</v>
      </c>
      <c r="P137" s="10" t="n">
        <v>24.9919828254878</v>
      </c>
      <c r="Q137" s="9" t="n">
        <v>0.021782276471172</v>
      </c>
    </row>
    <row r="138" customFormat="false" ht="15" hidden="false" customHeight="false" outlineLevel="0" collapsed="false">
      <c r="A138" s="6" t="n">
        <v>1135</v>
      </c>
      <c r="B138" s="6" t="s">
        <v>79</v>
      </c>
      <c r="C138" s="6" t="s">
        <v>71</v>
      </c>
      <c r="D138" s="7" t="n">
        <v>45479</v>
      </c>
      <c r="E138" s="7" t="n">
        <v>45494</v>
      </c>
      <c r="F138" s="6" t="s">
        <v>56</v>
      </c>
      <c r="G138" s="6" t="s">
        <v>54</v>
      </c>
      <c r="H138" s="8" t="n">
        <v>31792.62</v>
      </c>
      <c r="I138" s="6" t="n">
        <v>685411</v>
      </c>
      <c r="J138" s="6" t="n">
        <v>21164</v>
      </c>
      <c r="K138" s="6" t="n">
        <v>993</v>
      </c>
      <c r="L138" s="8" t="n">
        <v>1267770.5</v>
      </c>
      <c r="M138" s="9" t="n">
        <v>0.030877823670761</v>
      </c>
      <c r="N138" s="8" t="n">
        <v>1.5022027972028</v>
      </c>
      <c r="O138" s="8" t="n">
        <v>32.0167371601209</v>
      </c>
      <c r="P138" s="10" t="n">
        <v>39.8762511551423</v>
      </c>
      <c r="Q138" s="9" t="n">
        <v>0.0469192969192969</v>
      </c>
    </row>
    <row r="139" customFormat="false" ht="15" hidden="false" customHeight="false" outlineLevel="0" collapsed="false">
      <c r="A139" s="6" t="n">
        <v>1102</v>
      </c>
      <c r="B139" s="6" t="s">
        <v>62</v>
      </c>
      <c r="C139" s="6" t="s">
        <v>59</v>
      </c>
      <c r="D139" s="7" t="n">
        <v>45618</v>
      </c>
      <c r="E139" s="7" t="n">
        <v>45630</v>
      </c>
      <c r="F139" s="6" t="s">
        <v>65</v>
      </c>
      <c r="G139" s="6" t="s">
        <v>61</v>
      </c>
      <c r="H139" s="8" t="n">
        <v>22514.85</v>
      </c>
      <c r="I139" s="6" t="n">
        <v>523635</v>
      </c>
      <c r="J139" s="6" t="n">
        <v>10039</v>
      </c>
      <c r="K139" s="6" t="n">
        <v>579</v>
      </c>
      <c r="L139" s="8" t="n">
        <v>318060.45</v>
      </c>
      <c r="M139" s="9" t="n">
        <v>0.0191717513153246</v>
      </c>
      <c r="N139" s="8" t="n">
        <v>2.24273832054986</v>
      </c>
      <c r="O139" s="8" t="n">
        <v>38.8857512953368</v>
      </c>
      <c r="P139" s="10" t="n">
        <v>14.1266963803889</v>
      </c>
      <c r="Q139" s="9" t="n">
        <v>0.0576750672377727</v>
      </c>
    </row>
    <row r="140" customFormat="false" ht="15" hidden="false" customHeight="false" outlineLevel="0" collapsed="false">
      <c r="A140" s="6" t="n">
        <v>1707</v>
      </c>
      <c r="B140" s="6" t="s">
        <v>77</v>
      </c>
      <c r="C140" s="6" t="s">
        <v>63</v>
      </c>
      <c r="D140" s="7" t="n">
        <v>45535</v>
      </c>
      <c r="E140" s="7" t="n">
        <v>45550</v>
      </c>
      <c r="F140" s="6" t="s">
        <v>51</v>
      </c>
      <c r="G140" s="6" t="s">
        <v>72</v>
      </c>
      <c r="H140" s="8" t="n">
        <v>13709.59</v>
      </c>
      <c r="I140" s="6" t="n">
        <v>309576</v>
      </c>
      <c r="J140" s="6" t="n">
        <v>8999</v>
      </c>
      <c r="K140" s="6" t="n">
        <v>190</v>
      </c>
      <c r="L140" s="8" t="n">
        <v>309094.65</v>
      </c>
      <c r="M140" s="9" t="n">
        <v>0.0290687908623408</v>
      </c>
      <c r="N140" s="8" t="n">
        <v>1.52345705078342</v>
      </c>
      <c r="O140" s="8" t="n">
        <v>72.1557368421053</v>
      </c>
      <c r="P140" s="10" t="n">
        <v>22.5458711748491</v>
      </c>
      <c r="Q140" s="9" t="n">
        <v>0.0211134570507834</v>
      </c>
    </row>
    <row r="141" customFormat="false" ht="15" hidden="false" customHeight="false" outlineLevel="0" collapsed="false">
      <c r="A141" s="6" t="n">
        <v>1686</v>
      </c>
      <c r="B141" s="6" t="s">
        <v>52</v>
      </c>
      <c r="C141" s="6" t="s">
        <v>47</v>
      </c>
      <c r="D141" s="7" t="n">
        <v>45534</v>
      </c>
      <c r="E141" s="7" t="n">
        <v>45543</v>
      </c>
      <c r="F141" s="6" t="s">
        <v>60</v>
      </c>
      <c r="G141" s="6" t="s">
        <v>57</v>
      </c>
      <c r="H141" s="8" t="n">
        <v>2280.93</v>
      </c>
      <c r="I141" s="6" t="n">
        <v>51959</v>
      </c>
      <c r="J141" s="6" t="n">
        <v>536</v>
      </c>
      <c r="K141" s="6" t="n">
        <v>21</v>
      </c>
      <c r="L141" s="8" t="n">
        <v>15023.83</v>
      </c>
      <c r="M141" s="9" t="n">
        <v>0.0103158259396832</v>
      </c>
      <c r="N141" s="8" t="n">
        <v>4.25546641791045</v>
      </c>
      <c r="O141" s="8" t="n">
        <v>108.615714285714</v>
      </c>
      <c r="P141" s="10" t="n">
        <v>6.58671243747068</v>
      </c>
      <c r="Q141" s="9" t="n">
        <v>0.0391791044776119</v>
      </c>
    </row>
    <row r="142" customFormat="false" ht="15" hidden="false" customHeight="false" outlineLevel="0" collapsed="false">
      <c r="A142" s="6" t="n">
        <v>1724</v>
      </c>
      <c r="B142" s="6" t="s">
        <v>58</v>
      </c>
      <c r="C142" s="6" t="s">
        <v>63</v>
      </c>
      <c r="D142" s="7" t="n">
        <v>45611</v>
      </c>
      <c r="E142" s="7" t="n">
        <v>45626</v>
      </c>
      <c r="F142" s="6" t="s">
        <v>56</v>
      </c>
      <c r="G142" s="6" t="s">
        <v>57</v>
      </c>
      <c r="H142" s="8" t="n">
        <v>29286.36</v>
      </c>
      <c r="I142" s="6" t="n">
        <v>778057</v>
      </c>
      <c r="J142" s="6" t="n">
        <v>24907</v>
      </c>
      <c r="K142" s="6" t="n">
        <v>1900</v>
      </c>
      <c r="L142" s="8" t="n">
        <v>2670162.91</v>
      </c>
      <c r="M142" s="9" t="n">
        <v>0.0320117934804262</v>
      </c>
      <c r="N142" s="8" t="n">
        <v>1.17582848195286</v>
      </c>
      <c r="O142" s="8" t="n">
        <v>15.4138736842105</v>
      </c>
      <c r="P142" s="10" t="n">
        <v>91.1742842060263</v>
      </c>
      <c r="Q142" s="9" t="n">
        <v>0.0762837756454009</v>
      </c>
    </row>
    <row r="143" customFormat="false" ht="15" hidden="false" customHeight="false" outlineLevel="0" collapsed="false">
      <c r="A143" s="6" t="n">
        <v>1158</v>
      </c>
      <c r="B143" s="6" t="s">
        <v>52</v>
      </c>
      <c r="C143" s="6" t="s">
        <v>47</v>
      </c>
      <c r="D143" s="7" t="n">
        <v>45353</v>
      </c>
      <c r="E143" s="7" t="n">
        <v>45360</v>
      </c>
      <c r="F143" s="6" t="s">
        <v>67</v>
      </c>
      <c r="G143" s="6" t="s">
        <v>61</v>
      </c>
      <c r="H143" s="8" t="n">
        <v>6653.18</v>
      </c>
      <c r="I143" s="6" t="n">
        <v>150397</v>
      </c>
      <c r="J143" s="6" t="n">
        <v>3931</v>
      </c>
      <c r="K143" s="6" t="n">
        <v>205</v>
      </c>
      <c r="L143" s="8" t="n">
        <v>135664.93</v>
      </c>
      <c r="M143" s="9" t="n">
        <v>0.0261374894446033</v>
      </c>
      <c r="N143" s="8" t="n">
        <v>1.69249046044264</v>
      </c>
      <c r="O143" s="8" t="n">
        <v>32.4545365853659</v>
      </c>
      <c r="P143" s="10" t="n">
        <v>20.3909904737284</v>
      </c>
      <c r="Q143" s="9" t="n">
        <v>0.052149580259476</v>
      </c>
    </row>
    <row r="144" customFormat="false" ht="15" hidden="false" customHeight="false" outlineLevel="0" collapsed="false">
      <c r="A144" s="6" t="n">
        <v>1360</v>
      </c>
      <c r="B144" s="6" t="s">
        <v>77</v>
      </c>
      <c r="C144" s="6" t="s">
        <v>59</v>
      </c>
      <c r="D144" s="7" t="n">
        <v>45460</v>
      </c>
      <c r="E144" s="7" t="n">
        <v>45483</v>
      </c>
      <c r="F144" s="6" t="s">
        <v>48</v>
      </c>
      <c r="G144" s="6" t="s">
        <v>57</v>
      </c>
      <c r="H144" s="8" t="n">
        <v>44246.3</v>
      </c>
      <c r="I144" s="6" t="n">
        <v>1491514</v>
      </c>
      <c r="J144" s="6" t="n">
        <v>18014</v>
      </c>
      <c r="K144" s="6" t="n">
        <v>713</v>
      </c>
      <c r="L144" s="8" t="n">
        <v>398711.72</v>
      </c>
      <c r="M144" s="9" t="n">
        <v>0.0120776606857193</v>
      </c>
      <c r="N144" s="8" t="n">
        <v>2.45621738647718</v>
      </c>
      <c r="O144" s="8" t="n">
        <v>62.0565217391304</v>
      </c>
      <c r="P144" s="10" t="n">
        <v>9.01118782813478</v>
      </c>
      <c r="Q144" s="9" t="n">
        <v>0.0395803264127901</v>
      </c>
    </row>
    <row r="145" customFormat="false" ht="15" hidden="false" customHeight="false" outlineLevel="0" collapsed="false">
      <c r="A145" s="6" t="n">
        <v>1512</v>
      </c>
      <c r="B145" s="6" t="s">
        <v>58</v>
      </c>
      <c r="C145" s="6" t="s">
        <v>63</v>
      </c>
      <c r="D145" s="7" t="n">
        <v>45512</v>
      </c>
      <c r="E145" s="7" t="n">
        <v>45532</v>
      </c>
      <c r="F145" s="6" t="s">
        <v>48</v>
      </c>
      <c r="G145" s="6" t="s">
        <v>49</v>
      </c>
      <c r="H145" s="8" t="n">
        <v>8379.41</v>
      </c>
      <c r="I145" s="6" t="n">
        <v>307528</v>
      </c>
      <c r="J145" s="6" t="n">
        <v>10326</v>
      </c>
      <c r="K145" s="6" t="n">
        <v>597</v>
      </c>
      <c r="L145" s="8" t="n">
        <v>442544.02</v>
      </c>
      <c r="M145" s="9" t="n">
        <v>0.0335774303478057</v>
      </c>
      <c r="N145" s="8" t="n">
        <v>0.811486538834011</v>
      </c>
      <c r="O145" s="8" t="n">
        <v>14.0358626465662</v>
      </c>
      <c r="P145" s="10" t="n">
        <v>52.8132672825414</v>
      </c>
      <c r="Q145" s="9" t="n">
        <v>0.057815223707147</v>
      </c>
    </row>
    <row r="146" customFormat="false" ht="15" hidden="false" customHeight="false" outlineLevel="0" collapsed="false">
      <c r="A146" s="6" t="n">
        <v>1397</v>
      </c>
      <c r="B146" s="6" t="s">
        <v>58</v>
      </c>
      <c r="C146" s="6" t="s">
        <v>50</v>
      </c>
      <c r="D146" s="7" t="n">
        <v>45352</v>
      </c>
      <c r="E146" s="7" t="n">
        <v>45368</v>
      </c>
      <c r="F146" s="6" t="s">
        <v>56</v>
      </c>
      <c r="G146" s="6" t="s">
        <v>72</v>
      </c>
      <c r="H146" s="8" t="n">
        <v>79371.41</v>
      </c>
      <c r="I146" s="6" t="n">
        <v>1792325</v>
      </c>
      <c r="J146" s="6" t="n">
        <v>35089</v>
      </c>
      <c r="K146" s="6" t="n">
        <v>2294</v>
      </c>
      <c r="L146" s="8" t="n">
        <v>1275699.64</v>
      </c>
      <c r="M146" s="9" t="n">
        <v>0.0195773645962646</v>
      </c>
      <c r="N146" s="8" t="n">
        <v>2.2620026219043</v>
      </c>
      <c r="O146" s="8" t="n">
        <v>34.5995684394072</v>
      </c>
      <c r="P146" s="10" t="n">
        <v>16.072533422299</v>
      </c>
      <c r="Q146" s="9" t="n">
        <v>0.065376613753598</v>
      </c>
    </row>
    <row r="147" customFormat="false" ht="15" hidden="false" customHeight="false" outlineLevel="0" collapsed="false">
      <c r="A147" s="6" t="n">
        <v>1600</v>
      </c>
      <c r="B147" s="6" t="s">
        <v>62</v>
      </c>
      <c r="C147" s="6" t="s">
        <v>50</v>
      </c>
      <c r="D147" s="7" t="n">
        <v>45532</v>
      </c>
      <c r="E147" s="7" t="n">
        <v>45539</v>
      </c>
      <c r="F147" s="6" t="s">
        <v>56</v>
      </c>
      <c r="G147" s="6" t="s">
        <v>54</v>
      </c>
      <c r="H147" s="8" t="n">
        <v>31828.84</v>
      </c>
      <c r="I147" s="6" t="n">
        <v>626769</v>
      </c>
      <c r="J147" s="6" t="n">
        <v>16184</v>
      </c>
      <c r="K147" s="6" t="n">
        <v>771</v>
      </c>
      <c r="L147" s="8" t="n">
        <v>639930.72</v>
      </c>
      <c r="M147" s="9" t="n">
        <v>0.0258213153490361</v>
      </c>
      <c r="N147" s="8" t="n">
        <v>1.96668561542264</v>
      </c>
      <c r="O147" s="8" t="n">
        <v>41.282542153048</v>
      </c>
      <c r="P147" s="10" t="n">
        <v>20.1053736171347</v>
      </c>
      <c r="Q147" s="9" t="n">
        <v>0.0476396440929313</v>
      </c>
    </row>
    <row r="148" customFormat="false" ht="15" hidden="false" customHeight="false" outlineLevel="0" collapsed="false">
      <c r="A148" s="6" t="n">
        <v>1785</v>
      </c>
      <c r="B148" s="6" t="s">
        <v>55</v>
      </c>
      <c r="C148" s="6" t="s">
        <v>50</v>
      </c>
      <c r="D148" s="7" t="n">
        <v>45506</v>
      </c>
      <c r="E148" s="7" t="n">
        <v>45536</v>
      </c>
      <c r="F148" s="6" t="s">
        <v>60</v>
      </c>
      <c r="G148" s="6" t="s">
        <v>57</v>
      </c>
      <c r="H148" s="8" t="n">
        <v>65598.03</v>
      </c>
      <c r="I148" s="6" t="n">
        <v>2373210</v>
      </c>
      <c r="J148" s="6" t="n">
        <v>59300</v>
      </c>
      <c r="K148" s="6" t="n">
        <v>1466</v>
      </c>
      <c r="L148" s="8" t="n">
        <v>1493657.27</v>
      </c>
      <c r="M148" s="9" t="n">
        <v>0.0249872535510975</v>
      </c>
      <c r="N148" s="8" t="n">
        <v>1.10620623946037</v>
      </c>
      <c r="O148" s="8" t="n">
        <v>44.7462687585266</v>
      </c>
      <c r="P148" s="10" t="n">
        <v>22.769849490907</v>
      </c>
      <c r="Q148" s="9" t="n">
        <v>0.0247217537942664</v>
      </c>
    </row>
    <row r="149" customFormat="false" ht="15" hidden="false" customHeight="false" outlineLevel="0" collapsed="false">
      <c r="A149" s="6" t="n">
        <v>1521</v>
      </c>
      <c r="B149" s="6" t="s">
        <v>64</v>
      </c>
      <c r="C149" s="6" t="s">
        <v>47</v>
      </c>
      <c r="D149" s="7" t="n">
        <v>45550</v>
      </c>
      <c r="E149" s="7" t="n">
        <v>45558</v>
      </c>
      <c r="F149" s="6" t="s">
        <v>56</v>
      </c>
      <c r="G149" s="6" t="s">
        <v>49</v>
      </c>
      <c r="H149" s="8" t="n">
        <v>5038.54</v>
      </c>
      <c r="I149" s="6" t="n">
        <v>124957</v>
      </c>
      <c r="J149" s="6" t="n">
        <v>3481</v>
      </c>
      <c r="K149" s="6" t="n">
        <v>258</v>
      </c>
      <c r="L149" s="8" t="n">
        <v>403548.1</v>
      </c>
      <c r="M149" s="9" t="n">
        <v>0.0278575830085549</v>
      </c>
      <c r="N149" s="8" t="n">
        <v>1.44744039069233</v>
      </c>
      <c r="O149" s="8" t="n">
        <v>19.5292248062016</v>
      </c>
      <c r="P149" s="10" t="n">
        <v>80.0922687921501</v>
      </c>
      <c r="Q149" s="9" t="n">
        <v>0.0741166331513933</v>
      </c>
    </row>
    <row r="150" customFormat="false" ht="15" hidden="false" customHeight="false" outlineLevel="0" collapsed="false">
      <c r="A150" s="6" t="n">
        <v>1624</v>
      </c>
      <c r="B150" s="6" t="s">
        <v>73</v>
      </c>
      <c r="C150" s="6" t="s">
        <v>47</v>
      </c>
      <c r="D150" s="7" t="n">
        <v>45312</v>
      </c>
      <c r="E150" s="7" t="n">
        <v>45319</v>
      </c>
      <c r="F150" s="6" t="s">
        <v>51</v>
      </c>
      <c r="G150" s="6" t="s">
        <v>57</v>
      </c>
      <c r="H150" s="8" t="n">
        <v>3609.57</v>
      </c>
      <c r="I150" s="6" t="n">
        <v>67386</v>
      </c>
      <c r="J150" s="6" t="n">
        <v>2311</v>
      </c>
      <c r="K150" s="6" t="n">
        <v>126</v>
      </c>
      <c r="L150" s="8" t="n">
        <v>205248.14</v>
      </c>
      <c r="M150" s="9" t="n">
        <v>0.0342949574095509</v>
      </c>
      <c r="N150" s="8" t="n">
        <v>1.56190826482042</v>
      </c>
      <c r="O150" s="8" t="n">
        <v>28.647380952381</v>
      </c>
      <c r="P150" s="10" t="n">
        <v>56.8622135046557</v>
      </c>
      <c r="Q150" s="9" t="n">
        <v>0.054521852012116</v>
      </c>
    </row>
    <row r="151" customFormat="false" ht="15" hidden="false" customHeight="false" outlineLevel="0" collapsed="false">
      <c r="A151" s="6" t="n">
        <v>1089</v>
      </c>
      <c r="B151" s="6" t="s">
        <v>64</v>
      </c>
      <c r="C151" s="6" t="s">
        <v>71</v>
      </c>
      <c r="D151" s="7" t="n">
        <v>45356</v>
      </c>
      <c r="E151" s="7" t="n">
        <v>45371</v>
      </c>
      <c r="F151" s="6" t="s">
        <v>53</v>
      </c>
      <c r="G151" s="6" t="s">
        <v>57</v>
      </c>
      <c r="H151" s="8" t="n">
        <v>11856.58</v>
      </c>
      <c r="I151" s="6" t="n">
        <v>315928</v>
      </c>
      <c r="J151" s="6" t="n">
        <v>6483</v>
      </c>
      <c r="K151" s="6" t="n">
        <v>123</v>
      </c>
      <c r="L151" s="8" t="n">
        <v>190911.73</v>
      </c>
      <c r="M151" s="9" t="n">
        <v>0.0205204983413942</v>
      </c>
      <c r="N151" s="8" t="n">
        <v>1.8288724356008</v>
      </c>
      <c r="O151" s="8" t="n">
        <v>96.3949593495935</v>
      </c>
      <c r="P151" s="10" t="n">
        <v>16.1017536254131</v>
      </c>
      <c r="Q151" s="9" t="n">
        <v>0.018972697825081</v>
      </c>
    </row>
    <row r="152" customFormat="false" ht="15" hidden="false" customHeight="false" outlineLevel="0" collapsed="false">
      <c r="A152" s="6" t="n">
        <v>1793</v>
      </c>
      <c r="B152" s="6" t="s">
        <v>68</v>
      </c>
      <c r="C152" s="6" t="s">
        <v>50</v>
      </c>
      <c r="D152" s="7" t="n">
        <v>45537</v>
      </c>
      <c r="E152" s="7" t="n">
        <v>45542</v>
      </c>
      <c r="F152" s="6" t="s">
        <v>65</v>
      </c>
      <c r="G152" s="6" t="s">
        <v>49</v>
      </c>
      <c r="H152" s="8" t="n">
        <v>19091.42</v>
      </c>
      <c r="I152" s="6" t="n">
        <v>644053</v>
      </c>
      <c r="J152" s="6" t="n">
        <v>8208</v>
      </c>
      <c r="K152" s="6" t="n">
        <v>459</v>
      </c>
      <c r="L152" s="8" t="n">
        <v>607773.72</v>
      </c>
      <c r="M152" s="9" t="n">
        <v>0.0127442927833579</v>
      </c>
      <c r="N152" s="8" t="n">
        <v>2.32595272904483</v>
      </c>
      <c r="O152" s="8" t="n">
        <v>41.5935076252723</v>
      </c>
      <c r="P152" s="10" t="n">
        <v>31.8349143227691</v>
      </c>
      <c r="Q152" s="9" t="n">
        <v>0.055921052631579</v>
      </c>
    </row>
    <row r="153" customFormat="false" ht="15" hidden="false" customHeight="false" outlineLevel="0" collapsed="false">
      <c r="A153" s="6" t="n">
        <v>1366</v>
      </c>
      <c r="B153" s="6" t="s">
        <v>78</v>
      </c>
      <c r="C153" s="6" t="s">
        <v>59</v>
      </c>
      <c r="D153" s="7" t="n">
        <v>45393</v>
      </c>
      <c r="E153" s="7" t="n">
        <v>45406</v>
      </c>
      <c r="F153" s="6" t="s">
        <v>51</v>
      </c>
      <c r="G153" s="6" t="s">
        <v>57</v>
      </c>
      <c r="H153" s="8" t="n">
        <v>78887.32</v>
      </c>
      <c r="I153" s="6" t="n">
        <v>1281490</v>
      </c>
      <c r="J153" s="6" t="n">
        <v>30166</v>
      </c>
      <c r="K153" s="6" t="n">
        <v>1569</v>
      </c>
      <c r="L153" s="8" t="n">
        <v>888703.94</v>
      </c>
      <c r="M153" s="9" t="n">
        <v>0.0235397857181874</v>
      </c>
      <c r="N153" s="8" t="n">
        <v>2.61510707418949</v>
      </c>
      <c r="O153" s="8" t="n">
        <v>50.2787253027406</v>
      </c>
      <c r="P153" s="10" t="n">
        <v>11.2654852516222</v>
      </c>
      <c r="Q153" s="9" t="n">
        <v>0.0520121991646224</v>
      </c>
    </row>
    <row r="154" customFormat="false" ht="15" hidden="false" customHeight="false" outlineLevel="0" collapsed="false">
      <c r="A154" s="6" t="n">
        <v>1174</v>
      </c>
      <c r="B154" s="6" t="s">
        <v>68</v>
      </c>
      <c r="C154" s="6" t="s">
        <v>59</v>
      </c>
      <c r="D154" s="7" t="n">
        <v>45585</v>
      </c>
      <c r="E154" s="7" t="n">
        <v>45597</v>
      </c>
      <c r="F154" s="6" t="s">
        <v>51</v>
      </c>
      <c r="G154" s="6" t="s">
        <v>57</v>
      </c>
      <c r="H154" s="8" t="n">
        <v>37413.91</v>
      </c>
      <c r="I154" s="6" t="n">
        <v>930488</v>
      </c>
      <c r="J154" s="6" t="n">
        <v>28489</v>
      </c>
      <c r="K154" s="6" t="n">
        <v>354</v>
      </c>
      <c r="L154" s="8" t="n">
        <v>417107.19</v>
      </c>
      <c r="M154" s="9" t="n">
        <v>0.030617267498345</v>
      </c>
      <c r="N154" s="8" t="n">
        <v>1.31327565025097</v>
      </c>
      <c r="O154" s="8" t="n">
        <v>105.689011299435</v>
      </c>
      <c r="P154" s="10" t="n">
        <v>11.1484522734993</v>
      </c>
      <c r="Q154" s="9" t="n">
        <v>0.0124258485731335</v>
      </c>
    </row>
    <row r="155" customFormat="false" ht="15" hidden="false" customHeight="false" outlineLevel="0" collapsed="false">
      <c r="A155" s="6" t="n">
        <v>1104</v>
      </c>
      <c r="B155" s="6" t="s">
        <v>62</v>
      </c>
      <c r="C155" s="6" t="s">
        <v>47</v>
      </c>
      <c r="D155" s="7" t="n">
        <v>45463</v>
      </c>
      <c r="E155" s="7" t="n">
        <v>45477</v>
      </c>
      <c r="F155" s="6" t="s">
        <v>53</v>
      </c>
      <c r="G155" s="6" t="s">
        <v>75</v>
      </c>
      <c r="H155" s="8" t="n">
        <v>7923.7</v>
      </c>
      <c r="I155" s="6" t="n">
        <v>226479</v>
      </c>
      <c r="J155" s="6" t="n">
        <v>4488</v>
      </c>
      <c r="K155" s="6" t="n">
        <v>339</v>
      </c>
      <c r="L155" s="8" t="n">
        <v>536988.41</v>
      </c>
      <c r="M155" s="9" t="n">
        <v>0.0198164068191753</v>
      </c>
      <c r="N155" s="8" t="n">
        <v>1.7655303030303</v>
      </c>
      <c r="O155" s="8" t="n">
        <v>23.3737463126844</v>
      </c>
      <c r="P155" s="10" t="n">
        <v>67.7699067354897</v>
      </c>
      <c r="Q155" s="9" t="n">
        <v>0.0755347593582888</v>
      </c>
    </row>
    <row r="156" customFormat="false" ht="15" hidden="false" customHeight="false" outlineLevel="0" collapsed="false">
      <c r="A156" s="6" t="n">
        <v>1575</v>
      </c>
      <c r="B156" s="6" t="s">
        <v>62</v>
      </c>
      <c r="C156" s="6" t="s">
        <v>47</v>
      </c>
      <c r="D156" s="7" t="n">
        <v>45532</v>
      </c>
      <c r="E156" s="7" t="n">
        <v>45546</v>
      </c>
      <c r="F156" s="6" t="s">
        <v>48</v>
      </c>
      <c r="G156" s="6" t="s">
        <v>72</v>
      </c>
      <c r="H156" s="8" t="n">
        <v>1218.1</v>
      </c>
      <c r="I156" s="6" t="n">
        <v>29487</v>
      </c>
      <c r="J156" s="6" t="n">
        <v>404</v>
      </c>
      <c r="K156" s="6" t="n">
        <v>8</v>
      </c>
      <c r="L156" s="8" t="n">
        <v>9658.24</v>
      </c>
      <c r="M156" s="9" t="n">
        <v>0.0137009529623224</v>
      </c>
      <c r="N156" s="8" t="n">
        <v>3.01509900990099</v>
      </c>
      <c r="O156" s="8" t="n">
        <v>152.2625</v>
      </c>
      <c r="P156" s="10" t="n">
        <v>7.9289385107955</v>
      </c>
      <c r="Q156" s="9" t="n">
        <v>0.0198019801980198</v>
      </c>
    </row>
    <row r="157" customFormat="false" ht="15" hidden="false" customHeight="false" outlineLevel="0" collapsed="false">
      <c r="A157" s="6" t="n">
        <v>1314</v>
      </c>
      <c r="B157" s="6" t="s">
        <v>79</v>
      </c>
      <c r="C157" s="6" t="s">
        <v>47</v>
      </c>
      <c r="D157" s="7" t="n">
        <v>45328</v>
      </c>
      <c r="E157" s="7" t="n">
        <v>45334</v>
      </c>
      <c r="F157" s="6" t="s">
        <v>65</v>
      </c>
      <c r="G157" s="6" t="s">
        <v>49</v>
      </c>
      <c r="H157" s="8" t="n">
        <v>1991.13</v>
      </c>
      <c r="I157" s="6" t="n">
        <v>62413</v>
      </c>
      <c r="J157" s="6" t="n">
        <v>1194</v>
      </c>
      <c r="K157" s="6" t="n">
        <v>88</v>
      </c>
      <c r="L157" s="8" t="n">
        <v>36644.3</v>
      </c>
      <c r="M157" s="9" t="n">
        <v>0.0191306298367327</v>
      </c>
      <c r="N157" s="8" t="n">
        <v>1.66761306532663</v>
      </c>
      <c r="O157" s="8" t="n">
        <v>22.6264772727273</v>
      </c>
      <c r="P157" s="10" t="n">
        <v>18.4037707231572</v>
      </c>
      <c r="Q157" s="9" t="n">
        <v>0.0737018425460637</v>
      </c>
    </row>
    <row r="158" customFormat="false" ht="15" hidden="false" customHeight="false" outlineLevel="0" collapsed="false">
      <c r="A158" s="6" t="n">
        <v>1704</v>
      </c>
      <c r="B158" s="6" t="s">
        <v>73</v>
      </c>
      <c r="C158" s="6" t="s">
        <v>59</v>
      </c>
      <c r="D158" s="7" t="n">
        <v>45493</v>
      </c>
      <c r="E158" s="7" t="n">
        <v>45502</v>
      </c>
      <c r="F158" s="6" t="s">
        <v>65</v>
      </c>
      <c r="G158" s="6" t="s">
        <v>49</v>
      </c>
      <c r="H158" s="8" t="n">
        <v>23148.76</v>
      </c>
      <c r="I158" s="6" t="n">
        <v>724693</v>
      </c>
      <c r="J158" s="6" t="n">
        <v>10152</v>
      </c>
      <c r="K158" s="6" t="n">
        <v>693</v>
      </c>
      <c r="L158" s="8" t="n">
        <v>1020884.36</v>
      </c>
      <c r="M158" s="9" t="n">
        <v>0.0140086905765614</v>
      </c>
      <c r="N158" s="8" t="n">
        <v>2.28021670606777</v>
      </c>
      <c r="O158" s="8" t="n">
        <v>33.4036940836941</v>
      </c>
      <c r="P158" s="10" t="n">
        <v>44.1010386733458</v>
      </c>
      <c r="Q158" s="9" t="n">
        <v>0.0682624113475177</v>
      </c>
    </row>
    <row r="159" customFormat="false" ht="15" hidden="false" customHeight="false" outlineLevel="0" collapsed="false">
      <c r="A159" s="6" t="n">
        <v>1703</v>
      </c>
      <c r="B159" s="6" t="s">
        <v>64</v>
      </c>
      <c r="C159" s="6" t="s">
        <v>50</v>
      </c>
      <c r="D159" s="7" t="n">
        <v>45478</v>
      </c>
      <c r="E159" s="7" t="n">
        <v>45493</v>
      </c>
      <c r="F159" s="6" t="s">
        <v>51</v>
      </c>
      <c r="G159" s="6" t="s">
        <v>49</v>
      </c>
      <c r="H159" s="8" t="n">
        <v>56576.14</v>
      </c>
      <c r="I159" s="6" t="n">
        <v>1036919</v>
      </c>
      <c r="J159" s="6" t="n">
        <v>21669</v>
      </c>
      <c r="K159" s="6" t="n">
        <v>589</v>
      </c>
      <c r="L159" s="8" t="n">
        <v>814737.37</v>
      </c>
      <c r="M159" s="9" t="n">
        <v>0.0208974857245359</v>
      </c>
      <c r="N159" s="8" t="n">
        <v>2.61092528496931</v>
      </c>
      <c r="O159" s="8" t="n">
        <v>96.0545670628183</v>
      </c>
      <c r="P159" s="10" t="n">
        <v>14.4007238740572</v>
      </c>
      <c r="Q159" s="9" t="n">
        <v>0.0271816881258941</v>
      </c>
    </row>
    <row r="160" customFormat="false" ht="15" hidden="false" customHeight="false" outlineLevel="0" collapsed="false">
      <c r="A160" s="6" t="n">
        <v>1225</v>
      </c>
      <c r="B160" s="6" t="s">
        <v>79</v>
      </c>
      <c r="C160" s="6" t="s">
        <v>50</v>
      </c>
      <c r="D160" s="7" t="n">
        <v>45599</v>
      </c>
      <c r="E160" s="7" t="n">
        <v>45608</v>
      </c>
      <c r="F160" s="6" t="s">
        <v>60</v>
      </c>
      <c r="G160" s="6" t="s">
        <v>49</v>
      </c>
      <c r="H160" s="8" t="n">
        <v>67431.72</v>
      </c>
      <c r="I160" s="6" t="n">
        <v>1318094</v>
      </c>
      <c r="J160" s="6" t="n">
        <v>32674</v>
      </c>
      <c r="K160" s="6" t="n">
        <v>931</v>
      </c>
      <c r="L160" s="8" t="n">
        <v>1303465.97</v>
      </c>
      <c r="M160" s="9" t="n">
        <v>0.0247888238623346</v>
      </c>
      <c r="N160" s="8" t="n">
        <v>2.06377303054416</v>
      </c>
      <c r="O160" s="8" t="n">
        <v>72.4293447905478</v>
      </c>
      <c r="P160" s="10" t="n">
        <v>19.3301604942007</v>
      </c>
      <c r="Q160" s="9" t="n">
        <v>0.0284936034767705</v>
      </c>
    </row>
    <row r="161" customFormat="false" ht="15" hidden="false" customHeight="false" outlineLevel="0" collapsed="false">
      <c r="A161" s="6" t="n">
        <v>1277</v>
      </c>
      <c r="B161" s="6" t="s">
        <v>74</v>
      </c>
      <c r="C161" s="6" t="s">
        <v>63</v>
      </c>
      <c r="D161" s="7" t="n">
        <v>45493</v>
      </c>
      <c r="E161" s="7" t="n">
        <v>45511</v>
      </c>
      <c r="F161" s="6" t="s">
        <v>56</v>
      </c>
      <c r="G161" s="6" t="s">
        <v>57</v>
      </c>
      <c r="H161" s="8" t="n">
        <v>25838.98</v>
      </c>
      <c r="I161" s="6" t="n">
        <v>503135</v>
      </c>
      <c r="J161" s="6" t="n">
        <v>11425</v>
      </c>
      <c r="K161" s="6" t="n">
        <v>684</v>
      </c>
      <c r="L161" s="8" t="n">
        <v>439676.16</v>
      </c>
      <c r="M161" s="9" t="n">
        <v>0.0227076232025202</v>
      </c>
      <c r="N161" s="8" t="n">
        <v>2.26161750547046</v>
      </c>
      <c r="O161" s="8" t="n">
        <v>37.7762865497076</v>
      </c>
      <c r="P161" s="10" t="n">
        <v>17.016002953677</v>
      </c>
      <c r="Q161" s="9" t="n">
        <v>0.0598687089715536</v>
      </c>
    </row>
    <row r="162" customFormat="false" ht="15" hidden="false" customHeight="false" outlineLevel="0" collapsed="false">
      <c r="A162" s="6" t="n">
        <v>1508</v>
      </c>
      <c r="B162" s="6" t="s">
        <v>66</v>
      </c>
      <c r="C162" s="6" t="s">
        <v>71</v>
      </c>
      <c r="D162" s="7" t="n">
        <v>45472</v>
      </c>
      <c r="E162" s="7" t="n">
        <v>45479</v>
      </c>
      <c r="F162" s="6" t="s">
        <v>48</v>
      </c>
      <c r="G162" s="6" t="s">
        <v>72</v>
      </c>
      <c r="H162" s="8" t="n">
        <v>17317.69</v>
      </c>
      <c r="I162" s="6" t="n">
        <v>593971</v>
      </c>
      <c r="J162" s="6" t="n">
        <v>7566</v>
      </c>
      <c r="K162" s="6" t="n">
        <v>326</v>
      </c>
      <c r="L162" s="8" t="n">
        <v>235123.63</v>
      </c>
      <c r="M162" s="9" t="n">
        <v>0.0127379956260491</v>
      </c>
      <c r="N162" s="8" t="n">
        <v>2.28888316151203</v>
      </c>
      <c r="O162" s="8" t="n">
        <v>53.1217484662577</v>
      </c>
      <c r="P162" s="10" t="n">
        <v>13.5770781206962</v>
      </c>
      <c r="Q162" s="9" t="n">
        <v>0.0430874966957441</v>
      </c>
    </row>
    <row r="163" customFormat="false" ht="15" hidden="false" customHeight="false" outlineLevel="0" collapsed="false">
      <c r="A163" s="6" t="n">
        <v>1700</v>
      </c>
      <c r="B163" s="6" t="s">
        <v>78</v>
      </c>
      <c r="C163" s="6" t="s">
        <v>59</v>
      </c>
      <c r="D163" s="7" t="n">
        <v>45456</v>
      </c>
      <c r="E163" s="7" t="n">
        <v>45472</v>
      </c>
      <c r="F163" s="6" t="s">
        <v>56</v>
      </c>
      <c r="G163" s="6" t="s">
        <v>75</v>
      </c>
      <c r="H163" s="8" t="n">
        <v>25761.49</v>
      </c>
      <c r="I163" s="6" t="n">
        <v>453268</v>
      </c>
      <c r="J163" s="6" t="n">
        <v>5443</v>
      </c>
      <c r="K163" s="6" t="n">
        <v>199</v>
      </c>
      <c r="L163" s="8" t="n">
        <v>232020.45</v>
      </c>
      <c r="M163" s="9" t="n">
        <v>0.0120083482619554</v>
      </c>
      <c r="N163" s="8" t="n">
        <v>4.73295792761345</v>
      </c>
      <c r="O163" s="8" t="n">
        <v>129.45472361809</v>
      </c>
      <c r="P163" s="10" t="n">
        <v>9.00648409699905</v>
      </c>
      <c r="Q163" s="9" t="n">
        <v>0.0365607201910711</v>
      </c>
    </row>
    <row r="164" customFormat="false" ht="15" hidden="false" customHeight="false" outlineLevel="0" collapsed="false">
      <c r="A164" s="6" t="n">
        <v>1309</v>
      </c>
      <c r="B164" s="6" t="s">
        <v>62</v>
      </c>
      <c r="C164" s="6" t="s">
        <v>50</v>
      </c>
      <c r="D164" s="7" t="n">
        <v>45424</v>
      </c>
      <c r="E164" s="7" t="n">
        <v>45437</v>
      </c>
      <c r="F164" s="6" t="s">
        <v>69</v>
      </c>
      <c r="G164" s="6" t="s">
        <v>54</v>
      </c>
      <c r="H164" s="8" t="n">
        <v>40840.24</v>
      </c>
      <c r="I164" s="6" t="n">
        <v>1114654</v>
      </c>
      <c r="J164" s="6" t="n">
        <v>36624</v>
      </c>
      <c r="K164" s="6" t="n">
        <v>1930</v>
      </c>
      <c r="L164" s="8" t="n">
        <v>1174870.41</v>
      </c>
      <c r="M164" s="9" t="n">
        <v>0.0328568327032424</v>
      </c>
      <c r="N164" s="8" t="n">
        <v>1.11512232415902</v>
      </c>
      <c r="O164" s="8" t="n">
        <v>21.1607461139896</v>
      </c>
      <c r="P164" s="10" t="n">
        <v>28.7674707592316</v>
      </c>
      <c r="Q164" s="9" t="n">
        <v>0.0526976845784185</v>
      </c>
    </row>
    <row r="165" customFormat="false" ht="15" hidden="false" customHeight="false" outlineLevel="0" collapsed="false">
      <c r="A165" s="6" t="n">
        <v>1531</v>
      </c>
      <c r="B165" s="6" t="s">
        <v>79</v>
      </c>
      <c r="C165" s="6" t="s">
        <v>59</v>
      </c>
      <c r="D165" s="7" t="n">
        <v>45359</v>
      </c>
      <c r="E165" s="7" t="n">
        <v>45376</v>
      </c>
      <c r="F165" s="6" t="s">
        <v>67</v>
      </c>
      <c r="G165" s="6" t="s">
        <v>57</v>
      </c>
      <c r="H165" s="8" t="n">
        <v>82187.21</v>
      </c>
      <c r="I165" s="6" t="n">
        <v>3119075</v>
      </c>
      <c r="J165" s="6" t="n">
        <v>19255</v>
      </c>
      <c r="K165" s="6" t="n">
        <v>1061</v>
      </c>
      <c r="L165" s="8" t="n">
        <v>478201.68</v>
      </c>
      <c r="M165" s="9" t="n">
        <v>0.0061733045854941</v>
      </c>
      <c r="N165" s="8" t="n">
        <v>4.26835679044404</v>
      </c>
      <c r="O165" s="8" t="n">
        <v>77.4620263901979</v>
      </c>
      <c r="P165" s="10" t="n">
        <v>5.81844401336899</v>
      </c>
      <c r="Q165" s="9" t="n">
        <v>0.0551025707608413</v>
      </c>
    </row>
    <row r="166" customFormat="false" ht="15" hidden="false" customHeight="false" outlineLevel="0" collapsed="false">
      <c r="A166" s="6" t="n">
        <v>1005</v>
      </c>
      <c r="B166" s="6" t="s">
        <v>77</v>
      </c>
      <c r="C166" s="6" t="s">
        <v>47</v>
      </c>
      <c r="D166" s="7" t="n">
        <v>45590</v>
      </c>
      <c r="E166" s="7" t="n">
        <v>45607</v>
      </c>
      <c r="F166" s="6" t="s">
        <v>60</v>
      </c>
      <c r="G166" s="6" t="s">
        <v>57</v>
      </c>
      <c r="H166" s="8" t="n">
        <v>2535.25</v>
      </c>
      <c r="I166" s="6" t="n">
        <v>101253</v>
      </c>
      <c r="J166" s="6" t="n">
        <v>2053</v>
      </c>
      <c r="K166" s="6" t="n">
        <v>33</v>
      </c>
      <c r="L166" s="8" t="n">
        <v>13804.52</v>
      </c>
      <c r="M166" s="9" t="n">
        <v>0.0202759424412116</v>
      </c>
      <c r="N166" s="8" t="n">
        <v>1.23490014612762</v>
      </c>
      <c r="O166" s="8" t="n">
        <v>76.8257575757576</v>
      </c>
      <c r="P166" s="10" t="n">
        <v>5.44503303421753</v>
      </c>
      <c r="Q166" s="9" t="n">
        <v>0.0160740379931807</v>
      </c>
    </row>
    <row r="167" customFormat="false" ht="15" hidden="false" customHeight="false" outlineLevel="0" collapsed="false">
      <c r="A167" s="6" t="n">
        <v>1592</v>
      </c>
      <c r="B167" s="6" t="s">
        <v>46</v>
      </c>
      <c r="C167" s="6" t="s">
        <v>59</v>
      </c>
      <c r="D167" s="7" t="n">
        <v>45409</v>
      </c>
      <c r="E167" s="7" t="n">
        <v>45423</v>
      </c>
      <c r="F167" s="6" t="s">
        <v>60</v>
      </c>
      <c r="G167" s="6" t="s">
        <v>57</v>
      </c>
      <c r="H167" s="8" t="n">
        <v>83299.03</v>
      </c>
      <c r="I167" s="6" t="n">
        <v>1939830</v>
      </c>
      <c r="J167" s="6" t="n">
        <v>22246</v>
      </c>
      <c r="K167" s="6" t="n">
        <v>1364</v>
      </c>
      <c r="L167" s="8" t="n">
        <v>1458147.45</v>
      </c>
      <c r="M167" s="9" t="n">
        <v>0.0114680152384487</v>
      </c>
      <c r="N167" s="8" t="n">
        <v>3.74444978872606</v>
      </c>
      <c r="O167" s="8" t="n">
        <v>61.0696700879765</v>
      </c>
      <c r="P167" s="10" t="n">
        <v>17.5049751479699</v>
      </c>
      <c r="Q167" s="9" t="n">
        <v>0.0613143935988492</v>
      </c>
    </row>
    <row r="168" customFormat="false" ht="15" hidden="false" customHeight="false" outlineLevel="0" collapsed="false">
      <c r="A168" s="6" t="n">
        <v>1191</v>
      </c>
      <c r="B168" s="6" t="s">
        <v>78</v>
      </c>
      <c r="C168" s="6" t="s">
        <v>71</v>
      </c>
      <c r="D168" s="7" t="n">
        <v>45519</v>
      </c>
      <c r="E168" s="7" t="n">
        <v>45536</v>
      </c>
      <c r="F168" s="6" t="s">
        <v>60</v>
      </c>
      <c r="G168" s="6" t="s">
        <v>54</v>
      </c>
      <c r="H168" s="8" t="n">
        <v>36458.68</v>
      </c>
      <c r="I168" s="6" t="n">
        <v>979276</v>
      </c>
      <c r="J168" s="6" t="n">
        <v>9394</v>
      </c>
      <c r="K168" s="6" t="n">
        <v>551</v>
      </c>
      <c r="L168" s="8" t="n">
        <v>696437.25</v>
      </c>
      <c r="M168" s="9" t="n">
        <v>0.00959280121232421</v>
      </c>
      <c r="N168" s="8" t="n">
        <v>3.88106025122419</v>
      </c>
      <c r="O168" s="8" t="n">
        <v>66.1682032667877</v>
      </c>
      <c r="P168" s="10" t="n">
        <v>19.102097223487</v>
      </c>
      <c r="Q168" s="9" t="n">
        <v>0.0586544602938046</v>
      </c>
    </row>
    <row r="169" customFormat="false" ht="15" hidden="false" customHeight="false" outlineLevel="0" collapsed="false">
      <c r="A169" s="6" t="n">
        <v>1708</v>
      </c>
      <c r="B169" s="6" t="s">
        <v>68</v>
      </c>
      <c r="C169" s="6" t="s">
        <v>47</v>
      </c>
      <c r="D169" s="7" t="n">
        <v>45519</v>
      </c>
      <c r="E169" s="7" t="n">
        <v>45527</v>
      </c>
      <c r="F169" s="6" t="s">
        <v>56</v>
      </c>
      <c r="G169" s="6" t="s">
        <v>72</v>
      </c>
      <c r="H169" s="8" t="n">
        <v>1949.19</v>
      </c>
      <c r="I169" s="6" t="n">
        <v>47801</v>
      </c>
      <c r="J169" s="6" t="n">
        <v>783</v>
      </c>
      <c r="K169" s="6" t="n">
        <v>17</v>
      </c>
      <c r="L169" s="8" t="n">
        <v>6441.87</v>
      </c>
      <c r="M169" s="9" t="n">
        <v>0.0163804104516642</v>
      </c>
      <c r="N169" s="8" t="n">
        <v>2.48938697318008</v>
      </c>
      <c r="O169" s="8" t="n">
        <v>114.658235294118</v>
      </c>
      <c r="P169" s="10" t="n">
        <v>3.304895879827</v>
      </c>
      <c r="Q169" s="9" t="n">
        <v>0.0217113665389527</v>
      </c>
    </row>
    <row r="170" customFormat="false" ht="15" hidden="false" customHeight="false" outlineLevel="0" collapsed="false">
      <c r="A170" s="6" t="n">
        <v>1057</v>
      </c>
      <c r="B170" s="6" t="s">
        <v>46</v>
      </c>
      <c r="C170" s="6" t="s">
        <v>50</v>
      </c>
      <c r="D170" s="7" t="n">
        <v>45354</v>
      </c>
      <c r="E170" s="7" t="n">
        <v>45373</v>
      </c>
      <c r="F170" s="6" t="s">
        <v>65</v>
      </c>
      <c r="G170" s="6" t="s">
        <v>72</v>
      </c>
      <c r="H170" s="8" t="n">
        <v>56393.81</v>
      </c>
      <c r="I170" s="6" t="n">
        <v>1750611</v>
      </c>
      <c r="J170" s="6" t="n">
        <v>40114</v>
      </c>
      <c r="K170" s="6" t="n">
        <v>461</v>
      </c>
      <c r="L170" s="8" t="n">
        <v>687282.84</v>
      </c>
      <c r="M170" s="9" t="n">
        <v>0.0229142853552274</v>
      </c>
      <c r="N170" s="8" t="n">
        <v>1.40583860996161</v>
      </c>
      <c r="O170" s="8" t="n">
        <v>122.329305856833</v>
      </c>
      <c r="P170" s="10" t="n">
        <v>12.1872035246422</v>
      </c>
      <c r="Q170" s="9" t="n">
        <v>0.011492247095777</v>
      </c>
    </row>
    <row r="171" customFormat="false" ht="15" hidden="false" customHeight="false" outlineLevel="0" collapsed="false">
      <c r="A171" s="6" t="n">
        <v>1684</v>
      </c>
      <c r="B171" s="6" t="s">
        <v>73</v>
      </c>
      <c r="C171" s="6" t="s">
        <v>59</v>
      </c>
      <c r="D171" s="7" t="n">
        <v>45494</v>
      </c>
      <c r="E171" s="7" t="n">
        <v>45505</v>
      </c>
      <c r="F171" s="6" t="s">
        <v>56</v>
      </c>
      <c r="G171" s="6" t="s">
        <v>49</v>
      </c>
      <c r="H171" s="8" t="n">
        <v>48908.38</v>
      </c>
      <c r="I171" s="6" t="n">
        <v>1391927</v>
      </c>
      <c r="J171" s="6" t="n">
        <v>35132</v>
      </c>
      <c r="K171" s="6" t="n">
        <v>1164</v>
      </c>
      <c r="L171" s="8" t="n">
        <v>1369205.26</v>
      </c>
      <c r="M171" s="9" t="n">
        <v>0.0252398293876044</v>
      </c>
      <c r="N171" s="8" t="n">
        <v>1.39213195946715</v>
      </c>
      <c r="O171" s="8" t="n">
        <v>42.0175085910653</v>
      </c>
      <c r="P171" s="10" t="n">
        <v>27.9953100061789</v>
      </c>
      <c r="Q171" s="9" t="n">
        <v>0.0331321871797791</v>
      </c>
    </row>
    <row r="172" customFormat="false" ht="15" hidden="false" customHeight="false" outlineLevel="0" collapsed="false">
      <c r="A172" s="6" t="n">
        <v>1341</v>
      </c>
      <c r="B172" s="6" t="s">
        <v>68</v>
      </c>
      <c r="C172" s="6" t="s">
        <v>63</v>
      </c>
      <c r="D172" s="7" t="n">
        <v>45505</v>
      </c>
      <c r="E172" s="7" t="n">
        <v>45524</v>
      </c>
      <c r="F172" s="6" t="s">
        <v>53</v>
      </c>
      <c r="G172" s="6" t="s">
        <v>57</v>
      </c>
      <c r="H172" s="8" t="n">
        <v>11128.89</v>
      </c>
      <c r="I172" s="6" t="n">
        <v>203445</v>
      </c>
      <c r="J172" s="6" t="n">
        <v>1123</v>
      </c>
      <c r="K172" s="6" t="n">
        <v>38</v>
      </c>
      <c r="L172" s="8" t="n">
        <v>51376.89</v>
      </c>
      <c r="M172" s="9" t="n">
        <v>0.00551991938853253</v>
      </c>
      <c r="N172" s="8" t="n">
        <v>9.909964381122</v>
      </c>
      <c r="O172" s="8" t="n">
        <v>292.865526315789</v>
      </c>
      <c r="P172" s="10" t="n">
        <v>4.61653318525028</v>
      </c>
      <c r="Q172" s="9" t="n">
        <v>0.0338379341050757</v>
      </c>
    </row>
    <row r="173" customFormat="false" ht="15" hidden="false" customHeight="false" outlineLevel="0" collapsed="false">
      <c r="A173" s="6" t="n">
        <v>1037</v>
      </c>
      <c r="B173" s="6" t="s">
        <v>77</v>
      </c>
      <c r="C173" s="6" t="s">
        <v>59</v>
      </c>
      <c r="D173" s="7" t="n">
        <v>45344</v>
      </c>
      <c r="E173" s="7" t="n">
        <v>45349</v>
      </c>
      <c r="F173" s="6" t="s">
        <v>51</v>
      </c>
      <c r="G173" s="6" t="s">
        <v>72</v>
      </c>
      <c r="H173" s="8" t="n">
        <v>36325.45</v>
      </c>
      <c r="I173" s="6" t="n">
        <v>979619</v>
      </c>
      <c r="J173" s="6" t="n">
        <v>14910</v>
      </c>
      <c r="K173" s="6" t="n">
        <v>1156</v>
      </c>
      <c r="L173" s="8" t="n">
        <v>827804.28</v>
      </c>
      <c r="M173" s="9" t="n">
        <v>0.0152202029564555</v>
      </c>
      <c r="N173" s="8" t="n">
        <v>2.43631455399061</v>
      </c>
      <c r="O173" s="8" t="n">
        <v>31.4233996539792</v>
      </c>
      <c r="P173" s="10" t="n">
        <v>22.7885485245193</v>
      </c>
      <c r="Q173" s="9" t="n">
        <v>0.077531857813548</v>
      </c>
    </row>
    <row r="174" customFormat="false" ht="15" hidden="false" customHeight="false" outlineLevel="0" collapsed="false">
      <c r="A174" s="6" t="n">
        <v>1229</v>
      </c>
      <c r="B174" s="6" t="s">
        <v>62</v>
      </c>
      <c r="C174" s="6" t="s">
        <v>50</v>
      </c>
      <c r="D174" s="7" t="n">
        <v>45605</v>
      </c>
      <c r="E174" s="7" t="n">
        <v>45618</v>
      </c>
      <c r="F174" s="6" t="s">
        <v>48</v>
      </c>
      <c r="G174" s="6" t="s">
        <v>72</v>
      </c>
      <c r="H174" s="8" t="n">
        <v>37821.79</v>
      </c>
      <c r="I174" s="6" t="n">
        <v>759928</v>
      </c>
      <c r="J174" s="6" t="n">
        <v>16386</v>
      </c>
      <c r="K174" s="6" t="n">
        <v>803</v>
      </c>
      <c r="L174" s="8" t="n">
        <v>489142.16</v>
      </c>
      <c r="M174" s="9" t="n">
        <v>0.0215625690854923</v>
      </c>
      <c r="N174" s="8" t="n">
        <v>2.30817710240449</v>
      </c>
      <c r="O174" s="8" t="n">
        <v>47.1006102117061</v>
      </c>
      <c r="P174" s="10" t="n">
        <v>12.9328135976642</v>
      </c>
      <c r="Q174" s="9" t="n">
        <v>0.0490052483827658</v>
      </c>
    </row>
    <row r="175" customFormat="false" ht="15" hidden="false" customHeight="false" outlineLevel="0" collapsed="false">
      <c r="A175" s="6" t="n">
        <v>1106</v>
      </c>
      <c r="B175" s="6" t="s">
        <v>77</v>
      </c>
      <c r="C175" s="6" t="s">
        <v>63</v>
      </c>
      <c r="D175" s="7" t="n">
        <v>45425</v>
      </c>
      <c r="E175" s="7" t="n">
        <v>45450</v>
      </c>
      <c r="F175" s="6" t="s">
        <v>69</v>
      </c>
      <c r="G175" s="6" t="s">
        <v>72</v>
      </c>
      <c r="H175" s="8" t="n">
        <v>36481.82</v>
      </c>
      <c r="I175" s="6" t="n">
        <v>603887</v>
      </c>
      <c r="J175" s="6" t="n">
        <v>5161</v>
      </c>
      <c r="K175" s="6" t="n">
        <v>162</v>
      </c>
      <c r="L175" s="8" t="n">
        <v>151932.36</v>
      </c>
      <c r="M175" s="9" t="n">
        <v>0.00854630088079392</v>
      </c>
      <c r="N175" s="8" t="n">
        <v>7.06875024220112</v>
      </c>
      <c r="O175" s="8" t="n">
        <v>225.196419753086</v>
      </c>
      <c r="P175" s="10" t="n">
        <v>4.16460472640893</v>
      </c>
      <c r="Q175" s="9" t="n">
        <v>0.0313892656461926</v>
      </c>
    </row>
    <row r="176" customFormat="false" ht="15" hidden="false" customHeight="false" outlineLevel="0" collapsed="false">
      <c r="A176" s="6" t="n">
        <v>1667</v>
      </c>
      <c r="B176" s="6" t="s">
        <v>64</v>
      </c>
      <c r="C176" s="6" t="s">
        <v>50</v>
      </c>
      <c r="D176" s="7" t="n">
        <v>45364</v>
      </c>
      <c r="E176" s="7" t="n">
        <v>45390</v>
      </c>
      <c r="F176" s="6" t="s">
        <v>65</v>
      </c>
      <c r="G176" s="6" t="s">
        <v>57</v>
      </c>
      <c r="H176" s="8" t="n">
        <v>64313.8</v>
      </c>
      <c r="I176" s="6" t="n">
        <v>1284149</v>
      </c>
      <c r="J176" s="6" t="n">
        <v>35105</v>
      </c>
      <c r="K176" s="6" t="n">
        <v>1642</v>
      </c>
      <c r="L176" s="8" t="n">
        <v>2431653.65</v>
      </c>
      <c r="M176" s="9" t="n">
        <v>0.0273371703750889</v>
      </c>
      <c r="N176" s="8" t="n">
        <v>1.83204101979775</v>
      </c>
      <c r="O176" s="8" t="n">
        <v>39.1679658952497</v>
      </c>
      <c r="P176" s="10" t="n">
        <v>37.8092050228722</v>
      </c>
      <c r="Q176" s="9" t="n">
        <v>0.0467739638228173</v>
      </c>
    </row>
    <row r="177" customFormat="false" ht="15" hidden="false" customHeight="false" outlineLevel="0" collapsed="false">
      <c r="A177" s="6" t="n">
        <v>1114</v>
      </c>
      <c r="B177" s="6" t="s">
        <v>70</v>
      </c>
      <c r="C177" s="6" t="s">
        <v>50</v>
      </c>
      <c r="D177" s="7" t="n">
        <v>45567</v>
      </c>
      <c r="E177" s="7" t="n">
        <v>45587</v>
      </c>
      <c r="F177" s="6" t="s">
        <v>56</v>
      </c>
      <c r="G177" s="6" t="s">
        <v>49</v>
      </c>
      <c r="H177" s="8" t="n">
        <v>69453.87</v>
      </c>
      <c r="I177" s="6" t="n">
        <v>1563990</v>
      </c>
      <c r="J177" s="6" t="n">
        <v>41019</v>
      </c>
      <c r="K177" s="6" t="n">
        <v>2723</v>
      </c>
      <c r="L177" s="8" t="n">
        <v>4564768.31</v>
      </c>
      <c r="M177" s="9" t="n">
        <v>0.0262271497899603</v>
      </c>
      <c r="N177" s="8" t="n">
        <v>1.69321216997001</v>
      </c>
      <c r="O177" s="8" t="n">
        <v>25.5063789937569</v>
      </c>
      <c r="P177" s="10" t="n">
        <v>65.7237431117949</v>
      </c>
      <c r="Q177" s="9" t="n">
        <v>0.0663838708891002</v>
      </c>
    </row>
    <row r="178" customFormat="false" ht="15" hidden="false" customHeight="false" outlineLevel="0" collapsed="false">
      <c r="A178" s="6" t="n">
        <v>1150</v>
      </c>
      <c r="B178" s="6" t="s">
        <v>68</v>
      </c>
      <c r="C178" s="6" t="s">
        <v>71</v>
      </c>
      <c r="D178" s="7" t="n">
        <v>45371</v>
      </c>
      <c r="E178" s="7" t="n">
        <v>45393</v>
      </c>
      <c r="F178" s="6" t="s">
        <v>65</v>
      </c>
      <c r="G178" s="6" t="s">
        <v>72</v>
      </c>
      <c r="H178" s="8" t="n">
        <v>28318.04</v>
      </c>
      <c r="I178" s="6" t="n">
        <v>873819</v>
      </c>
      <c r="J178" s="6" t="n">
        <v>26245</v>
      </c>
      <c r="K178" s="6" t="n">
        <v>1513</v>
      </c>
      <c r="L178" s="8" t="n">
        <v>674596.58</v>
      </c>
      <c r="M178" s="9" t="n">
        <v>0.0300348241455038</v>
      </c>
      <c r="N178" s="8" t="n">
        <v>1.07898799771385</v>
      </c>
      <c r="O178" s="8" t="n">
        <v>18.716483807006</v>
      </c>
      <c r="P178" s="10" t="n">
        <v>23.8221494142956</v>
      </c>
      <c r="Q178" s="9" t="n">
        <v>0.0576490760144789</v>
      </c>
    </row>
    <row r="179" customFormat="false" ht="15" hidden="false" customHeight="false" outlineLevel="0" collapsed="false">
      <c r="A179" s="6" t="n">
        <v>1488</v>
      </c>
      <c r="B179" s="6" t="s">
        <v>68</v>
      </c>
      <c r="C179" s="6" t="s">
        <v>59</v>
      </c>
      <c r="D179" s="7" t="n">
        <v>45574</v>
      </c>
      <c r="E179" s="7" t="n">
        <v>45582</v>
      </c>
      <c r="F179" s="6" t="s">
        <v>67</v>
      </c>
      <c r="G179" s="6" t="s">
        <v>72</v>
      </c>
      <c r="H179" s="8" t="n">
        <v>31794.71</v>
      </c>
      <c r="I179" s="6" t="n">
        <v>901034</v>
      </c>
      <c r="J179" s="6" t="n">
        <v>12393</v>
      </c>
      <c r="K179" s="6" t="n">
        <v>678</v>
      </c>
      <c r="L179" s="8" t="n">
        <v>1163425.42</v>
      </c>
      <c r="M179" s="9" t="n">
        <v>0.0137541979547942</v>
      </c>
      <c r="N179" s="8" t="n">
        <v>2.56553780359881</v>
      </c>
      <c r="O179" s="8" t="n">
        <v>46.8948525073746</v>
      </c>
      <c r="P179" s="10" t="n">
        <v>36.5917921566198</v>
      </c>
      <c r="Q179" s="9" t="n">
        <v>0.0547083030743161</v>
      </c>
    </row>
    <row r="180" customFormat="false" ht="15" hidden="false" customHeight="false" outlineLevel="0" collapsed="false">
      <c r="A180" s="6" t="n">
        <v>1670</v>
      </c>
      <c r="B180" s="6" t="s">
        <v>74</v>
      </c>
      <c r="C180" s="6" t="s">
        <v>63</v>
      </c>
      <c r="D180" s="7" t="n">
        <v>45492</v>
      </c>
      <c r="E180" s="7" t="n">
        <v>45515</v>
      </c>
      <c r="F180" s="6" t="s">
        <v>60</v>
      </c>
      <c r="G180" s="6" t="s">
        <v>61</v>
      </c>
      <c r="H180" s="8" t="n">
        <v>16937.23</v>
      </c>
      <c r="I180" s="6" t="n">
        <v>402431</v>
      </c>
      <c r="J180" s="6" t="n">
        <v>4744</v>
      </c>
      <c r="K180" s="6" t="n">
        <v>362</v>
      </c>
      <c r="L180" s="8" t="n">
        <v>200417.13</v>
      </c>
      <c r="M180" s="9" t="n">
        <v>0.0117883562648007</v>
      </c>
      <c r="N180" s="8" t="n">
        <v>3.57024241146712</v>
      </c>
      <c r="O180" s="8" t="n">
        <v>46.7879281767956</v>
      </c>
      <c r="P180" s="10" t="n">
        <v>11.8329343109824</v>
      </c>
      <c r="Q180" s="9" t="n">
        <v>0.0763069139966273</v>
      </c>
    </row>
    <row r="181" customFormat="false" ht="15" hidden="false" customHeight="false" outlineLevel="0" collapsed="false">
      <c r="A181" s="6" t="n">
        <v>1335</v>
      </c>
      <c r="B181" s="6" t="s">
        <v>77</v>
      </c>
      <c r="C181" s="6" t="s">
        <v>50</v>
      </c>
      <c r="D181" s="7" t="n">
        <v>45504</v>
      </c>
      <c r="E181" s="7" t="n">
        <v>45534</v>
      </c>
      <c r="F181" s="6" t="s">
        <v>51</v>
      </c>
      <c r="G181" s="6" t="s">
        <v>54</v>
      </c>
      <c r="H181" s="8" t="n">
        <v>30204.38</v>
      </c>
      <c r="I181" s="6" t="n">
        <v>1061436</v>
      </c>
      <c r="J181" s="6" t="n">
        <v>36206</v>
      </c>
      <c r="K181" s="6" t="n">
        <v>1436</v>
      </c>
      <c r="L181" s="8" t="n">
        <v>2369144.1</v>
      </c>
      <c r="M181" s="9" t="n">
        <v>0.0341103938438116</v>
      </c>
      <c r="N181" s="8" t="n">
        <v>0.834236866817655</v>
      </c>
      <c r="O181" s="8" t="n">
        <v>21.0336908077994</v>
      </c>
      <c r="P181" s="10" t="n">
        <v>78.4371041550927</v>
      </c>
      <c r="Q181" s="9" t="n">
        <v>0.0396619344859968</v>
      </c>
    </row>
    <row r="182" customFormat="false" ht="15" hidden="false" customHeight="false" outlineLevel="0" collapsed="false">
      <c r="A182" s="6" t="n">
        <v>1619</v>
      </c>
      <c r="B182" s="6" t="s">
        <v>74</v>
      </c>
      <c r="C182" s="6" t="s">
        <v>50</v>
      </c>
      <c r="D182" s="7" t="n">
        <v>45547</v>
      </c>
      <c r="E182" s="7" t="n">
        <v>45558</v>
      </c>
      <c r="F182" s="6" t="s">
        <v>56</v>
      </c>
      <c r="G182" s="6" t="s">
        <v>49</v>
      </c>
      <c r="H182" s="8" t="n">
        <v>24786.26</v>
      </c>
      <c r="I182" s="6" t="n">
        <v>641592</v>
      </c>
      <c r="J182" s="6" t="n">
        <v>9744</v>
      </c>
      <c r="K182" s="6" t="n">
        <v>543</v>
      </c>
      <c r="L182" s="8" t="n">
        <v>525233.81</v>
      </c>
      <c r="M182" s="9" t="n">
        <v>0.0151872217858078</v>
      </c>
      <c r="N182" s="8" t="n">
        <v>2.54374589490969</v>
      </c>
      <c r="O182" s="8" t="n">
        <v>45.6468876611418</v>
      </c>
      <c r="P182" s="10" t="n">
        <v>21.1905228945392</v>
      </c>
      <c r="Q182" s="9" t="n">
        <v>0.0557266009852217</v>
      </c>
    </row>
    <row r="183" customFormat="false" ht="15" hidden="false" customHeight="false" outlineLevel="0" collapsed="false">
      <c r="A183" s="6" t="n">
        <v>1458</v>
      </c>
      <c r="B183" s="6" t="s">
        <v>74</v>
      </c>
      <c r="C183" s="6" t="s">
        <v>47</v>
      </c>
      <c r="D183" s="7" t="n">
        <v>45337</v>
      </c>
      <c r="E183" s="7" t="n">
        <v>45352</v>
      </c>
      <c r="F183" s="6" t="s">
        <v>53</v>
      </c>
      <c r="G183" s="6" t="s">
        <v>72</v>
      </c>
      <c r="H183" s="8" t="n">
        <v>5145.4</v>
      </c>
      <c r="I183" s="6" t="n">
        <v>101384</v>
      </c>
      <c r="J183" s="6" t="n">
        <v>3372</v>
      </c>
      <c r="K183" s="6" t="n">
        <v>168</v>
      </c>
      <c r="L183" s="8" t="n">
        <v>89838.89</v>
      </c>
      <c r="M183" s="9" t="n">
        <v>0.0332596859465004</v>
      </c>
      <c r="N183" s="8" t="n">
        <v>1.52591933570581</v>
      </c>
      <c r="O183" s="8" t="n">
        <v>30.627380952381</v>
      </c>
      <c r="P183" s="10" t="n">
        <v>17.4600400357601</v>
      </c>
      <c r="Q183" s="9" t="n">
        <v>0.0498220640569395</v>
      </c>
    </row>
    <row r="184" customFormat="false" ht="15" hidden="false" customHeight="false" outlineLevel="0" collapsed="false">
      <c r="A184" s="6" t="n">
        <v>1631</v>
      </c>
      <c r="B184" s="6" t="s">
        <v>74</v>
      </c>
      <c r="C184" s="6" t="s">
        <v>47</v>
      </c>
      <c r="D184" s="7" t="n">
        <v>45496</v>
      </c>
      <c r="E184" s="7" t="n">
        <v>45510</v>
      </c>
      <c r="F184" s="6" t="s">
        <v>56</v>
      </c>
      <c r="G184" s="6" t="s">
        <v>72</v>
      </c>
      <c r="H184" s="8" t="n">
        <v>4728.66</v>
      </c>
      <c r="I184" s="6" t="n">
        <v>110420</v>
      </c>
      <c r="J184" s="6" t="n">
        <v>2089</v>
      </c>
      <c r="K184" s="6" t="n">
        <v>46</v>
      </c>
      <c r="L184" s="8" t="n">
        <v>76615.64</v>
      </c>
      <c r="M184" s="9" t="n">
        <v>0.0189186741532331</v>
      </c>
      <c r="N184" s="8" t="n">
        <v>2.26359980852082</v>
      </c>
      <c r="O184" s="8" t="n">
        <v>102.796956521739</v>
      </c>
      <c r="P184" s="10" t="n">
        <v>16.2023998342025</v>
      </c>
      <c r="Q184" s="9" t="n">
        <v>0.0220201053135472</v>
      </c>
    </row>
    <row r="185" customFormat="false" ht="15" hidden="false" customHeight="false" outlineLevel="0" collapsed="false">
      <c r="A185" s="6" t="n">
        <v>1462</v>
      </c>
      <c r="B185" s="6" t="s">
        <v>64</v>
      </c>
      <c r="C185" s="6" t="s">
        <v>63</v>
      </c>
      <c r="D185" s="7" t="n">
        <v>45526</v>
      </c>
      <c r="E185" s="7" t="n">
        <v>45551</v>
      </c>
      <c r="F185" s="6" t="s">
        <v>67</v>
      </c>
      <c r="G185" s="6" t="s">
        <v>57</v>
      </c>
      <c r="H185" s="8" t="n">
        <v>31394.93</v>
      </c>
      <c r="I185" s="6" t="n">
        <v>817746</v>
      </c>
      <c r="J185" s="6" t="n">
        <v>15924</v>
      </c>
      <c r="K185" s="6" t="n">
        <v>1159</v>
      </c>
      <c r="L185" s="8" t="n">
        <v>758172.83</v>
      </c>
      <c r="M185" s="9" t="n">
        <v>0.0194730393056035</v>
      </c>
      <c r="N185" s="8" t="n">
        <v>1.971547977895</v>
      </c>
      <c r="O185" s="8" t="n">
        <v>27.0879465056083</v>
      </c>
      <c r="P185" s="10" t="n">
        <v>24.1495308318891</v>
      </c>
      <c r="Q185" s="9" t="n">
        <v>0.0727832202964079</v>
      </c>
    </row>
    <row r="186" customFormat="false" ht="15" hidden="false" customHeight="false" outlineLevel="0" collapsed="false">
      <c r="A186" s="6" t="n">
        <v>1083</v>
      </c>
      <c r="B186" s="6" t="s">
        <v>52</v>
      </c>
      <c r="C186" s="6" t="s">
        <v>63</v>
      </c>
      <c r="D186" s="7" t="n">
        <v>45515</v>
      </c>
      <c r="E186" s="7" t="n">
        <v>45532</v>
      </c>
      <c r="F186" s="6" t="s">
        <v>48</v>
      </c>
      <c r="G186" s="6" t="s">
        <v>72</v>
      </c>
      <c r="H186" s="8" t="n">
        <v>25348.41</v>
      </c>
      <c r="I186" s="6" t="n">
        <v>986356</v>
      </c>
      <c r="J186" s="6" t="n">
        <v>14964</v>
      </c>
      <c r="K186" s="6" t="n">
        <v>345</v>
      </c>
      <c r="L186" s="8" t="n">
        <v>466957.26</v>
      </c>
      <c r="M186" s="9" t="n">
        <v>0.0151709930288861</v>
      </c>
      <c r="N186" s="8" t="n">
        <v>1.69395950280674</v>
      </c>
      <c r="O186" s="8" t="n">
        <v>73.473652173913</v>
      </c>
      <c r="P186" s="10" t="n">
        <v>18.4215601688627</v>
      </c>
      <c r="Q186" s="9" t="n">
        <v>0.0230553327987169</v>
      </c>
    </row>
    <row r="187" customFormat="false" ht="15" hidden="false" customHeight="false" outlineLevel="0" collapsed="false">
      <c r="A187" s="6" t="n">
        <v>1797</v>
      </c>
      <c r="B187" s="6" t="s">
        <v>55</v>
      </c>
      <c r="C187" s="6" t="s">
        <v>59</v>
      </c>
      <c r="D187" s="7" t="n">
        <v>45456</v>
      </c>
      <c r="E187" s="7" t="n">
        <v>45481</v>
      </c>
      <c r="F187" s="6" t="s">
        <v>60</v>
      </c>
      <c r="G187" s="6" t="s">
        <v>49</v>
      </c>
      <c r="H187" s="8" t="n">
        <v>29933.48</v>
      </c>
      <c r="I187" s="6" t="n">
        <v>480405</v>
      </c>
      <c r="J187" s="6" t="n">
        <v>8929</v>
      </c>
      <c r="K187" s="6" t="n">
        <v>91</v>
      </c>
      <c r="L187" s="8" t="n">
        <v>78747.86</v>
      </c>
      <c r="M187" s="9" t="n">
        <v>0.0185864010574411</v>
      </c>
      <c r="N187" s="8" t="n">
        <v>3.35238884533542</v>
      </c>
      <c r="O187" s="8" t="n">
        <v>328.939340659341</v>
      </c>
      <c r="P187" s="10" t="n">
        <v>2.63076194281453</v>
      </c>
      <c r="Q187" s="9" t="n">
        <v>0.0101915108074812</v>
      </c>
    </row>
    <row r="188" customFormat="false" ht="15" hidden="false" customHeight="false" outlineLevel="0" collapsed="false">
      <c r="A188" s="6" t="n">
        <v>1485</v>
      </c>
      <c r="B188" s="6" t="s">
        <v>79</v>
      </c>
      <c r="C188" s="6" t="s">
        <v>63</v>
      </c>
      <c r="D188" s="7" t="n">
        <v>45313</v>
      </c>
      <c r="E188" s="7" t="n">
        <v>45336</v>
      </c>
      <c r="F188" s="6" t="s">
        <v>53</v>
      </c>
      <c r="G188" s="6" t="s">
        <v>54</v>
      </c>
      <c r="H188" s="8" t="n">
        <v>41966</v>
      </c>
      <c r="I188" s="6" t="n">
        <v>831899</v>
      </c>
      <c r="J188" s="6" t="n">
        <v>15284</v>
      </c>
      <c r="K188" s="6" t="n">
        <v>258</v>
      </c>
      <c r="L188" s="8" t="n">
        <v>442634.11</v>
      </c>
      <c r="M188" s="9" t="n">
        <v>0.0183724226138029</v>
      </c>
      <c r="N188" s="8" t="n">
        <v>2.74574718660037</v>
      </c>
      <c r="O188" s="8" t="n">
        <v>162.658914728682</v>
      </c>
      <c r="P188" s="10" t="n">
        <v>10.5474457894486</v>
      </c>
      <c r="Q188" s="9" t="n">
        <v>0.0168803978016226</v>
      </c>
    </row>
    <row r="189" customFormat="false" ht="15" hidden="false" customHeight="false" outlineLevel="0" collapsed="false">
      <c r="A189" s="6" t="n">
        <v>1813</v>
      </c>
      <c r="B189" s="6" t="s">
        <v>78</v>
      </c>
      <c r="C189" s="6" t="s">
        <v>50</v>
      </c>
      <c r="D189" s="7" t="n">
        <v>45399</v>
      </c>
      <c r="E189" s="7" t="n">
        <v>45406</v>
      </c>
      <c r="F189" s="6" t="s">
        <v>51</v>
      </c>
      <c r="G189" s="6" t="s">
        <v>49</v>
      </c>
      <c r="H189" s="8" t="n">
        <v>74649.7</v>
      </c>
      <c r="I189" s="6" t="n">
        <v>2261464</v>
      </c>
      <c r="J189" s="6" t="n">
        <v>17651</v>
      </c>
      <c r="K189" s="6" t="n">
        <v>485</v>
      </c>
      <c r="L189" s="8" t="n">
        <v>590520.98</v>
      </c>
      <c r="M189" s="9" t="n">
        <v>0.00780512093051227</v>
      </c>
      <c r="N189" s="8" t="n">
        <v>4.22920514418447</v>
      </c>
      <c r="O189" s="8" t="n">
        <v>153.916907216495</v>
      </c>
      <c r="P189" s="10" t="n">
        <v>7.91056065864967</v>
      </c>
      <c r="Q189" s="9" t="n">
        <v>0.0274771967593904</v>
      </c>
    </row>
    <row r="190" customFormat="false" ht="15" hidden="false" customHeight="false" outlineLevel="0" collapsed="false">
      <c r="A190" s="6" t="n">
        <v>1270</v>
      </c>
      <c r="B190" s="6" t="s">
        <v>46</v>
      </c>
      <c r="C190" s="6" t="s">
        <v>50</v>
      </c>
      <c r="D190" s="7" t="n">
        <v>45490</v>
      </c>
      <c r="E190" s="7" t="n">
        <v>45495</v>
      </c>
      <c r="F190" s="6" t="s">
        <v>67</v>
      </c>
      <c r="G190" s="6" t="s">
        <v>57</v>
      </c>
      <c r="H190" s="8" t="n">
        <v>76438.15</v>
      </c>
      <c r="I190" s="6" t="n">
        <v>1577650</v>
      </c>
      <c r="J190" s="6" t="n">
        <v>24064</v>
      </c>
      <c r="K190" s="6" t="n">
        <v>902</v>
      </c>
      <c r="L190" s="8" t="n">
        <v>495223.24</v>
      </c>
      <c r="M190" s="9" t="n">
        <v>0.0152530662694514</v>
      </c>
      <c r="N190" s="8" t="n">
        <v>3.17645237699468</v>
      </c>
      <c r="O190" s="8" t="n">
        <v>84.7429600886918</v>
      </c>
      <c r="P190" s="10" t="n">
        <v>6.47874444894336</v>
      </c>
      <c r="Q190" s="9" t="n">
        <v>0.0374833776595745</v>
      </c>
    </row>
    <row r="191" customFormat="false" ht="15" hidden="false" customHeight="false" outlineLevel="0" collapsed="false">
      <c r="A191" s="6" t="n">
        <v>1358</v>
      </c>
      <c r="B191" s="6" t="s">
        <v>79</v>
      </c>
      <c r="C191" s="6" t="s">
        <v>63</v>
      </c>
      <c r="D191" s="7" t="n">
        <v>45508</v>
      </c>
      <c r="E191" s="7" t="n">
        <v>45533</v>
      </c>
      <c r="F191" s="6" t="s">
        <v>60</v>
      </c>
      <c r="G191" s="6" t="s">
        <v>61</v>
      </c>
      <c r="H191" s="8" t="n">
        <v>14887.58</v>
      </c>
      <c r="I191" s="6" t="n">
        <v>324814</v>
      </c>
      <c r="J191" s="6" t="n">
        <v>1908</v>
      </c>
      <c r="K191" s="6" t="n">
        <v>124</v>
      </c>
      <c r="L191" s="8" t="n">
        <v>93343.4</v>
      </c>
      <c r="M191" s="9" t="n">
        <v>0.0058741310411497</v>
      </c>
      <c r="N191" s="8" t="n">
        <v>7.80271488469602</v>
      </c>
      <c r="O191" s="8" t="n">
        <v>120.061129032258</v>
      </c>
      <c r="P191" s="10" t="n">
        <v>6.26988402413287</v>
      </c>
      <c r="Q191" s="9" t="n">
        <v>0.0649895178197065</v>
      </c>
    </row>
    <row r="192" customFormat="false" ht="15" hidden="false" customHeight="false" outlineLevel="0" collapsed="false">
      <c r="A192" s="6" t="n">
        <v>1072</v>
      </c>
      <c r="B192" s="6" t="s">
        <v>66</v>
      </c>
      <c r="C192" s="6" t="s">
        <v>71</v>
      </c>
      <c r="D192" s="7" t="n">
        <v>45418</v>
      </c>
      <c r="E192" s="7" t="n">
        <v>45445</v>
      </c>
      <c r="F192" s="6" t="s">
        <v>69</v>
      </c>
      <c r="G192" s="6" t="s">
        <v>54</v>
      </c>
      <c r="H192" s="8" t="n">
        <v>59531.27</v>
      </c>
      <c r="I192" s="6" t="n">
        <v>1672930</v>
      </c>
      <c r="J192" s="6" t="n">
        <v>38969</v>
      </c>
      <c r="K192" s="6" t="n">
        <v>1382</v>
      </c>
      <c r="L192" s="8" t="n">
        <v>2323153.53</v>
      </c>
      <c r="M192" s="9" t="n">
        <v>0.0232938616678522</v>
      </c>
      <c r="N192" s="8" t="n">
        <v>1.52765711206344</v>
      </c>
      <c r="O192" s="8" t="n">
        <v>43.0761722141823</v>
      </c>
      <c r="P192" s="10" t="n">
        <v>39.0240881808838</v>
      </c>
      <c r="Q192" s="9" t="n">
        <v>0.0354640868382561</v>
      </c>
    </row>
    <row r="193" customFormat="false" ht="15" hidden="false" customHeight="false" outlineLevel="0" collapsed="false">
      <c r="A193" s="6" t="n">
        <v>1166</v>
      </c>
      <c r="B193" s="6" t="s">
        <v>74</v>
      </c>
      <c r="C193" s="6" t="s">
        <v>63</v>
      </c>
      <c r="D193" s="7" t="n">
        <v>45592</v>
      </c>
      <c r="E193" s="7" t="n">
        <v>45600</v>
      </c>
      <c r="F193" s="6" t="s">
        <v>60</v>
      </c>
      <c r="G193" s="6" t="s">
        <v>54</v>
      </c>
      <c r="H193" s="8" t="n">
        <v>19277.67</v>
      </c>
      <c r="I193" s="6" t="n">
        <v>354926</v>
      </c>
      <c r="J193" s="6" t="n">
        <v>3451</v>
      </c>
      <c r="K193" s="6" t="n">
        <v>263</v>
      </c>
      <c r="L193" s="8" t="n">
        <v>394019.15</v>
      </c>
      <c r="M193" s="9" t="n">
        <v>0.00972315355877</v>
      </c>
      <c r="N193" s="8" t="n">
        <v>5.58611127209504</v>
      </c>
      <c r="O193" s="8" t="n">
        <v>73.2991254752852</v>
      </c>
      <c r="P193" s="10" t="n">
        <v>20.4391479883202</v>
      </c>
      <c r="Q193" s="9" t="n">
        <v>0.0762097942625326</v>
      </c>
    </row>
    <row r="194" customFormat="false" ht="15" hidden="false" customHeight="false" outlineLevel="0" collapsed="false">
      <c r="A194" s="6" t="n">
        <v>1201</v>
      </c>
      <c r="B194" s="6" t="s">
        <v>73</v>
      </c>
      <c r="C194" s="6" t="s">
        <v>71</v>
      </c>
      <c r="D194" s="7" t="n">
        <v>45388</v>
      </c>
      <c r="E194" s="7" t="n">
        <v>45396</v>
      </c>
      <c r="F194" s="6" t="s">
        <v>65</v>
      </c>
      <c r="G194" s="6" t="s">
        <v>49</v>
      </c>
      <c r="H194" s="8" t="n">
        <v>19210.65</v>
      </c>
      <c r="I194" s="6" t="n">
        <v>684165</v>
      </c>
      <c r="J194" s="6" t="n">
        <v>7332</v>
      </c>
      <c r="K194" s="6" t="n">
        <v>246</v>
      </c>
      <c r="L194" s="8" t="n">
        <v>356175.17</v>
      </c>
      <c r="M194" s="9" t="n">
        <v>0.0107167130736007</v>
      </c>
      <c r="N194" s="8" t="n">
        <v>2.62011047463175</v>
      </c>
      <c r="O194" s="8" t="n">
        <v>78.0920731707317</v>
      </c>
      <c r="P194" s="10" t="n">
        <v>18.5405059172907</v>
      </c>
      <c r="Q194" s="9" t="n">
        <v>0.0335515548281506</v>
      </c>
    </row>
    <row r="195" customFormat="false" ht="15" hidden="false" customHeight="false" outlineLevel="0" collapsed="false">
      <c r="A195" s="6" t="n">
        <v>1211</v>
      </c>
      <c r="B195" s="6" t="s">
        <v>73</v>
      </c>
      <c r="C195" s="6" t="s">
        <v>50</v>
      </c>
      <c r="D195" s="7" t="n">
        <v>45443</v>
      </c>
      <c r="E195" s="7" t="n">
        <v>45468</v>
      </c>
      <c r="F195" s="6" t="s">
        <v>69</v>
      </c>
      <c r="G195" s="6" t="s">
        <v>57</v>
      </c>
      <c r="H195" s="8" t="n">
        <v>32421.89</v>
      </c>
      <c r="I195" s="6" t="n">
        <v>553073</v>
      </c>
      <c r="J195" s="6" t="n">
        <v>4357</v>
      </c>
      <c r="K195" s="6" t="n">
        <v>339</v>
      </c>
      <c r="L195" s="8" t="n">
        <v>498774.72</v>
      </c>
      <c r="M195" s="9" t="n">
        <v>0.00787780274936582</v>
      </c>
      <c r="N195" s="8" t="n">
        <v>7.44133348634381</v>
      </c>
      <c r="O195" s="8" t="n">
        <v>95.6397935103245</v>
      </c>
      <c r="P195" s="10" t="n">
        <v>15.3838878609483</v>
      </c>
      <c r="Q195" s="9" t="n">
        <v>0.0778058296993344</v>
      </c>
    </row>
    <row r="196" customFormat="false" ht="15" hidden="false" customHeight="false" outlineLevel="0" collapsed="false">
      <c r="A196" s="6" t="n">
        <v>1772</v>
      </c>
      <c r="B196" s="6" t="s">
        <v>62</v>
      </c>
      <c r="C196" s="6" t="s">
        <v>59</v>
      </c>
      <c r="D196" s="7" t="n">
        <v>45601</v>
      </c>
      <c r="E196" s="7" t="n">
        <v>45619</v>
      </c>
      <c r="F196" s="6" t="s">
        <v>53</v>
      </c>
      <c r="G196" s="6" t="s">
        <v>57</v>
      </c>
      <c r="H196" s="8" t="n">
        <v>43195.82</v>
      </c>
      <c r="I196" s="6" t="n">
        <v>1051411</v>
      </c>
      <c r="J196" s="6" t="n">
        <v>15178</v>
      </c>
      <c r="K196" s="6" t="n">
        <v>362</v>
      </c>
      <c r="L196" s="8" t="n">
        <v>135120.2</v>
      </c>
      <c r="M196" s="9" t="n">
        <v>0.014435839077202</v>
      </c>
      <c r="N196" s="8" t="n">
        <v>2.84594940044802</v>
      </c>
      <c r="O196" s="8" t="n">
        <v>119.32546961326</v>
      </c>
      <c r="P196" s="10" t="n">
        <v>3.12808507860251</v>
      </c>
      <c r="Q196" s="9" t="n">
        <v>0.0238503096587166</v>
      </c>
    </row>
    <row r="197" customFormat="false" ht="15" hidden="false" customHeight="false" outlineLevel="0" collapsed="false">
      <c r="A197" s="6" t="n">
        <v>1594</v>
      </c>
      <c r="B197" s="6" t="s">
        <v>78</v>
      </c>
      <c r="C197" s="6" t="s">
        <v>47</v>
      </c>
      <c r="D197" s="7" t="n">
        <v>45391</v>
      </c>
      <c r="E197" s="7" t="n">
        <v>45415</v>
      </c>
      <c r="F197" s="6" t="s">
        <v>60</v>
      </c>
      <c r="G197" s="6" t="s">
        <v>61</v>
      </c>
      <c r="H197" s="8" t="n">
        <v>6493.4</v>
      </c>
      <c r="I197" s="6" t="n">
        <v>166418</v>
      </c>
      <c r="J197" s="6" t="n">
        <v>4543</v>
      </c>
      <c r="K197" s="6" t="n">
        <v>141</v>
      </c>
      <c r="L197" s="8" t="n">
        <v>143173.26</v>
      </c>
      <c r="M197" s="9" t="n">
        <v>0.0272987297047194</v>
      </c>
      <c r="N197" s="8" t="n">
        <v>1.42931983270966</v>
      </c>
      <c r="O197" s="8" t="n">
        <v>46.0524822695035</v>
      </c>
      <c r="P197" s="10" t="n">
        <v>22.0490436443158</v>
      </c>
      <c r="Q197" s="9" t="n">
        <v>0.0310367598503192</v>
      </c>
    </row>
    <row r="198" customFormat="false" ht="15" hidden="false" customHeight="false" outlineLevel="0" collapsed="false">
      <c r="A198" s="6" t="n">
        <v>1212</v>
      </c>
      <c r="B198" s="6" t="s">
        <v>74</v>
      </c>
      <c r="C198" s="6" t="s">
        <v>63</v>
      </c>
      <c r="D198" s="7" t="n">
        <v>45304</v>
      </c>
      <c r="E198" s="7" t="n">
        <v>45323</v>
      </c>
      <c r="F198" s="6" t="s">
        <v>56</v>
      </c>
      <c r="G198" s="6" t="s">
        <v>49</v>
      </c>
      <c r="H198" s="8" t="n">
        <v>20595.48</v>
      </c>
      <c r="I198" s="6" t="n">
        <v>353995</v>
      </c>
      <c r="J198" s="6" t="n">
        <v>2346</v>
      </c>
      <c r="K198" s="6" t="n">
        <v>153</v>
      </c>
      <c r="L198" s="8" t="n">
        <v>177360.98</v>
      </c>
      <c r="M198" s="9" t="n">
        <v>0.00662721224876058</v>
      </c>
      <c r="N198" s="8" t="n">
        <v>8.77897698209719</v>
      </c>
      <c r="O198" s="8" t="n">
        <v>134.610980392157</v>
      </c>
      <c r="P198" s="10" t="n">
        <v>8.61164585627526</v>
      </c>
      <c r="Q198" s="9" t="n">
        <v>0.0652173913043478</v>
      </c>
    </row>
    <row r="199" customFormat="false" ht="15" hidden="false" customHeight="false" outlineLevel="0" collapsed="false">
      <c r="A199" s="6" t="n">
        <v>1013</v>
      </c>
      <c r="B199" s="6" t="s">
        <v>79</v>
      </c>
      <c r="C199" s="6" t="s">
        <v>47</v>
      </c>
      <c r="D199" s="7" t="n">
        <v>45321</v>
      </c>
      <c r="E199" s="7" t="n">
        <v>45327</v>
      </c>
      <c r="F199" s="6" t="s">
        <v>48</v>
      </c>
      <c r="G199" s="6" t="s">
        <v>57</v>
      </c>
      <c r="H199" s="8" t="n">
        <v>4337.52</v>
      </c>
      <c r="I199" s="6" t="n">
        <v>164759</v>
      </c>
      <c r="J199" s="6" t="n">
        <v>3449</v>
      </c>
      <c r="K199" s="6" t="n">
        <v>48</v>
      </c>
      <c r="L199" s="8" t="n">
        <v>52144.86</v>
      </c>
      <c r="M199" s="9" t="n">
        <v>0.0209336060549044</v>
      </c>
      <c r="N199" s="8" t="n">
        <v>1.2576167004929</v>
      </c>
      <c r="O199" s="8" t="n">
        <v>90.365</v>
      </c>
      <c r="P199" s="10" t="n">
        <v>12.0218143086372</v>
      </c>
      <c r="Q199" s="9" t="n">
        <v>0.0139170774137431</v>
      </c>
    </row>
    <row r="200" customFormat="false" ht="15" hidden="false" customHeight="false" outlineLevel="0" collapsed="false">
      <c r="A200" s="6" t="n">
        <v>1007</v>
      </c>
      <c r="B200" s="6" t="s">
        <v>68</v>
      </c>
      <c r="C200" s="6" t="s">
        <v>59</v>
      </c>
      <c r="D200" s="7" t="n">
        <v>45483</v>
      </c>
      <c r="E200" s="7" t="n">
        <v>45512</v>
      </c>
      <c r="F200" s="6" t="s">
        <v>56</v>
      </c>
      <c r="G200" s="6" t="s">
        <v>72</v>
      </c>
      <c r="H200" s="8" t="n">
        <v>55453.43</v>
      </c>
      <c r="I200" s="6" t="n">
        <v>1911239</v>
      </c>
      <c r="J200" s="6" t="n">
        <v>39965</v>
      </c>
      <c r="K200" s="6" t="n">
        <v>401</v>
      </c>
      <c r="L200" s="8" t="n">
        <v>1458147.45</v>
      </c>
      <c r="M200" s="9" t="n">
        <v>0.020910519301877</v>
      </c>
      <c r="N200" s="8" t="n">
        <v>1.38754985612411</v>
      </c>
      <c r="O200" s="8" t="n">
        <v>138.287855361596</v>
      </c>
      <c r="P200" s="10" t="n">
        <v>26.2949911303954</v>
      </c>
      <c r="Q200" s="9" t="n">
        <v>0.0100337795571125</v>
      </c>
    </row>
    <row r="201" customFormat="false" ht="15" hidden="false" customHeight="false" outlineLevel="0" collapsed="false">
      <c r="A201" s="6" t="n">
        <v>1573</v>
      </c>
      <c r="B201" s="6" t="s">
        <v>74</v>
      </c>
      <c r="C201" s="6" t="s">
        <v>50</v>
      </c>
      <c r="D201" s="7" t="n">
        <v>45411</v>
      </c>
      <c r="E201" s="7" t="n">
        <v>45419</v>
      </c>
      <c r="F201" s="6" t="s">
        <v>69</v>
      </c>
      <c r="G201" s="6" t="s">
        <v>61</v>
      </c>
      <c r="H201" s="8" t="n">
        <v>12695.12</v>
      </c>
      <c r="I201" s="6" t="n">
        <v>407653</v>
      </c>
      <c r="J201" s="6" t="n">
        <v>12562</v>
      </c>
      <c r="K201" s="6" t="n">
        <v>635</v>
      </c>
      <c r="L201" s="8" t="n">
        <v>260880.61</v>
      </c>
      <c r="M201" s="9" t="n">
        <v>0.0308154239021913</v>
      </c>
      <c r="N201" s="8" t="n">
        <v>1.01059703868811</v>
      </c>
      <c r="O201" s="8" t="n">
        <v>19.9923149606299</v>
      </c>
      <c r="P201" s="10" t="n">
        <v>20.5496765686342</v>
      </c>
      <c r="Q201" s="9" t="n">
        <v>0.0505492755930584</v>
      </c>
    </row>
    <row r="202" customFormat="false" ht="15" hidden="false" customHeight="false" outlineLevel="0" collapsed="false">
      <c r="A202" s="6" t="n">
        <v>1157</v>
      </c>
      <c r="B202" s="6" t="s">
        <v>66</v>
      </c>
      <c r="C202" s="6" t="s">
        <v>63</v>
      </c>
      <c r="D202" s="7" t="n">
        <v>45493</v>
      </c>
      <c r="E202" s="7" t="n">
        <v>45520</v>
      </c>
      <c r="F202" s="6" t="s">
        <v>48</v>
      </c>
      <c r="G202" s="6" t="s">
        <v>61</v>
      </c>
      <c r="H202" s="8" t="n">
        <v>20355.07</v>
      </c>
      <c r="I202" s="6" t="n">
        <v>535723</v>
      </c>
      <c r="J202" s="6" t="n">
        <v>6433</v>
      </c>
      <c r="K202" s="6" t="n">
        <v>489</v>
      </c>
      <c r="L202" s="8" t="n">
        <v>267660.1</v>
      </c>
      <c r="M202" s="9" t="n">
        <v>0.0120080713353729</v>
      </c>
      <c r="N202" s="8" t="n">
        <v>3.16416446448002</v>
      </c>
      <c r="O202" s="8" t="n">
        <v>41.6259100204499</v>
      </c>
      <c r="P202" s="10" t="n">
        <v>13.1495543862045</v>
      </c>
      <c r="Q202" s="9" t="n">
        <v>0.0760143012591326</v>
      </c>
    </row>
    <row r="203" customFormat="false" ht="15" hidden="false" customHeight="false" outlineLevel="0" collapsed="false">
      <c r="A203" s="6" t="n">
        <v>1682</v>
      </c>
      <c r="B203" s="6" t="s">
        <v>74</v>
      </c>
      <c r="C203" s="6" t="s">
        <v>63</v>
      </c>
      <c r="D203" s="7" t="n">
        <v>45566</v>
      </c>
      <c r="E203" s="7" t="n">
        <v>45581</v>
      </c>
      <c r="F203" s="6" t="s">
        <v>51</v>
      </c>
      <c r="G203" s="6" t="s">
        <v>57</v>
      </c>
      <c r="H203" s="8" t="n">
        <v>41519.16</v>
      </c>
      <c r="I203" s="6" t="n">
        <v>1249821</v>
      </c>
      <c r="J203" s="6" t="n">
        <v>33249</v>
      </c>
      <c r="K203" s="6" t="n">
        <v>2002</v>
      </c>
      <c r="L203" s="8" t="n">
        <v>2572971.69</v>
      </c>
      <c r="M203" s="9" t="n">
        <v>0.0266030095509677</v>
      </c>
      <c r="N203" s="8" t="n">
        <v>1.24873409726608</v>
      </c>
      <c r="O203" s="8" t="n">
        <v>20.7388411588412</v>
      </c>
      <c r="P203" s="10" t="n">
        <v>61.9707067773047</v>
      </c>
      <c r="Q203" s="9" t="n">
        <v>0.0602123372131493</v>
      </c>
    </row>
    <row r="204" customFormat="false" ht="15" hidden="false" customHeight="false" outlineLevel="0" collapsed="false">
      <c r="A204" s="6" t="n">
        <v>1546</v>
      </c>
      <c r="B204" s="6" t="s">
        <v>74</v>
      </c>
      <c r="C204" s="6" t="s">
        <v>63</v>
      </c>
      <c r="D204" s="7" t="n">
        <v>45317</v>
      </c>
      <c r="E204" s="7" t="n">
        <v>45330</v>
      </c>
      <c r="F204" s="6" t="s">
        <v>69</v>
      </c>
      <c r="G204" s="6" t="s">
        <v>72</v>
      </c>
      <c r="H204" s="8" t="n">
        <v>21409.6</v>
      </c>
      <c r="I204" s="6" t="n">
        <v>472759</v>
      </c>
      <c r="J204" s="6" t="n">
        <v>14546</v>
      </c>
      <c r="K204" s="6" t="n">
        <v>822</v>
      </c>
      <c r="L204" s="8" t="n">
        <v>1204134.48</v>
      </c>
      <c r="M204" s="9" t="n">
        <v>0.0307683195877815</v>
      </c>
      <c r="N204" s="8" t="n">
        <v>1.4718548054448</v>
      </c>
      <c r="O204" s="8" t="n">
        <v>26.0457420924574</v>
      </c>
      <c r="P204" s="10" t="n">
        <v>56.2427359689112</v>
      </c>
      <c r="Q204" s="9" t="n">
        <v>0.0565103808607177</v>
      </c>
    </row>
    <row r="205" customFormat="false" ht="15" hidden="false" customHeight="false" outlineLevel="0" collapsed="false">
      <c r="A205" s="6" t="n">
        <v>1409</v>
      </c>
      <c r="B205" s="6" t="s">
        <v>46</v>
      </c>
      <c r="C205" s="6" t="s">
        <v>71</v>
      </c>
      <c r="D205" s="7" t="n">
        <v>45411</v>
      </c>
      <c r="E205" s="7" t="n">
        <v>45431</v>
      </c>
      <c r="F205" s="6" t="s">
        <v>65</v>
      </c>
      <c r="G205" s="6" t="s">
        <v>54</v>
      </c>
      <c r="H205" s="8" t="n">
        <v>9913.39</v>
      </c>
      <c r="I205" s="6" t="n">
        <v>270843</v>
      </c>
      <c r="J205" s="6" t="n">
        <v>7074</v>
      </c>
      <c r="K205" s="6" t="n">
        <v>370</v>
      </c>
      <c r="L205" s="8" t="n">
        <v>133328.14</v>
      </c>
      <c r="M205" s="9" t="n">
        <v>0.0261184523875456</v>
      </c>
      <c r="N205" s="8" t="n">
        <v>1.4013839411931</v>
      </c>
      <c r="O205" s="8" t="n">
        <v>26.7929459459459</v>
      </c>
      <c r="P205" s="10" t="n">
        <v>13.4492983732104</v>
      </c>
      <c r="Q205" s="9" t="n">
        <v>0.0523042126095561</v>
      </c>
    </row>
    <row r="206" customFormat="false" ht="15" hidden="false" customHeight="false" outlineLevel="0" collapsed="false">
      <c r="A206" s="6" t="n">
        <v>1020</v>
      </c>
      <c r="B206" s="6" t="s">
        <v>77</v>
      </c>
      <c r="C206" s="6" t="s">
        <v>47</v>
      </c>
      <c r="D206" s="7" t="n">
        <v>45460</v>
      </c>
      <c r="E206" s="7" t="n">
        <v>45473</v>
      </c>
      <c r="F206" s="6" t="s">
        <v>60</v>
      </c>
      <c r="G206" s="6" t="s">
        <v>61</v>
      </c>
      <c r="H206" s="8" t="n">
        <v>7768.22</v>
      </c>
      <c r="I206" s="6" t="n">
        <v>170730</v>
      </c>
      <c r="J206" s="6" t="n">
        <v>4139</v>
      </c>
      <c r="K206" s="6" t="n">
        <v>157</v>
      </c>
      <c r="L206" s="8" t="n">
        <v>278308.73</v>
      </c>
      <c r="M206" s="9" t="n">
        <v>0.0242429567152814</v>
      </c>
      <c r="N206" s="8" t="n">
        <v>1.87683498429572</v>
      </c>
      <c r="O206" s="8" t="n">
        <v>49.4791082802548</v>
      </c>
      <c r="P206" s="10" t="n">
        <v>35.8265767447369</v>
      </c>
      <c r="Q206" s="9" t="n">
        <v>0.0379318676008698</v>
      </c>
    </row>
    <row r="207" customFormat="false" ht="15" hidden="false" customHeight="false" outlineLevel="0" collapsed="false">
      <c r="A207" s="6" t="n">
        <v>1500</v>
      </c>
      <c r="B207" s="6" t="s">
        <v>55</v>
      </c>
      <c r="C207" s="6" t="s">
        <v>63</v>
      </c>
      <c r="D207" s="7" t="n">
        <v>45536</v>
      </c>
      <c r="E207" s="7" t="n">
        <v>45560</v>
      </c>
      <c r="F207" s="6" t="s">
        <v>53</v>
      </c>
      <c r="G207" s="6" t="s">
        <v>72</v>
      </c>
      <c r="H207" s="8" t="n">
        <v>7328.17</v>
      </c>
      <c r="I207" s="6" t="n">
        <v>176836</v>
      </c>
      <c r="J207" s="6" t="n">
        <v>1303</v>
      </c>
      <c r="K207" s="6" t="n">
        <v>20</v>
      </c>
      <c r="L207" s="8" t="n">
        <v>23506.31</v>
      </c>
      <c r="M207" s="9" t="n">
        <v>0.00736840914745866</v>
      </c>
      <c r="N207" s="8" t="n">
        <v>5.62407521105142</v>
      </c>
      <c r="O207" s="8" t="n">
        <v>366.4085</v>
      </c>
      <c r="P207" s="10" t="n">
        <v>3.20766439643185</v>
      </c>
      <c r="Q207" s="9" t="n">
        <v>0.0153491941673062</v>
      </c>
    </row>
    <row r="208" customFormat="false" ht="15" hidden="false" customHeight="false" outlineLevel="0" collapsed="false">
      <c r="A208" s="6" t="n">
        <v>1719</v>
      </c>
      <c r="B208" s="6" t="s">
        <v>76</v>
      </c>
      <c r="C208" s="6" t="s">
        <v>50</v>
      </c>
      <c r="D208" s="7" t="n">
        <v>45523</v>
      </c>
      <c r="E208" s="7" t="n">
        <v>45532</v>
      </c>
      <c r="F208" s="6" t="s">
        <v>51</v>
      </c>
      <c r="G208" s="6" t="s">
        <v>49</v>
      </c>
      <c r="H208" s="8" t="n">
        <v>61650.14</v>
      </c>
      <c r="I208" s="6" t="n">
        <v>1519004</v>
      </c>
      <c r="J208" s="6" t="n">
        <v>50869</v>
      </c>
      <c r="K208" s="6" t="n">
        <v>3618</v>
      </c>
      <c r="L208" s="8" t="n">
        <v>5401618.62</v>
      </c>
      <c r="M208" s="9" t="n">
        <v>0.0334883910773112</v>
      </c>
      <c r="N208" s="8" t="n">
        <v>1.211939295052</v>
      </c>
      <c r="O208" s="8" t="n">
        <v>17.0398396904367</v>
      </c>
      <c r="P208" s="10" t="n">
        <v>87.6172968950273</v>
      </c>
      <c r="Q208" s="9" t="n">
        <v>0.0711238671882679</v>
      </c>
    </row>
    <row r="209" customFormat="false" ht="15" hidden="false" customHeight="false" outlineLevel="0" collapsed="false">
      <c r="A209" s="6" t="n">
        <v>1733</v>
      </c>
      <c r="B209" s="6" t="s">
        <v>66</v>
      </c>
      <c r="C209" s="6" t="s">
        <v>50</v>
      </c>
      <c r="D209" s="7" t="n">
        <v>45396</v>
      </c>
      <c r="E209" s="7" t="n">
        <v>45406</v>
      </c>
      <c r="F209" s="6" t="s">
        <v>60</v>
      </c>
      <c r="G209" s="6" t="s">
        <v>49</v>
      </c>
      <c r="H209" s="8" t="n">
        <v>12916.21</v>
      </c>
      <c r="I209" s="6" t="n">
        <v>453564</v>
      </c>
      <c r="J209" s="6" t="n">
        <v>12375</v>
      </c>
      <c r="K209" s="6" t="n">
        <v>881</v>
      </c>
      <c r="L209" s="8" t="n">
        <v>564022.21</v>
      </c>
      <c r="M209" s="9" t="n">
        <v>0.0272839114215414</v>
      </c>
      <c r="N209" s="8" t="n">
        <v>1.04373414141414</v>
      </c>
      <c r="O209" s="8" t="n">
        <v>14.6608513053348</v>
      </c>
      <c r="P209" s="10" t="n">
        <v>43.6677794802036</v>
      </c>
      <c r="Q209" s="9" t="n">
        <v>0.0711919191919192</v>
      </c>
    </row>
    <row r="210" customFormat="false" ht="15" hidden="false" customHeight="false" outlineLevel="0" collapsed="false">
      <c r="A210" s="6" t="n">
        <v>1748</v>
      </c>
      <c r="B210" s="6" t="s">
        <v>64</v>
      </c>
      <c r="C210" s="6" t="s">
        <v>50</v>
      </c>
      <c r="D210" s="7" t="n">
        <v>45381</v>
      </c>
      <c r="E210" s="7" t="n">
        <v>45400</v>
      </c>
      <c r="F210" s="6" t="s">
        <v>51</v>
      </c>
      <c r="G210" s="6" t="s">
        <v>54</v>
      </c>
      <c r="H210" s="8" t="n">
        <v>69748.85</v>
      </c>
      <c r="I210" s="6" t="n">
        <v>1115661</v>
      </c>
      <c r="J210" s="6" t="n">
        <v>25697</v>
      </c>
      <c r="K210" s="6" t="n">
        <v>1024</v>
      </c>
      <c r="L210" s="8" t="n">
        <v>1378171.57</v>
      </c>
      <c r="M210" s="9" t="n">
        <v>0.0230329822410212</v>
      </c>
      <c r="N210" s="8" t="n">
        <v>2.71427987702845</v>
      </c>
      <c r="O210" s="8" t="n">
        <v>68.114111328125</v>
      </c>
      <c r="P210" s="10" t="n">
        <v>19.7590579629628</v>
      </c>
      <c r="Q210" s="9" t="n">
        <v>0.039849009612017</v>
      </c>
    </row>
    <row r="211" customFormat="false" ht="15" hidden="false" customHeight="false" outlineLevel="0" collapsed="false">
      <c r="A211" s="6" t="n">
        <v>1030</v>
      </c>
      <c r="B211" s="6" t="s">
        <v>78</v>
      </c>
      <c r="C211" s="6" t="s">
        <v>71</v>
      </c>
      <c r="D211" s="7" t="n">
        <v>45307</v>
      </c>
      <c r="E211" s="7" t="n">
        <v>45319</v>
      </c>
      <c r="F211" s="6" t="s">
        <v>69</v>
      </c>
      <c r="G211" s="6" t="s">
        <v>72</v>
      </c>
      <c r="H211" s="8" t="n">
        <v>51639.9</v>
      </c>
      <c r="I211" s="6" t="n">
        <v>1576741</v>
      </c>
      <c r="J211" s="6" t="n">
        <v>19167</v>
      </c>
      <c r="K211" s="6" t="n">
        <v>827</v>
      </c>
      <c r="L211" s="8" t="n">
        <v>426620.1</v>
      </c>
      <c r="M211" s="9" t="n">
        <v>0.0121560865100863</v>
      </c>
      <c r="N211" s="8" t="n">
        <v>2.69420879636876</v>
      </c>
      <c r="O211" s="8" t="n">
        <v>62.4424425634825</v>
      </c>
      <c r="P211" s="10" t="n">
        <v>8.26144318637333</v>
      </c>
      <c r="Q211" s="9" t="n">
        <v>0.0431470757030313</v>
      </c>
    </row>
    <row r="212" customFormat="false" ht="15" hidden="false" customHeight="false" outlineLevel="0" collapsed="false">
      <c r="A212" s="6" t="n">
        <v>1015</v>
      </c>
      <c r="B212" s="6" t="s">
        <v>73</v>
      </c>
      <c r="C212" s="6" t="s">
        <v>47</v>
      </c>
      <c r="D212" s="7" t="n">
        <v>45329</v>
      </c>
      <c r="E212" s="7" t="n">
        <v>45351</v>
      </c>
      <c r="F212" s="6" t="s">
        <v>53</v>
      </c>
      <c r="G212" s="6" t="s">
        <v>49</v>
      </c>
      <c r="H212" s="8" t="n">
        <v>4541.19</v>
      </c>
      <c r="I212" s="6" t="n">
        <v>83155</v>
      </c>
      <c r="J212" s="6" t="n">
        <v>1286</v>
      </c>
      <c r="K212" s="6" t="n">
        <v>19</v>
      </c>
      <c r="L212" s="8" t="n">
        <v>13380.04</v>
      </c>
      <c r="M212" s="9" t="n">
        <v>0.0154650953039505</v>
      </c>
      <c r="N212" s="8" t="n">
        <v>3.53125194401244</v>
      </c>
      <c r="O212" s="8" t="n">
        <v>239.01</v>
      </c>
      <c r="P212" s="10" t="n">
        <v>2.94637308723044</v>
      </c>
      <c r="Q212" s="9" t="n">
        <v>0.0147744945567652</v>
      </c>
    </row>
    <row r="213" customFormat="false" ht="15" hidden="false" customHeight="false" outlineLevel="0" collapsed="false">
      <c r="A213" s="6" t="n">
        <v>1017</v>
      </c>
      <c r="B213" s="6" t="s">
        <v>77</v>
      </c>
      <c r="C213" s="6" t="s">
        <v>59</v>
      </c>
      <c r="D213" s="7" t="n">
        <v>45293</v>
      </c>
      <c r="E213" s="7" t="n">
        <v>45308</v>
      </c>
      <c r="F213" s="6" t="s">
        <v>69</v>
      </c>
      <c r="G213" s="6" t="s">
        <v>54</v>
      </c>
      <c r="H213" s="8" t="n">
        <v>62783.5</v>
      </c>
      <c r="I213" s="6" t="n">
        <v>1352914</v>
      </c>
      <c r="J213" s="6" t="n">
        <v>36849</v>
      </c>
      <c r="K213" s="6" t="n">
        <v>1791</v>
      </c>
      <c r="L213" s="8" t="n">
        <v>1074726.4</v>
      </c>
      <c r="M213" s="9" t="n">
        <v>0.0272367644950086</v>
      </c>
      <c r="N213" s="8" t="n">
        <v>1.7038047165459</v>
      </c>
      <c r="O213" s="8" t="n">
        <v>35.0549972082635</v>
      </c>
      <c r="P213" s="10" t="n">
        <v>17.1179752642016</v>
      </c>
      <c r="Q213" s="9" t="n">
        <v>0.0486037612961003</v>
      </c>
    </row>
    <row r="214" customFormat="false" ht="15" hidden="false" customHeight="false" outlineLevel="0" collapsed="false">
      <c r="A214" s="6" t="n">
        <v>1580</v>
      </c>
      <c r="B214" s="6" t="s">
        <v>62</v>
      </c>
      <c r="C214" s="6" t="s">
        <v>47</v>
      </c>
      <c r="D214" s="7" t="n">
        <v>45555</v>
      </c>
      <c r="E214" s="7" t="n">
        <v>45576</v>
      </c>
      <c r="F214" s="6" t="s">
        <v>56</v>
      </c>
      <c r="G214" s="6" t="s">
        <v>54</v>
      </c>
      <c r="H214" s="8" t="n">
        <v>7329.82</v>
      </c>
      <c r="I214" s="6" t="n">
        <v>174883</v>
      </c>
      <c r="J214" s="6" t="n">
        <v>2985</v>
      </c>
      <c r="K214" s="6" t="n">
        <v>146</v>
      </c>
      <c r="L214" s="8" t="n">
        <v>201826.91</v>
      </c>
      <c r="M214" s="9" t="n">
        <v>0.017068554404945</v>
      </c>
      <c r="N214" s="8" t="n">
        <v>2.45555108877722</v>
      </c>
      <c r="O214" s="8" t="n">
        <v>50.2042465753425</v>
      </c>
      <c r="P214" s="10" t="n">
        <v>27.5350431524922</v>
      </c>
      <c r="Q214" s="9" t="n">
        <v>0.0489112227805695</v>
      </c>
    </row>
    <row r="215" customFormat="false" ht="15" hidden="false" customHeight="false" outlineLevel="0" collapsed="false">
      <c r="A215" s="6" t="n">
        <v>1776</v>
      </c>
      <c r="B215" s="6" t="s">
        <v>70</v>
      </c>
      <c r="C215" s="6" t="s">
        <v>47</v>
      </c>
      <c r="D215" s="7" t="n">
        <v>45485</v>
      </c>
      <c r="E215" s="7" t="n">
        <v>45500</v>
      </c>
      <c r="F215" s="6" t="s">
        <v>56</v>
      </c>
      <c r="G215" s="6" t="s">
        <v>57</v>
      </c>
      <c r="H215" s="8" t="n">
        <v>5999.9</v>
      </c>
      <c r="I215" s="6" t="n">
        <v>199714</v>
      </c>
      <c r="J215" s="6" t="n">
        <v>4804</v>
      </c>
      <c r="K215" s="6" t="n">
        <v>96</v>
      </c>
      <c r="L215" s="8" t="n">
        <v>139685.54</v>
      </c>
      <c r="M215" s="9" t="n">
        <v>0.024054397788838</v>
      </c>
      <c r="N215" s="8" t="n">
        <v>1.24893838467943</v>
      </c>
      <c r="O215" s="8" t="n">
        <v>62.4989583333333</v>
      </c>
      <c r="P215" s="10" t="n">
        <v>23.2813113551893</v>
      </c>
      <c r="Q215" s="9" t="n">
        <v>0.0199833472106578</v>
      </c>
    </row>
    <row r="216" customFormat="false" ht="15" hidden="false" customHeight="false" outlineLevel="0" collapsed="false">
      <c r="A216" s="6" t="n">
        <v>1761</v>
      </c>
      <c r="B216" s="6" t="s">
        <v>74</v>
      </c>
      <c r="C216" s="6" t="s">
        <v>71</v>
      </c>
      <c r="D216" s="7" t="n">
        <v>45508</v>
      </c>
      <c r="E216" s="7" t="n">
        <v>45519</v>
      </c>
      <c r="F216" s="6" t="s">
        <v>53</v>
      </c>
      <c r="G216" s="6" t="s">
        <v>57</v>
      </c>
      <c r="H216" s="8" t="n">
        <v>54348.2</v>
      </c>
      <c r="I216" s="6" t="n">
        <v>1585020</v>
      </c>
      <c r="J216" s="6" t="n">
        <v>8393</v>
      </c>
      <c r="K216" s="6" t="n">
        <v>282</v>
      </c>
      <c r="L216" s="8" t="n">
        <v>354000.81</v>
      </c>
      <c r="M216" s="9" t="n">
        <v>0.00529520132238079</v>
      </c>
      <c r="N216" s="8" t="n">
        <v>6.47541999285119</v>
      </c>
      <c r="O216" s="8" t="n">
        <v>192.724113475177</v>
      </c>
      <c r="P216" s="10" t="n">
        <v>6.51357009063778</v>
      </c>
      <c r="Q216" s="9" t="n">
        <v>0.0335994280948409</v>
      </c>
    </row>
    <row r="217" customFormat="false" ht="15" hidden="false" customHeight="false" outlineLevel="0" collapsed="false">
      <c r="A217" s="6" t="n">
        <v>1436</v>
      </c>
      <c r="B217" s="6" t="s">
        <v>62</v>
      </c>
      <c r="C217" s="6" t="s">
        <v>59</v>
      </c>
      <c r="D217" s="7" t="n">
        <v>45431</v>
      </c>
      <c r="E217" s="7" t="n">
        <v>45440</v>
      </c>
      <c r="F217" s="6" t="s">
        <v>69</v>
      </c>
      <c r="G217" s="6" t="s">
        <v>49</v>
      </c>
      <c r="H217" s="8" t="n">
        <v>41856.52</v>
      </c>
      <c r="I217" s="6" t="n">
        <v>854576</v>
      </c>
      <c r="J217" s="6" t="n">
        <v>5155</v>
      </c>
      <c r="K217" s="6" t="n">
        <v>295</v>
      </c>
      <c r="L217" s="8" t="n">
        <v>195715.22</v>
      </c>
      <c r="M217" s="9" t="n">
        <v>0.00603223118833199</v>
      </c>
      <c r="N217" s="8" t="n">
        <v>8.11959650824442</v>
      </c>
      <c r="O217" s="8" t="n">
        <v>141.886508474576</v>
      </c>
      <c r="P217" s="10" t="n">
        <v>4.67585981825532</v>
      </c>
      <c r="Q217" s="9" t="n">
        <v>0.0572259941804074</v>
      </c>
    </row>
    <row r="218" customFormat="false" ht="15" hidden="false" customHeight="false" outlineLevel="0" collapsed="false">
      <c r="A218" s="6" t="n">
        <v>1132</v>
      </c>
      <c r="B218" s="6" t="s">
        <v>78</v>
      </c>
      <c r="C218" s="6" t="s">
        <v>47</v>
      </c>
      <c r="D218" s="7" t="n">
        <v>45520</v>
      </c>
      <c r="E218" s="7" t="n">
        <v>45536</v>
      </c>
      <c r="F218" s="6" t="s">
        <v>65</v>
      </c>
      <c r="G218" s="6" t="s">
        <v>57</v>
      </c>
      <c r="H218" s="8" t="n">
        <v>4241.44</v>
      </c>
      <c r="I218" s="6" t="n">
        <v>135678</v>
      </c>
      <c r="J218" s="6" t="n">
        <v>3488</v>
      </c>
      <c r="K218" s="6" t="n">
        <v>71</v>
      </c>
      <c r="L218" s="8" t="n">
        <v>127563.5</v>
      </c>
      <c r="M218" s="9" t="n">
        <v>0.025707926119194</v>
      </c>
      <c r="N218" s="8" t="n">
        <v>1.21600917431193</v>
      </c>
      <c r="O218" s="8" t="n">
        <v>59.7385915492958</v>
      </c>
      <c r="P218" s="10" t="n">
        <v>30.0755168056132</v>
      </c>
      <c r="Q218" s="9" t="n">
        <v>0.020355504587156</v>
      </c>
    </row>
    <row r="219" customFormat="false" ht="15" hidden="false" customHeight="false" outlineLevel="0" collapsed="false">
      <c r="A219" s="6" t="n">
        <v>1171</v>
      </c>
      <c r="B219" s="6" t="s">
        <v>58</v>
      </c>
      <c r="C219" s="6" t="s">
        <v>47</v>
      </c>
      <c r="D219" s="7" t="n">
        <v>45501</v>
      </c>
      <c r="E219" s="7" t="n">
        <v>45528</v>
      </c>
      <c r="F219" s="6" t="s">
        <v>65</v>
      </c>
      <c r="G219" s="6" t="s">
        <v>54</v>
      </c>
      <c r="H219" s="8" t="n">
        <v>6054.27</v>
      </c>
      <c r="I219" s="6" t="n">
        <v>201300</v>
      </c>
      <c r="J219" s="6" t="n">
        <v>2608</v>
      </c>
      <c r="K219" s="6" t="n">
        <v>77</v>
      </c>
      <c r="L219" s="8" t="n">
        <v>53472.27</v>
      </c>
      <c r="M219" s="9" t="n">
        <v>0.0129557873820169</v>
      </c>
      <c r="N219" s="8" t="n">
        <v>2.32142254601227</v>
      </c>
      <c r="O219" s="8" t="n">
        <v>78.6268831168831</v>
      </c>
      <c r="P219" s="10" t="n">
        <v>8.83215812971671</v>
      </c>
      <c r="Q219" s="9" t="n">
        <v>0.0295245398773006</v>
      </c>
    </row>
    <row r="220" customFormat="false" ht="15" hidden="false" customHeight="false" outlineLevel="0" collapsed="false">
      <c r="A220" s="6" t="n">
        <v>1281</v>
      </c>
      <c r="B220" s="6" t="s">
        <v>52</v>
      </c>
      <c r="C220" s="6" t="s">
        <v>59</v>
      </c>
      <c r="D220" s="7" t="n">
        <v>45604</v>
      </c>
      <c r="E220" s="7" t="n">
        <v>45630</v>
      </c>
      <c r="F220" s="6" t="s">
        <v>67</v>
      </c>
      <c r="G220" s="6" t="s">
        <v>49</v>
      </c>
      <c r="H220" s="8" t="n">
        <v>67488.51</v>
      </c>
      <c r="I220" s="6" t="n">
        <v>1977890</v>
      </c>
      <c r="J220" s="6" t="n">
        <v>43247</v>
      </c>
      <c r="K220" s="6" t="n">
        <v>3357</v>
      </c>
      <c r="L220" s="8" t="n">
        <v>4822449.58</v>
      </c>
      <c r="M220" s="9" t="n">
        <v>0.0218652200071794</v>
      </c>
      <c r="N220" s="8" t="n">
        <v>1.5605362221657</v>
      </c>
      <c r="O220" s="8" t="n">
        <v>20.1038159070599</v>
      </c>
      <c r="P220" s="10" t="n">
        <v>71.4558608569074</v>
      </c>
      <c r="Q220" s="9" t="n">
        <v>0.0776238814253012</v>
      </c>
    </row>
    <row r="221" customFormat="false" ht="15" hidden="false" customHeight="false" outlineLevel="0" collapsed="false">
      <c r="A221" s="6" t="n">
        <v>1001</v>
      </c>
      <c r="B221" s="6" t="s">
        <v>55</v>
      </c>
      <c r="C221" s="6" t="s">
        <v>71</v>
      </c>
      <c r="D221" s="7" t="n">
        <v>45308</v>
      </c>
      <c r="E221" s="7" t="n">
        <v>45313</v>
      </c>
      <c r="F221" s="6" t="s">
        <v>60</v>
      </c>
      <c r="G221" s="6" t="s">
        <v>54</v>
      </c>
      <c r="H221" s="8" t="n">
        <v>19369.17</v>
      </c>
      <c r="I221" s="6" t="n">
        <v>535245</v>
      </c>
      <c r="J221" s="6" t="n">
        <v>3102</v>
      </c>
      <c r="K221" s="6" t="n">
        <v>74</v>
      </c>
      <c r="L221" s="8" t="n">
        <v>95632.6</v>
      </c>
      <c r="M221" s="9" t="n">
        <v>0.00579547683770983</v>
      </c>
      <c r="N221" s="8" t="n">
        <v>6.24409090909091</v>
      </c>
      <c r="O221" s="8" t="n">
        <v>261.745540540541</v>
      </c>
      <c r="P221" s="10" t="n">
        <v>4.93736179712399</v>
      </c>
      <c r="Q221" s="9" t="n">
        <v>0.0238555770470664</v>
      </c>
    </row>
    <row r="222" customFormat="false" ht="15" hidden="false" customHeight="false" outlineLevel="0" collapsed="false">
      <c r="A222" s="6" t="n">
        <v>1058</v>
      </c>
      <c r="B222" s="6" t="s">
        <v>79</v>
      </c>
      <c r="C222" s="6" t="s">
        <v>71</v>
      </c>
      <c r="D222" s="7" t="n">
        <v>45433</v>
      </c>
      <c r="E222" s="7" t="n">
        <v>45442</v>
      </c>
      <c r="F222" s="6" t="s">
        <v>69</v>
      </c>
      <c r="G222" s="6" t="s">
        <v>61</v>
      </c>
      <c r="H222" s="8" t="n">
        <v>36091.2</v>
      </c>
      <c r="I222" s="6" t="n">
        <v>1261851</v>
      </c>
      <c r="J222" s="6" t="n">
        <v>10470</v>
      </c>
      <c r="K222" s="6" t="n">
        <v>739</v>
      </c>
      <c r="L222" s="8" t="n">
        <v>399883.75</v>
      </c>
      <c r="M222" s="9" t="n">
        <v>0.0082973346298414</v>
      </c>
      <c r="N222" s="8" t="n">
        <v>3.44710601719198</v>
      </c>
      <c r="O222" s="8" t="n">
        <v>48.8378890392422</v>
      </c>
      <c r="P222" s="10" t="n">
        <v>11.07981308463</v>
      </c>
      <c r="Q222" s="9" t="n">
        <v>0.0705826170009551</v>
      </c>
    </row>
    <row r="223" customFormat="false" ht="15" hidden="false" customHeight="false" outlineLevel="0" collapsed="false">
      <c r="A223" s="6" t="n">
        <v>1712</v>
      </c>
      <c r="B223" s="6" t="s">
        <v>64</v>
      </c>
      <c r="C223" s="6" t="s">
        <v>47</v>
      </c>
      <c r="D223" s="7" t="n">
        <v>45500</v>
      </c>
      <c r="E223" s="7" t="n">
        <v>45527</v>
      </c>
      <c r="F223" s="6" t="s">
        <v>60</v>
      </c>
      <c r="G223" s="6" t="s">
        <v>49</v>
      </c>
      <c r="H223" s="8" t="n">
        <v>1926.38</v>
      </c>
      <c r="I223" s="6" t="n">
        <v>45570</v>
      </c>
      <c r="J223" s="6" t="n">
        <v>585</v>
      </c>
      <c r="K223" s="6" t="n">
        <v>13</v>
      </c>
      <c r="L223" s="8" t="n">
        <v>9858.94</v>
      </c>
      <c r="M223" s="9" t="n">
        <v>0.0128373930217248</v>
      </c>
      <c r="N223" s="8" t="n">
        <v>3.29295726495727</v>
      </c>
      <c r="O223" s="8" t="n">
        <v>148.183076923077</v>
      </c>
      <c r="P223" s="10" t="n">
        <v>5.11785836646975</v>
      </c>
      <c r="Q223" s="9" t="n">
        <v>0.0222222222222222</v>
      </c>
    </row>
    <row r="224" customFormat="false" ht="15" hidden="false" customHeight="false" outlineLevel="0" collapsed="false">
      <c r="A224" s="6" t="n">
        <v>1762</v>
      </c>
      <c r="B224" s="6" t="s">
        <v>58</v>
      </c>
      <c r="C224" s="6" t="s">
        <v>59</v>
      </c>
      <c r="D224" s="7" t="n">
        <v>45404</v>
      </c>
      <c r="E224" s="7" t="n">
        <v>45414</v>
      </c>
      <c r="F224" s="6" t="s">
        <v>48</v>
      </c>
      <c r="G224" s="6" t="s">
        <v>72</v>
      </c>
      <c r="H224" s="8" t="n">
        <v>30235.59</v>
      </c>
      <c r="I224" s="6" t="n">
        <v>919386</v>
      </c>
      <c r="J224" s="6" t="n">
        <v>30922</v>
      </c>
      <c r="K224" s="6" t="n">
        <v>506</v>
      </c>
      <c r="L224" s="8" t="n">
        <v>720372.65</v>
      </c>
      <c r="M224" s="9" t="n">
        <v>0.0336333161479509</v>
      </c>
      <c r="N224" s="8" t="n">
        <v>0.977801888622987</v>
      </c>
      <c r="O224" s="8" t="n">
        <v>59.7541304347826</v>
      </c>
      <c r="P224" s="10" t="n">
        <v>23.8253214175745</v>
      </c>
      <c r="Q224" s="9" t="n">
        <v>0.0163637539615808</v>
      </c>
    </row>
    <row r="225" customFormat="false" ht="15" hidden="false" customHeight="false" outlineLevel="0" collapsed="false">
      <c r="A225" s="6" t="n">
        <v>1368</v>
      </c>
      <c r="B225" s="6" t="s">
        <v>64</v>
      </c>
      <c r="C225" s="6" t="s">
        <v>47</v>
      </c>
      <c r="D225" s="7" t="n">
        <v>45481</v>
      </c>
      <c r="E225" s="7" t="n">
        <v>45504</v>
      </c>
      <c r="F225" s="6" t="s">
        <v>65</v>
      </c>
      <c r="G225" s="6" t="s">
        <v>72</v>
      </c>
      <c r="H225" s="8" t="n">
        <v>5530.65</v>
      </c>
      <c r="I225" s="6" t="n">
        <v>94814</v>
      </c>
      <c r="J225" s="6" t="n">
        <v>1807</v>
      </c>
      <c r="K225" s="6" t="n">
        <v>128</v>
      </c>
      <c r="L225" s="8" t="n">
        <v>225648.49</v>
      </c>
      <c r="M225" s="9" t="n">
        <v>0.0190583669078406</v>
      </c>
      <c r="N225" s="8" t="n">
        <v>3.06068068622025</v>
      </c>
      <c r="O225" s="8" t="n">
        <v>43.208203125</v>
      </c>
      <c r="P225" s="10" t="n">
        <v>40.7996329545352</v>
      </c>
      <c r="Q225" s="9" t="n">
        <v>0.0708356391809629</v>
      </c>
    </row>
    <row r="226" customFormat="false" ht="15" hidden="false" customHeight="false" outlineLevel="0" collapsed="false">
      <c r="A226" s="6" t="n">
        <v>1470</v>
      </c>
      <c r="B226" s="6" t="s">
        <v>58</v>
      </c>
      <c r="C226" s="6" t="s">
        <v>59</v>
      </c>
      <c r="D226" s="7" t="n">
        <v>45331</v>
      </c>
      <c r="E226" s="7" t="n">
        <v>45344</v>
      </c>
      <c r="F226" s="6" t="s">
        <v>65</v>
      </c>
      <c r="G226" s="6" t="s">
        <v>72</v>
      </c>
      <c r="H226" s="8" t="n">
        <v>54860.26</v>
      </c>
      <c r="I226" s="6" t="n">
        <v>1760985</v>
      </c>
      <c r="J226" s="6" t="n">
        <v>30294</v>
      </c>
      <c r="K226" s="6" t="n">
        <v>1001</v>
      </c>
      <c r="L226" s="8" t="n">
        <v>479491.54</v>
      </c>
      <c r="M226" s="9" t="n">
        <v>0.0172028722561521</v>
      </c>
      <c r="N226" s="8" t="n">
        <v>1.81092823661451</v>
      </c>
      <c r="O226" s="8" t="n">
        <v>54.8054545454545</v>
      </c>
      <c r="P226" s="10" t="n">
        <v>8.74023455229705</v>
      </c>
      <c r="Q226" s="9" t="n">
        <v>0.033042846768337</v>
      </c>
    </row>
    <row r="227" customFormat="false" ht="15" hidden="false" customHeight="false" outlineLevel="0" collapsed="false">
      <c r="A227" s="6" t="n">
        <v>1663</v>
      </c>
      <c r="B227" s="6" t="s">
        <v>70</v>
      </c>
      <c r="C227" s="6" t="s">
        <v>59</v>
      </c>
      <c r="D227" s="7" t="n">
        <v>45606</v>
      </c>
      <c r="E227" s="7" t="n">
        <v>45614</v>
      </c>
      <c r="F227" s="6" t="s">
        <v>67</v>
      </c>
      <c r="G227" s="6" t="s">
        <v>54</v>
      </c>
      <c r="H227" s="8" t="n">
        <v>31966.76</v>
      </c>
      <c r="I227" s="6" t="n">
        <v>627049</v>
      </c>
      <c r="J227" s="6" t="n">
        <v>15538</v>
      </c>
      <c r="K227" s="6" t="n">
        <v>512</v>
      </c>
      <c r="L227" s="8" t="n">
        <v>902265.49</v>
      </c>
      <c r="M227" s="9" t="n">
        <v>0.0247795626817043</v>
      </c>
      <c r="N227" s="8" t="n">
        <v>2.05732784142103</v>
      </c>
      <c r="O227" s="8" t="n">
        <v>62.435078125</v>
      </c>
      <c r="P227" s="10" t="n">
        <v>28.2251154011229</v>
      </c>
      <c r="Q227" s="9" t="n">
        <v>0.0329514738061527</v>
      </c>
    </row>
    <row r="228" customFormat="false" ht="15" hidden="false" customHeight="false" outlineLevel="0" collapsed="false">
      <c r="A228" s="6" t="n">
        <v>1324</v>
      </c>
      <c r="B228" s="6" t="s">
        <v>78</v>
      </c>
      <c r="C228" s="6" t="s">
        <v>47</v>
      </c>
      <c r="D228" s="7" t="n">
        <v>45577</v>
      </c>
      <c r="E228" s="7" t="n">
        <v>45606</v>
      </c>
      <c r="F228" s="6" t="s">
        <v>53</v>
      </c>
      <c r="G228" s="6" t="s">
        <v>54</v>
      </c>
      <c r="H228" s="8" t="n">
        <v>4622.07</v>
      </c>
      <c r="I228" s="6" t="n">
        <v>147271</v>
      </c>
      <c r="J228" s="6" t="n">
        <v>1699</v>
      </c>
      <c r="K228" s="6" t="n">
        <v>59</v>
      </c>
      <c r="L228" s="8" t="n">
        <v>41101.79</v>
      </c>
      <c r="M228" s="9" t="n">
        <v>0.0115365550583618</v>
      </c>
      <c r="N228" s="8" t="n">
        <v>2.72046497939965</v>
      </c>
      <c r="O228" s="8" t="n">
        <v>78.3401694915254</v>
      </c>
      <c r="P228" s="10" t="n">
        <v>8.8925070368904</v>
      </c>
      <c r="Q228" s="9" t="n">
        <v>0.0347263095938788</v>
      </c>
    </row>
    <row r="229" customFormat="false" ht="15" hidden="false" customHeight="false" outlineLevel="0" collapsed="false">
      <c r="A229" s="6" t="n">
        <v>1655</v>
      </c>
      <c r="B229" s="6" t="s">
        <v>76</v>
      </c>
      <c r="C229" s="6" t="s">
        <v>50</v>
      </c>
      <c r="D229" s="7" t="n">
        <v>45388</v>
      </c>
      <c r="E229" s="7" t="n">
        <v>45417</v>
      </c>
      <c r="F229" s="6" t="s">
        <v>56</v>
      </c>
      <c r="G229" s="6" t="s">
        <v>57</v>
      </c>
      <c r="H229" s="8" t="n">
        <v>24430.09</v>
      </c>
      <c r="I229" s="6" t="n">
        <v>477355</v>
      </c>
      <c r="J229" s="6" t="n">
        <v>2762</v>
      </c>
      <c r="K229" s="6" t="n">
        <v>143</v>
      </c>
      <c r="L229" s="8" t="n">
        <v>225198.2</v>
      </c>
      <c r="M229" s="9" t="n">
        <v>0.00578605021420117</v>
      </c>
      <c r="N229" s="8" t="n">
        <v>8.84507241129616</v>
      </c>
      <c r="O229" s="8" t="n">
        <v>170.83979020979</v>
      </c>
      <c r="P229" s="10" t="n">
        <v>9.21806673655316</v>
      </c>
      <c r="Q229" s="9" t="n">
        <v>0.0517740767559739</v>
      </c>
    </row>
    <row r="230" customFormat="false" ht="15" hidden="false" customHeight="false" outlineLevel="0" collapsed="false">
      <c r="A230" s="6" t="n">
        <v>1431</v>
      </c>
      <c r="B230" s="6" t="s">
        <v>64</v>
      </c>
      <c r="C230" s="6" t="s">
        <v>47</v>
      </c>
      <c r="D230" s="7" t="n">
        <v>45373</v>
      </c>
      <c r="E230" s="7" t="n">
        <v>45397</v>
      </c>
      <c r="F230" s="6" t="s">
        <v>51</v>
      </c>
      <c r="G230" s="6" t="s">
        <v>61</v>
      </c>
      <c r="H230" s="8" t="n">
        <v>7574.08</v>
      </c>
      <c r="I230" s="6" t="n">
        <v>224853</v>
      </c>
      <c r="J230" s="6" t="n">
        <v>4513</v>
      </c>
      <c r="K230" s="6" t="n">
        <v>261</v>
      </c>
      <c r="L230" s="8" t="n">
        <v>110861.2</v>
      </c>
      <c r="M230" s="9" t="n">
        <v>0.0200708907597408</v>
      </c>
      <c r="N230" s="8" t="n">
        <v>1.67828052293375</v>
      </c>
      <c r="O230" s="8" t="n">
        <v>29.0194636015326</v>
      </c>
      <c r="P230" s="10" t="n">
        <v>14.6369195994761</v>
      </c>
      <c r="Q230" s="9" t="n">
        <v>0.0578329270994904</v>
      </c>
    </row>
    <row r="231" customFormat="false" ht="15" hidden="false" customHeight="false" outlineLevel="0" collapsed="false">
      <c r="A231" s="6" t="n">
        <v>1359</v>
      </c>
      <c r="B231" s="6" t="s">
        <v>78</v>
      </c>
      <c r="C231" s="6" t="s">
        <v>47</v>
      </c>
      <c r="D231" s="7" t="n">
        <v>45478</v>
      </c>
      <c r="E231" s="7" t="n">
        <v>45504</v>
      </c>
      <c r="F231" s="6" t="s">
        <v>60</v>
      </c>
      <c r="G231" s="6" t="s">
        <v>57</v>
      </c>
      <c r="H231" s="8" t="n">
        <v>7200.04</v>
      </c>
      <c r="I231" s="6" t="n">
        <v>179442</v>
      </c>
      <c r="J231" s="6" t="n">
        <v>5418</v>
      </c>
      <c r="K231" s="6" t="n">
        <v>373</v>
      </c>
      <c r="L231" s="8" t="n">
        <v>258212.86</v>
      </c>
      <c r="M231" s="9" t="n">
        <v>0.0301936001604975</v>
      </c>
      <c r="N231" s="8" t="n">
        <v>1.32891103728313</v>
      </c>
      <c r="O231" s="8" t="n">
        <v>19.3030563002681</v>
      </c>
      <c r="P231" s="10" t="n">
        <v>35.8626979850112</v>
      </c>
      <c r="Q231" s="9" t="n">
        <v>0.0688445921004061</v>
      </c>
    </row>
    <row r="232" customFormat="false" ht="15" hidden="false" customHeight="false" outlineLevel="0" collapsed="false">
      <c r="A232" s="6" t="n">
        <v>1420</v>
      </c>
      <c r="B232" s="6" t="s">
        <v>79</v>
      </c>
      <c r="C232" s="6" t="s">
        <v>71</v>
      </c>
      <c r="D232" s="7" t="n">
        <v>45383</v>
      </c>
      <c r="E232" s="7" t="n">
        <v>45394</v>
      </c>
      <c r="F232" s="6" t="s">
        <v>65</v>
      </c>
      <c r="G232" s="6" t="s">
        <v>72</v>
      </c>
      <c r="H232" s="8" t="n">
        <v>17156.03</v>
      </c>
      <c r="I232" s="6" t="n">
        <v>369621</v>
      </c>
      <c r="J232" s="6" t="n">
        <v>2970</v>
      </c>
      <c r="K232" s="6" t="n">
        <v>202</v>
      </c>
      <c r="L232" s="8" t="n">
        <v>110898.63</v>
      </c>
      <c r="M232" s="9" t="n">
        <v>0.00803525773697923</v>
      </c>
      <c r="N232" s="8" t="n">
        <v>5.77644107744108</v>
      </c>
      <c r="O232" s="8" t="n">
        <v>84.9308415841584</v>
      </c>
      <c r="P232" s="10" t="n">
        <v>6.46411961275423</v>
      </c>
      <c r="Q232" s="9" t="n">
        <v>0.068013468013468</v>
      </c>
    </row>
    <row r="233" customFormat="false" ht="15" hidden="false" customHeight="false" outlineLevel="0" collapsed="false">
      <c r="A233" s="6" t="n">
        <v>1302</v>
      </c>
      <c r="B233" s="6" t="s">
        <v>70</v>
      </c>
      <c r="C233" s="6" t="s">
        <v>47</v>
      </c>
      <c r="D233" s="7" t="n">
        <v>45323</v>
      </c>
      <c r="E233" s="7" t="n">
        <v>45348</v>
      </c>
      <c r="F233" s="6" t="s">
        <v>67</v>
      </c>
      <c r="G233" s="6" t="s">
        <v>57</v>
      </c>
      <c r="H233" s="8" t="n">
        <v>5046.99</v>
      </c>
      <c r="I233" s="6" t="n">
        <v>147985</v>
      </c>
      <c r="J233" s="6" t="n">
        <v>3653</v>
      </c>
      <c r="K233" s="6" t="n">
        <v>111</v>
      </c>
      <c r="L233" s="8" t="n">
        <v>110861.2</v>
      </c>
      <c r="M233" s="9" t="n">
        <v>0.0246849342838801</v>
      </c>
      <c r="N233" s="8" t="n">
        <v>1.38160142348754</v>
      </c>
      <c r="O233" s="8" t="n">
        <v>45.4683783783784</v>
      </c>
      <c r="P233" s="10" t="n">
        <v>21.9658053612153</v>
      </c>
      <c r="Q233" s="9" t="n">
        <v>0.0303859841226389</v>
      </c>
    </row>
    <row r="234" customFormat="false" ht="15" hidden="false" customHeight="false" outlineLevel="0" collapsed="false">
      <c r="A234" s="6" t="n">
        <v>1643</v>
      </c>
      <c r="B234" s="6" t="s">
        <v>76</v>
      </c>
      <c r="C234" s="6" t="s">
        <v>71</v>
      </c>
      <c r="D234" s="7" t="n">
        <v>45598</v>
      </c>
      <c r="E234" s="7" t="n">
        <v>45618</v>
      </c>
      <c r="F234" s="6" t="s">
        <v>65</v>
      </c>
      <c r="G234" s="6" t="s">
        <v>61</v>
      </c>
      <c r="H234" s="8" t="n">
        <v>37605.12</v>
      </c>
      <c r="I234" s="6" t="n">
        <v>1110961</v>
      </c>
      <c r="J234" s="6" t="n">
        <v>34255</v>
      </c>
      <c r="K234" s="6" t="n">
        <v>609</v>
      </c>
      <c r="L234" s="8" t="n">
        <v>995989.26</v>
      </c>
      <c r="M234" s="9" t="n">
        <v>0.0308336656282264</v>
      </c>
      <c r="N234" s="8" t="n">
        <v>1.09779944533645</v>
      </c>
      <c r="O234" s="8" t="n">
        <v>61.7489655172414</v>
      </c>
      <c r="P234" s="10" t="n">
        <v>26.4854695318084</v>
      </c>
      <c r="Q234" s="9" t="n">
        <v>0.0177784265070793</v>
      </c>
    </row>
    <row r="235" customFormat="false" ht="15" hidden="false" customHeight="false" outlineLevel="0" collapsed="false">
      <c r="A235" s="6" t="n">
        <v>1313</v>
      </c>
      <c r="B235" s="6" t="s">
        <v>62</v>
      </c>
      <c r="C235" s="6" t="s">
        <v>47</v>
      </c>
      <c r="D235" s="7" t="n">
        <v>45568</v>
      </c>
      <c r="E235" s="7" t="n">
        <v>45593</v>
      </c>
      <c r="F235" s="6" t="s">
        <v>53</v>
      </c>
      <c r="G235" s="6" t="s">
        <v>57</v>
      </c>
      <c r="H235" s="8" t="n">
        <v>4497.79</v>
      </c>
      <c r="I235" s="6" t="n">
        <v>175970</v>
      </c>
      <c r="J235" s="6" t="n">
        <v>5165</v>
      </c>
      <c r="K235" s="6" t="n">
        <v>401</v>
      </c>
      <c r="L235" s="8" t="n">
        <v>149896.41</v>
      </c>
      <c r="M235" s="9" t="n">
        <v>0.0293515940217082</v>
      </c>
      <c r="N235" s="8" t="n">
        <v>0.870820909970958</v>
      </c>
      <c r="O235" s="8" t="n">
        <v>11.216433915212</v>
      </c>
      <c r="P235" s="10" t="n">
        <v>33.3266804363921</v>
      </c>
      <c r="Q235" s="9" t="n">
        <v>0.0776379477250726</v>
      </c>
    </row>
    <row r="236" customFormat="false" ht="15" hidden="false" customHeight="false" outlineLevel="0" collapsed="false">
      <c r="A236" s="6" t="n">
        <v>1062</v>
      </c>
      <c r="B236" s="6" t="s">
        <v>66</v>
      </c>
      <c r="C236" s="6" t="s">
        <v>47</v>
      </c>
      <c r="D236" s="7" t="n">
        <v>45592</v>
      </c>
      <c r="E236" s="7" t="n">
        <v>45614</v>
      </c>
      <c r="F236" s="6" t="s">
        <v>69</v>
      </c>
      <c r="G236" s="6" t="s">
        <v>54</v>
      </c>
      <c r="H236" s="8" t="n">
        <v>3307.52</v>
      </c>
      <c r="I236" s="6" t="n">
        <v>59719</v>
      </c>
      <c r="J236" s="6" t="n">
        <v>932</v>
      </c>
      <c r="K236" s="6" t="n">
        <v>52</v>
      </c>
      <c r="L236" s="8" t="n">
        <v>74771.43</v>
      </c>
      <c r="M236" s="9" t="n">
        <v>0.0156064234163332</v>
      </c>
      <c r="N236" s="8" t="n">
        <v>3.54884120171674</v>
      </c>
      <c r="O236" s="8" t="n">
        <v>63.6061538461538</v>
      </c>
      <c r="P236" s="10" t="n">
        <v>22.606493687113</v>
      </c>
      <c r="Q236" s="9" t="n">
        <v>0.055793991416309</v>
      </c>
    </row>
    <row r="237" customFormat="false" ht="15" hidden="false" customHeight="false" outlineLevel="0" collapsed="false">
      <c r="A237" s="6" t="n">
        <v>1777</v>
      </c>
      <c r="B237" s="6" t="s">
        <v>78</v>
      </c>
      <c r="C237" s="6" t="s">
        <v>63</v>
      </c>
      <c r="D237" s="7" t="n">
        <v>45369</v>
      </c>
      <c r="E237" s="7" t="n">
        <v>45387</v>
      </c>
      <c r="F237" s="6" t="s">
        <v>60</v>
      </c>
      <c r="G237" s="6" t="s">
        <v>61</v>
      </c>
      <c r="H237" s="8" t="n">
        <v>31000.22</v>
      </c>
      <c r="I237" s="6" t="n">
        <v>1232589</v>
      </c>
      <c r="J237" s="6" t="n">
        <v>13951</v>
      </c>
      <c r="K237" s="6" t="n">
        <v>1107</v>
      </c>
      <c r="L237" s="8" t="n">
        <v>796455.55</v>
      </c>
      <c r="M237" s="9" t="n">
        <v>0.0113184524606337</v>
      </c>
      <c r="N237" s="8" t="n">
        <v>2.22207870403555</v>
      </c>
      <c r="O237" s="8" t="n">
        <v>28.0038121047877</v>
      </c>
      <c r="P237" s="10" t="n">
        <v>25.6919321862877</v>
      </c>
      <c r="Q237" s="9" t="n">
        <v>0.0793491505985234</v>
      </c>
    </row>
    <row r="238" customFormat="false" ht="15" hidden="false" customHeight="false" outlineLevel="0" collapsed="false">
      <c r="A238" s="6" t="n">
        <v>1139</v>
      </c>
      <c r="B238" s="6" t="s">
        <v>74</v>
      </c>
      <c r="C238" s="6" t="s">
        <v>50</v>
      </c>
      <c r="D238" s="7" t="n">
        <v>45344</v>
      </c>
      <c r="E238" s="7" t="n">
        <v>45372</v>
      </c>
      <c r="F238" s="6" t="s">
        <v>60</v>
      </c>
      <c r="G238" s="6" t="s">
        <v>49</v>
      </c>
      <c r="H238" s="8" t="n">
        <v>62594.18</v>
      </c>
      <c r="I238" s="6" t="n">
        <v>1404783</v>
      </c>
      <c r="J238" s="6" t="n">
        <v>49138</v>
      </c>
      <c r="K238" s="6" t="n">
        <v>2038</v>
      </c>
      <c r="L238" s="8" t="n">
        <v>1743379.82</v>
      </c>
      <c r="M238" s="9" t="n">
        <v>0.0349790679414543</v>
      </c>
      <c r="N238" s="8" t="n">
        <v>1.27384468232325</v>
      </c>
      <c r="O238" s="8" t="n">
        <v>30.713532875368</v>
      </c>
      <c r="P238" s="10" t="n">
        <v>27.8521073364968</v>
      </c>
      <c r="Q238" s="9" t="n">
        <v>0.0414750295087305</v>
      </c>
    </row>
    <row r="239" customFormat="false" ht="15" hidden="false" customHeight="false" outlineLevel="0" collapsed="false">
      <c r="A239" s="6" t="n">
        <v>1103</v>
      </c>
      <c r="B239" s="6" t="s">
        <v>46</v>
      </c>
      <c r="C239" s="6" t="s">
        <v>47</v>
      </c>
      <c r="D239" s="7" t="n">
        <v>45625</v>
      </c>
      <c r="E239" s="7" t="n">
        <v>45648</v>
      </c>
      <c r="F239" s="6" t="s">
        <v>53</v>
      </c>
      <c r="G239" s="6" t="s">
        <v>72</v>
      </c>
      <c r="H239" s="8" t="n">
        <v>4746.07</v>
      </c>
      <c r="I239" s="6" t="n">
        <v>156990</v>
      </c>
      <c r="J239" s="6" t="n">
        <v>5196</v>
      </c>
      <c r="K239" s="6" t="n">
        <v>384</v>
      </c>
      <c r="L239" s="8" t="n">
        <v>231876.07</v>
      </c>
      <c r="M239" s="9" t="n">
        <v>0.0330976495318173</v>
      </c>
      <c r="N239" s="8" t="n">
        <v>0.913408391070054</v>
      </c>
      <c r="O239" s="8" t="n">
        <v>12.3595572916667</v>
      </c>
      <c r="P239" s="10" t="n">
        <v>48.8564370099893</v>
      </c>
      <c r="Q239" s="9" t="n">
        <v>0.0739030023094688</v>
      </c>
    </row>
    <row r="240" customFormat="false" ht="15" hidden="false" customHeight="false" outlineLevel="0" collapsed="false">
      <c r="A240" s="6" t="n">
        <v>1069</v>
      </c>
      <c r="B240" s="6" t="s">
        <v>68</v>
      </c>
      <c r="C240" s="6" t="s">
        <v>59</v>
      </c>
      <c r="D240" s="7" t="n">
        <v>45412</v>
      </c>
      <c r="E240" s="7" t="n">
        <v>45420</v>
      </c>
      <c r="F240" s="6" t="s">
        <v>56</v>
      </c>
      <c r="G240" s="6" t="s">
        <v>72</v>
      </c>
      <c r="H240" s="8" t="n">
        <v>34197.62</v>
      </c>
      <c r="I240" s="6" t="n">
        <v>661295</v>
      </c>
      <c r="J240" s="6" t="n">
        <v>6339</v>
      </c>
      <c r="K240" s="6" t="n">
        <v>400</v>
      </c>
      <c r="L240" s="8" t="n">
        <v>183704.9</v>
      </c>
      <c r="M240" s="9" t="n">
        <v>0.00958573707649385</v>
      </c>
      <c r="N240" s="8" t="n">
        <v>5.39479728663827</v>
      </c>
      <c r="O240" s="8" t="n">
        <v>85.49405</v>
      </c>
      <c r="P240" s="10" t="n">
        <v>5.37186213543516</v>
      </c>
      <c r="Q240" s="9" t="n">
        <v>0.0631014355576589</v>
      </c>
    </row>
    <row r="241" customFormat="false" ht="15" hidden="false" customHeight="false" outlineLevel="0" collapsed="false">
      <c r="A241" s="6" t="n">
        <v>1605</v>
      </c>
      <c r="B241" s="6" t="s">
        <v>78</v>
      </c>
      <c r="C241" s="6" t="s">
        <v>50</v>
      </c>
      <c r="D241" s="7" t="n">
        <v>45487</v>
      </c>
      <c r="E241" s="7" t="n">
        <v>45503</v>
      </c>
      <c r="F241" s="6" t="s">
        <v>65</v>
      </c>
      <c r="G241" s="6" t="s">
        <v>72</v>
      </c>
      <c r="H241" s="8" t="n">
        <v>75323.47</v>
      </c>
      <c r="I241" s="6" t="n">
        <v>3004348</v>
      </c>
      <c r="J241" s="6" t="n">
        <v>32672</v>
      </c>
      <c r="K241" s="6" t="n">
        <v>1152</v>
      </c>
      <c r="L241" s="8" t="n">
        <v>728741.93</v>
      </c>
      <c r="M241" s="9" t="n">
        <v>0.0108749053039129</v>
      </c>
      <c r="N241" s="8" t="n">
        <v>2.30544411116552</v>
      </c>
      <c r="O241" s="8" t="n">
        <v>65.3849565972222</v>
      </c>
      <c r="P241" s="10" t="n">
        <v>9.67483216054704</v>
      </c>
      <c r="Q241" s="9" t="n">
        <v>0.0352595494613124</v>
      </c>
    </row>
    <row r="242" customFormat="false" ht="15" hidden="false" customHeight="false" outlineLevel="0" collapsed="false">
      <c r="A242" s="6" t="n">
        <v>1727</v>
      </c>
      <c r="B242" s="6" t="s">
        <v>76</v>
      </c>
      <c r="C242" s="6" t="s">
        <v>71</v>
      </c>
      <c r="D242" s="7" t="n">
        <v>45452</v>
      </c>
      <c r="E242" s="7" t="n">
        <v>45460</v>
      </c>
      <c r="F242" s="6" t="s">
        <v>51</v>
      </c>
      <c r="G242" s="6" t="s">
        <v>49</v>
      </c>
      <c r="H242" s="8" t="n">
        <v>32762.45</v>
      </c>
      <c r="I242" s="6" t="n">
        <v>632421</v>
      </c>
      <c r="J242" s="6" t="n">
        <v>14669</v>
      </c>
      <c r="K242" s="6" t="n">
        <v>439</v>
      </c>
      <c r="L242" s="8" t="n">
        <v>526974.06</v>
      </c>
      <c r="M242" s="9" t="n">
        <v>0.0231949919436578</v>
      </c>
      <c r="N242" s="8" t="n">
        <v>2.23344808780421</v>
      </c>
      <c r="O242" s="8" t="n">
        <v>74.6297266514806</v>
      </c>
      <c r="P242" s="10" t="n">
        <v>16.0846963520738</v>
      </c>
      <c r="Q242" s="9" t="n">
        <v>0.0299270570591042</v>
      </c>
    </row>
    <row r="243" customFormat="false" ht="15" hidden="false" customHeight="false" outlineLevel="0" collapsed="false">
      <c r="A243" s="6" t="n">
        <v>1445</v>
      </c>
      <c r="B243" s="6" t="s">
        <v>68</v>
      </c>
      <c r="C243" s="6" t="s">
        <v>47</v>
      </c>
      <c r="D243" s="7" t="n">
        <v>45510</v>
      </c>
      <c r="E243" s="7" t="n">
        <v>45517</v>
      </c>
      <c r="F243" s="6" t="s">
        <v>60</v>
      </c>
      <c r="G243" s="6" t="s">
        <v>75</v>
      </c>
      <c r="H243" s="8" t="n">
        <v>5166.28</v>
      </c>
      <c r="I243" s="6" t="n">
        <v>97229</v>
      </c>
      <c r="J243" s="6" t="n">
        <v>2605</v>
      </c>
      <c r="K243" s="6" t="n">
        <v>72</v>
      </c>
      <c r="L243" s="8" t="n">
        <v>73605.19</v>
      </c>
      <c r="M243" s="9" t="n">
        <v>0.0267924179000093</v>
      </c>
      <c r="N243" s="8" t="n">
        <v>1.98321689059501</v>
      </c>
      <c r="O243" s="8" t="n">
        <v>71.7538888888889</v>
      </c>
      <c r="P243" s="10" t="n">
        <v>14.2472320509148</v>
      </c>
      <c r="Q243" s="9" t="n">
        <v>0.0276391554702495</v>
      </c>
    </row>
    <row r="244" customFormat="false" ht="15" hidden="false" customHeight="false" outlineLevel="0" collapsed="false">
      <c r="A244" s="6" t="n">
        <v>1065</v>
      </c>
      <c r="B244" s="6" t="s">
        <v>76</v>
      </c>
      <c r="C244" s="6" t="s">
        <v>47</v>
      </c>
      <c r="D244" s="7" t="n">
        <v>45371</v>
      </c>
      <c r="E244" s="7" t="n">
        <v>45381</v>
      </c>
      <c r="F244" s="6" t="s">
        <v>69</v>
      </c>
      <c r="G244" s="6" t="s">
        <v>72</v>
      </c>
      <c r="H244" s="8" t="n">
        <v>1348.34</v>
      </c>
      <c r="I244" s="6" t="n">
        <v>22975</v>
      </c>
      <c r="J244" s="6" t="n">
        <v>420</v>
      </c>
      <c r="K244" s="6" t="n">
        <v>16</v>
      </c>
      <c r="L244" s="8" t="n">
        <v>19684.16</v>
      </c>
      <c r="M244" s="9" t="n">
        <v>0.0182807399347116</v>
      </c>
      <c r="N244" s="8" t="n">
        <v>3.21033333333333</v>
      </c>
      <c r="O244" s="8" t="n">
        <v>84.27125</v>
      </c>
      <c r="P244" s="10" t="n">
        <v>14.598810389071</v>
      </c>
      <c r="Q244" s="9" t="n">
        <v>0.0380952380952381</v>
      </c>
    </row>
    <row r="245" customFormat="false" ht="15" hidden="false" customHeight="false" outlineLevel="0" collapsed="false">
      <c r="A245" s="6" t="n">
        <v>1589</v>
      </c>
      <c r="B245" s="6" t="s">
        <v>68</v>
      </c>
      <c r="C245" s="6" t="s">
        <v>59</v>
      </c>
      <c r="D245" s="7" t="n">
        <v>45458</v>
      </c>
      <c r="E245" s="7" t="n">
        <v>45470</v>
      </c>
      <c r="F245" s="6" t="s">
        <v>51</v>
      </c>
      <c r="G245" s="6" t="s">
        <v>54</v>
      </c>
      <c r="H245" s="8" t="n">
        <v>46864.9</v>
      </c>
      <c r="I245" s="6" t="n">
        <v>909406</v>
      </c>
      <c r="J245" s="6" t="n">
        <v>30637</v>
      </c>
      <c r="K245" s="6" t="n">
        <v>1723</v>
      </c>
      <c r="L245" s="8" t="n">
        <v>1471422.93</v>
      </c>
      <c r="M245" s="9" t="n">
        <v>0.0336890233844949</v>
      </c>
      <c r="N245" s="8" t="n">
        <v>1.52968306296308</v>
      </c>
      <c r="O245" s="8" t="n">
        <v>27.199593731863</v>
      </c>
      <c r="P245" s="10" t="n">
        <v>31.3971208729774</v>
      </c>
      <c r="Q245" s="9" t="n">
        <v>0.0562391879100434</v>
      </c>
    </row>
    <row r="246" customFormat="false" ht="15" hidden="false" customHeight="false" outlineLevel="0" collapsed="false">
      <c r="A246" s="6" t="n">
        <v>1348</v>
      </c>
      <c r="B246" s="6" t="s">
        <v>66</v>
      </c>
      <c r="C246" s="6" t="s">
        <v>59</v>
      </c>
      <c r="D246" s="7" t="n">
        <v>45621</v>
      </c>
      <c r="E246" s="7" t="n">
        <v>45638</v>
      </c>
      <c r="F246" s="6" t="s">
        <v>67</v>
      </c>
      <c r="G246" s="6" t="s">
        <v>49</v>
      </c>
      <c r="H246" s="8" t="n">
        <v>50686.97</v>
      </c>
      <c r="I246" s="6" t="n">
        <v>1524620</v>
      </c>
      <c r="J246" s="6" t="n">
        <v>26121</v>
      </c>
      <c r="K246" s="6" t="n">
        <v>1147</v>
      </c>
      <c r="L246" s="8" t="n">
        <v>865286.96</v>
      </c>
      <c r="M246" s="9" t="n">
        <v>0.0171327937453267</v>
      </c>
      <c r="N246" s="8" t="n">
        <v>1.94046820565828</v>
      </c>
      <c r="O246" s="8" t="n">
        <v>44.1909067131648</v>
      </c>
      <c r="P246" s="10" t="n">
        <v>17.0711912746017</v>
      </c>
      <c r="Q246" s="9" t="n">
        <v>0.0439110294399143</v>
      </c>
    </row>
    <row r="247" customFormat="false" ht="15" hidden="false" customHeight="false" outlineLevel="0" collapsed="false">
      <c r="A247" s="6" t="n">
        <v>1726</v>
      </c>
      <c r="B247" s="6" t="s">
        <v>58</v>
      </c>
      <c r="C247" s="6" t="s">
        <v>63</v>
      </c>
      <c r="D247" s="7" t="n">
        <v>45419</v>
      </c>
      <c r="E247" s="7" t="n">
        <v>45449</v>
      </c>
      <c r="F247" s="6" t="s">
        <v>67</v>
      </c>
      <c r="G247" s="6" t="s">
        <v>61</v>
      </c>
      <c r="H247" s="8" t="n">
        <v>24611.62</v>
      </c>
      <c r="I247" s="6" t="n">
        <v>872842</v>
      </c>
      <c r="J247" s="6" t="n">
        <v>4649</v>
      </c>
      <c r="K247" s="6" t="n">
        <v>131</v>
      </c>
      <c r="L247" s="8" t="n">
        <v>455011.26</v>
      </c>
      <c r="M247" s="9" t="n">
        <v>0.00532627898290871</v>
      </c>
      <c r="N247" s="8" t="n">
        <v>5.293959991396</v>
      </c>
      <c r="O247" s="8" t="n">
        <v>187.874961832061</v>
      </c>
      <c r="P247" s="10" t="n">
        <v>18.487659893985</v>
      </c>
      <c r="Q247" s="9" t="n">
        <v>0.0281781028178103</v>
      </c>
    </row>
    <row r="248" customFormat="false" ht="15" hidden="false" customHeight="false" outlineLevel="0" collapsed="false">
      <c r="A248" s="6" t="n">
        <v>1723</v>
      </c>
      <c r="B248" s="6" t="s">
        <v>55</v>
      </c>
      <c r="C248" s="6" t="s">
        <v>63</v>
      </c>
      <c r="D248" s="7" t="n">
        <v>45587</v>
      </c>
      <c r="E248" s="7" t="n">
        <v>45617</v>
      </c>
      <c r="F248" s="6" t="s">
        <v>48</v>
      </c>
      <c r="G248" s="6" t="s">
        <v>72</v>
      </c>
      <c r="H248" s="8" t="n">
        <v>36726.5</v>
      </c>
      <c r="I248" s="6" t="n">
        <v>1378947</v>
      </c>
      <c r="J248" s="6" t="n">
        <v>46834</v>
      </c>
      <c r="K248" s="6" t="n">
        <v>3030</v>
      </c>
      <c r="L248" s="8" t="n">
        <v>3574790.04</v>
      </c>
      <c r="M248" s="9" t="n">
        <v>0.033963596860503</v>
      </c>
      <c r="N248" s="8" t="n">
        <v>0.784184566767733</v>
      </c>
      <c r="O248" s="8" t="n">
        <v>12.1209570957096</v>
      </c>
      <c r="P248" s="10" t="n">
        <v>97.3354400773284</v>
      </c>
      <c r="Q248" s="9" t="n">
        <v>0.064696587948926</v>
      </c>
    </row>
    <row r="249" customFormat="false" ht="15" hidden="false" customHeight="false" outlineLevel="0" collapsed="false">
      <c r="A249" s="6" t="n">
        <v>1606</v>
      </c>
      <c r="B249" s="6" t="s">
        <v>73</v>
      </c>
      <c r="C249" s="6" t="s">
        <v>50</v>
      </c>
      <c r="D249" s="7" t="n">
        <v>45432</v>
      </c>
      <c r="E249" s="7" t="n">
        <v>45457</v>
      </c>
      <c r="F249" s="6" t="s">
        <v>67</v>
      </c>
      <c r="G249" s="6" t="s">
        <v>72</v>
      </c>
      <c r="H249" s="8" t="n">
        <v>77979.85</v>
      </c>
      <c r="I249" s="6" t="n">
        <v>2774768</v>
      </c>
      <c r="J249" s="6" t="n">
        <v>85728</v>
      </c>
      <c r="K249" s="6" t="n">
        <v>6423</v>
      </c>
      <c r="L249" s="8" t="n">
        <v>11535616.71</v>
      </c>
      <c r="M249" s="9" t="n">
        <v>0.030895555952786</v>
      </c>
      <c r="N249" s="8" t="n">
        <v>0.909619377566256</v>
      </c>
      <c r="O249" s="8" t="n">
        <v>12.1407208469563</v>
      </c>
      <c r="P249" s="10" t="n">
        <v>147.930737363563</v>
      </c>
      <c r="Q249" s="9" t="n">
        <v>0.0749230123180291</v>
      </c>
    </row>
    <row r="250" customFormat="false" ht="15" hidden="false" customHeight="false" outlineLevel="0" collapsed="false">
      <c r="A250" s="6" t="n">
        <v>1081</v>
      </c>
      <c r="B250" s="6" t="s">
        <v>78</v>
      </c>
      <c r="C250" s="6" t="s">
        <v>59</v>
      </c>
      <c r="D250" s="7" t="n">
        <v>45474</v>
      </c>
      <c r="E250" s="7" t="n">
        <v>45504</v>
      </c>
      <c r="F250" s="6" t="s">
        <v>69</v>
      </c>
      <c r="G250" s="6" t="s">
        <v>49</v>
      </c>
      <c r="H250" s="8" t="n">
        <v>40860.19</v>
      </c>
      <c r="I250" s="6" t="n">
        <v>1361605</v>
      </c>
      <c r="J250" s="6" t="n">
        <v>32471</v>
      </c>
      <c r="K250" s="6" t="n">
        <v>2078</v>
      </c>
      <c r="L250" s="8" t="n">
        <v>2942491.9</v>
      </c>
      <c r="M250" s="9" t="n">
        <v>0.0238475916289967</v>
      </c>
      <c r="N250" s="8" t="n">
        <v>1.25835945920976</v>
      </c>
      <c r="O250" s="8" t="n">
        <v>19.66322906641</v>
      </c>
      <c r="P250" s="10" t="n">
        <v>72.0136617083768</v>
      </c>
      <c r="Q250" s="9" t="n">
        <v>0.0639955652736288</v>
      </c>
    </row>
    <row r="251" customFormat="false" ht="15" hidden="false" customHeight="false" outlineLevel="0" collapsed="false">
      <c r="A251" s="6" t="n">
        <v>1412</v>
      </c>
      <c r="B251" s="6" t="s">
        <v>76</v>
      </c>
      <c r="C251" s="6" t="s">
        <v>47</v>
      </c>
      <c r="D251" s="7" t="n">
        <v>45407</v>
      </c>
      <c r="E251" s="7" t="n">
        <v>45434</v>
      </c>
      <c r="F251" s="6" t="s">
        <v>69</v>
      </c>
      <c r="G251" s="6" t="s">
        <v>72</v>
      </c>
      <c r="H251" s="8" t="n">
        <v>7704.43</v>
      </c>
      <c r="I251" s="6" t="n">
        <v>292189</v>
      </c>
      <c r="J251" s="6" t="n">
        <v>3186</v>
      </c>
      <c r="K251" s="6" t="n">
        <v>105</v>
      </c>
      <c r="L251" s="8" t="n">
        <v>46318.02</v>
      </c>
      <c r="M251" s="9" t="n">
        <v>0.0109039012420043</v>
      </c>
      <c r="N251" s="8" t="n">
        <v>2.41821406151915</v>
      </c>
      <c r="O251" s="8" t="n">
        <v>73.3755238095238</v>
      </c>
      <c r="P251" s="10" t="n">
        <v>6.01186849643647</v>
      </c>
      <c r="Q251" s="9" t="n">
        <v>0.0329566854990584</v>
      </c>
    </row>
    <row r="252" customFormat="false" ht="15" hidden="false" customHeight="false" outlineLevel="0" collapsed="false">
      <c r="A252" s="6" t="n">
        <v>1556</v>
      </c>
      <c r="B252" s="6" t="s">
        <v>64</v>
      </c>
      <c r="C252" s="6" t="s">
        <v>71</v>
      </c>
      <c r="D252" s="7" t="n">
        <v>45358</v>
      </c>
      <c r="E252" s="7" t="n">
        <v>45385</v>
      </c>
      <c r="F252" s="6" t="s">
        <v>67</v>
      </c>
      <c r="G252" s="6" t="s">
        <v>61</v>
      </c>
      <c r="H252" s="8" t="n">
        <v>38620.31</v>
      </c>
      <c r="I252" s="6" t="n">
        <v>1139998</v>
      </c>
      <c r="J252" s="6" t="n">
        <v>25689</v>
      </c>
      <c r="K252" s="6" t="n">
        <v>1749</v>
      </c>
      <c r="L252" s="8" t="n">
        <v>581395.83</v>
      </c>
      <c r="M252" s="9" t="n">
        <v>0.0225342500600878</v>
      </c>
      <c r="N252" s="8" t="n">
        <v>1.50337926739071</v>
      </c>
      <c r="O252" s="8" t="n">
        <v>22.0813664951401</v>
      </c>
      <c r="P252" s="10" t="n">
        <v>15.0541471572859</v>
      </c>
      <c r="Q252" s="9" t="n">
        <v>0.0680836155552961</v>
      </c>
    </row>
    <row r="253" customFormat="false" ht="15" hidden="false" customHeight="false" outlineLevel="0" collapsed="false">
      <c r="A253" s="6" t="n">
        <v>1715</v>
      </c>
      <c r="B253" s="6" t="s">
        <v>46</v>
      </c>
      <c r="C253" s="6" t="s">
        <v>47</v>
      </c>
      <c r="D253" s="7" t="n">
        <v>45532</v>
      </c>
      <c r="E253" s="7" t="n">
        <v>45546</v>
      </c>
      <c r="F253" s="6" t="s">
        <v>56</v>
      </c>
      <c r="G253" s="6" t="s">
        <v>61</v>
      </c>
      <c r="H253" s="8" t="n">
        <v>5733.12</v>
      </c>
      <c r="I253" s="6" t="n">
        <v>209976</v>
      </c>
      <c r="J253" s="6" t="n">
        <v>1435</v>
      </c>
      <c r="K253" s="6" t="n">
        <v>32</v>
      </c>
      <c r="L253" s="8" t="n">
        <v>11492.94</v>
      </c>
      <c r="M253" s="9" t="n">
        <v>0.00683411437497619</v>
      </c>
      <c r="N253" s="8" t="n">
        <v>3.99520557491289</v>
      </c>
      <c r="O253" s="8" t="n">
        <v>179.16</v>
      </c>
      <c r="P253" s="10" t="n">
        <v>2.00465715003349</v>
      </c>
      <c r="Q253" s="9" t="n">
        <v>0.0222996515679443</v>
      </c>
    </row>
    <row r="254" customFormat="false" ht="15" hidden="false" customHeight="false" outlineLevel="0" collapsed="false">
      <c r="A254" s="6" t="n">
        <v>1333</v>
      </c>
      <c r="B254" s="6" t="s">
        <v>55</v>
      </c>
      <c r="C254" s="6" t="s">
        <v>63</v>
      </c>
      <c r="D254" s="7" t="n">
        <v>45574</v>
      </c>
      <c r="E254" s="7" t="n">
        <v>45582</v>
      </c>
      <c r="F254" s="6" t="s">
        <v>56</v>
      </c>
      <c r="G254" s="6" t="s">
        <v>54</v>
      </c>
      <c r="H254" s="8" t="n">
        <v>7091.01</v>
      </c>
      <c r="I254" s="6" t="n">
        <v>215836</v>
      </c>
      <c r="J254" s="6" t="n">
        <v>2506</v>
      </c>
      <c r="K254" s="6" t="n">
        <v>87</v>
      </c>
      <c r="L254" s="8" t="n">
        <v>71621.13</v>
      </c>
      <c r="M254" s="9" t="n">
        <v>0.01161066735855</v>
      </c>
      <c r="N254" s="8" t="n">
        <v>2.82961292897047</v>
      </c>
      <c r="O254" s="8" t="n">
        <v>81.5058620689655</v>
      </c>
      <c r="P254" s="10" t="n">
        <v>10.1002720345903</v>
      </c>
      <c r="Q254" s="9" t="n">
        <v>0.0347166799680766</v>
      </c>
    </row>
    <row r="255" customFormat="false" ht="15" hidden="false" customHeight="false" outlineLevel="0" collapsed="false">
      <c r="A255" s="6" t="n">
        <v>1347</v>
      </c>
      <c r="B255" s="6" t="s">
        <v>62</v>
      </c>
      <c r="C255" s="6" t="s">
        <v>47</v>
      </c>
      <c r="D255" s="7" t="n">
        <v>45353</v>
      </c>
      <c r="E255" s="7" t="n">
        <v>45362</v>
      </c>
      <c r="F255" s="6" t="s">
        <v>53</v>
      </c>
      <c r="G255" s="6" t="s">
        <v>54</v>
      </c>
      <c r="H255" s="8" t="n">
        <v>3804.37</v>
      </c>
      <c r="I255" s="6" t="n">
        <v>113233</v>
      </c>
      <c r="J255" s="6" t="n">
        <v>911</v>
      </c>
      <c r="K255" s="6" t="n">
        <v>68</v>
      </c>
      <c r="L255" s="8" t="n">
        <v>120216.34</v>
      </c>
      <c r="M255" s="9" t="n">
        <v>0.00804535780205417</v>
      </c>
      <c r="N255" s="8" t="n">
        <v>4.17603732162459</v>
      </c>
      <c r="O255" s="8" t="n">
        <v>55.9466176470588</v>
      </c>
      <c r="P255" s="10" t="n">
        <v>31.5995394769699</v>
      </c>
      <c r="Q255" s="9" t="n">
        <v>0.0746432491767289</v>
      </c>
    </row>
    <row r="256" customFormat="false" ht="15" hidden="false" customHeight="false" outlineLevel="0" collapsed="false">
      <c r="A256" s="6" t="n">
        <v>1747</v>
      </c>
      <c r="B256" s="6" t="s">
        <v>64</v>
      </c>
      <c r="C256" s="6" t="s">
        <v>71</v>
      </c>
      <c r="D256" s="7" t="n">
        <v>45402</v>
      </c>
      <c r="E256" s="7" t="n">
        <v>45426</v>
      </c>
      <c r="F256" s="6" t="s">
        <v>51</v>
      </c>
      <c r="G256" s="6" t="s">
        <v>49</v>
      </c>
      <c r="H256" s="8" t="n">
        <v>12937.6</v>
      </c>
      <c r="I256" s="6" t="n">
        <v>415239</v>
      </c>
      <c r="J256" s="6" t="n">
        <v>9468</v>
      </c>
      <c r="K256" s="6" t="n">
        <v>542</v>
      </c>
      <c r="L256" s="8" t="n">
        <v>211890.47</v>
      </c>
      <c r="M256" s="9" t="n">
        <v>0.0228013264649997</v>
      </c>
      <c r="N256" s="8" t="n">
        <v>1.36645542881284</v>
      </c>
      <c r="O256" s="8" t="n">
        <v>23.870110701107</v>
      </c>
      <c r="P256" s="10" t="n">
        <v>16.3778807506802</v>
      </c>
      <c r="Q256" s="9" t="n">
        <v>0.0572454583861428</v>
      </c>
    </row>
    <row r="257" customFormat="false" ht="15" hidden="false" customHeight="false" outlineLevel="0" collapsed="false">
      <c r="A257" s="6" t="n">
        <v>1468</v>
      </c>
      <c r="B257" s="6" t="s">
        <v>76</v>
      </c>
      <c r="C257" s="6" t="s">
        <v>63</v>
      </c>
      <c r="D257" s="7" t="n">
        <v>45342</v>
      </c>
      <c r="E257" s="7" t="n">
        <v>45368</v>
      </c>
      <c r="F257" s="6" t="s">
        <v>65</v>
      </c>
      <c r="G257" s="6" t="s">
        <v>72</v>
      </c>
      <c r="H257" s="8" t="n">
        <v>16432.42</v>
      </c>
      <c r="I257" s="6" t="n">
        <v>323748</v>
      </c>
      <c r="J257" s="6" t="n">
        <v>4529</v>
      </c>
      <c r="K257" s="6" t="n">
        <v>309</v>
      </c>
      <c r="L257" s="8" t="n">
        <v>537123.34</v>
      </c>
      <c r="M257" s="9" t="n">
        <v>0.0139892756094246</v>
      </c>
      <c r="N257" s="8" t="n">
        <v>3.62826672554648</v>
      </c>
      <c r="O257" s="8" t="n">
        <v>53.1793527508091</v>
      </c>
      <c r="P257" s="10" t="n">
        <v>32.6868069340974</v>
      </c>
      <c r="Q257" s="9" t="n">
        <v>0.0682269816736587</v>
      </c>
    </row>
    <row r="258" customFormat="false" ht="15" hidden="false" customHeight="false" outlineLevel="0" collapsed="false">
      <c r="A258" s="6" t="n">
        <v>1679</v>
      </c>
      <c r="B258" s="6" t="s">
        <v>73</v>
      </c>
      <c r="C258" s="6" t="s">
        <v>71</v>
      </c>
      <c r="D258" s="7" t="n">
        <v>45495</v>
      </c>
      <c r="E258" s="7" t="n">
        <v>45504</v>
      </c>
      <c r="F258" s="6" t="s">
        <v>48</v>
      </c>
      <c r="G258" s="6" t="s">
        <v>72</v>
      </c>
      <c r="H258" s="8" t="n">
        <v>13388.55</v>
      </c>
      <c r="I258" s="6" t="n">
        <v>520839</v>
      </c>
      <c r="J258" s="6" t="n">
        <v>15332</v>
      </c>
      <c r="K258" s="6" t="n">
        <v>1105</v>
      </c>
      <c r="L258" s="8" t="n">
        <v>857670.92</v>
      </c>
      <c r="M258" s="9" t="n">
        <v>0.0294371197241374</v>
      </c>
      <c r="N258" s="8" t="n">
        <v>0.873242238455518</v>
      </c>
      <c r="O258" s="8" t="n">
        <v>12.116334841629</v>
      </c>
      <c r="P258" s="10" t="n">
        <v>64.0600303991097</v>
      </c>
      <c r="Q258" s="9" t="n">
        <v>0.072071484476911</v>
      </c>
    </row>
    <row r="259" customFormat="false" ht="15" hidden="false" customHeight="false" outlineLevel="0" collapsed="false">
      <c r="A259" s="6" t="n">
        <v>1008</v>
      </c>
      <c r="B259" s="6" t="s">
        <v>78</v>
      </c>
      <c r="C259" s="6" t="s">
        <v>50</v>
      </c>
      <c r="D259" s="7" t="n">
        <v>45564</v>
      </c>
      <c r="E259" s="7" t="n">
        <v>45593</v>
      </c>
      <c r="F259" s="6" t="s">
        <v>53</v>
      </c>
      <c r="G259" s="6" t="s">
        <v>54</v>
      </c>
      <c r="H259" s="8" t="n">
        <v>18987.4</v>
      </c>
      <c r="I259" s="6" t="n">
        <v>510420</v>
      </c>
      <c r="J259" s="6" t="n">
        <v>10971</v>
      </c>
      <c r="K259" s="6" t="n">
        <v>313</v>
      </c>
      <c r="L259" s="8" t="n">
        <v>505503.74</v>
      </c>
      <c r="M259" s="9" t="n">
        <v>0.021494063712237</v>
      </c>
      <c r="N259" s="8" t="n">
        <v>1.73069000091149</v>
      </c>
      <c r="O259" s="8" t="n">
        <v>60.6626198083067</v>
      </c>
      <c r="P259" s="10" t="n">
        <v>26.623115329113</v>
      </c>
      <c r="Q259" s="9" t="n">
        <v>0.0285297602770942</v>
      </c>
    </row>
    <row r="260" customFormat="false" ht="15" hidden="false" customHeight="false" outlineLevel="0" collapsed="false">
      <c r="A260" s="6" t="n">
        <v>1331</v>
      </c>
      <c r="B260" s="6" t="s">
        <v>77</v>
      </c>
      <c r="C260" s="6" t="s">
        <v>63</v>
      </c>
      <c r="D260" s="7" t="n">
        <v>45454</v>
      </c>
      <c r="E260" s="7" t="n">
        <v>45477</v>
      </c>
      <c r="F260" s="6" t="s">
        <v>69</v>
      </c>
      <c r="G260" s="6" t="s">
        <v>61</v>
      </c>
      <c r="H260" s="8" t="n">
        <v>25399.1</v>
      </c>
      <c r="I260" s="6" t="n">
        <v>615719</v>
      </c>
      <c r="J260" s="6" t="n">
        <v>6868</v>
      </c>
      <c r="K260" s="6" t="n">
        <v>408</v>
      </c>
      <c r="L260" s="8" t="n">
        <v>536541.32</v>
      </c>
      <c r="M260" s="9" t="n">
        <v>0.0111544389567319</v>
      </c>
      <c r="N260" s="8" t="n">
        <v>3.69817996505533</v>
      </c>
      <c r="O260" s="8" t="n">
        <v>62.2526960784314</v>
      </c>
      <c r="P260" s="10" t="n">
        <v>21.1244225189082</v>
      </c>
      <c r="Q260" s="9" t="n">
        <v>0.0594059405940594</v>
      </c>
    </row>
    <row r="261" customFormat="false" ht="15" hidden="false" customHeight="false" outlineLevel="0" collapsed="false">
      <c r="A261" s="6" t="n">
        <v>1443</v>
      </c>
      <c r="B261" s="6" t="s">
        <v>74</v>
      </c>
      <c r="C261" s="6" t="s">
        <v>63</v>
      </c>
      <c r="D261" s="7" t="n">
        <v>45327</v>
      </c>
      <c r="E261" s="7" t="n">
        <v>45338</v>
      </c>
      <c r="F261" s="6" t="s">
        <v>51</v>
      </c>
      <c r="G261" s="6" t="s">
        <v>49</v>
      </c>
      <c r="H261" s="8" t="n">
        <v>33912.15</v>
      </c>
      <c r="I261" s="6" t="n">
        <v>628673</v>
      </c>
      <c r="J261" s="6" t="n">
        <v>6994</v>
      </c>
      <c r="K261" s="6" t="n">
        <v>114</v>
      </c>
      <c r="L261" s="8" t="n">
        <v>137861.85</v>
      </c>
      <c r="M261" s="9" t="n">
        <v>0.0111250204796452</v>
      </c>
      <c r="N261" s="8" t="n">
        <v>4.84874892765227</v>
      </c>
      <c r="O261" s="8" t="n">
        <v>297.475</v>
      </c>
      <c r="P261" s="10" t="n">
        <v>4.06526421946117</v>
      </c>
      <c r="Q261" s="9" t="n">
        <v>0.0162996854446669</v>
      </c>
    </row>
    <row r="262" customFormat="false" ht="15" hidden="false" customHeight="false" outlineLevel="0" collapsed="false">
      <c r="A262" s="6" t="n">
        <v>1279</v>
      </c>
      <c r="B262" s="6" t="s">
        <v>64</v>
      </c>
      <c r="C262" s="6" t="s">
        <v>63</v>
      </c>
      <c r="D262" s="7" t="n">
        <v>45359</v>
      </c>
      <c r="E262" s="7" t="n">
        <v>45370</v>
      </c>
      <c r="F262" s="6" t="s">
        <v>53</v>
      </c>
      <c r="G262" s="6" t="s">
        <v>49</v>
      </c>
      <c r="H262" s="8" t="n">
        <v>33392.65</v>
      </c>
      <c r="I262" s="6" t="n">
        <v>712190</v>
      </c>
      <c r="J262" s="6" t="n">
        <v>13360</v>
      </c>
      <c r="K262" s="6" t="n">
        <v>933</v>
      </c>
      <c r="L262" s="8" t="n">
        <v>796455.55</v>
      </c>
      <c r="M262" s="9" t="n">
        <v>0.0187590390204861</v>
      </c>
      <c r="N262" s="8" t="n">
        <v>2.4994498502994</v>
      </c>
      <c r="O262" s="8" t="n">
        <v>35.7906216505895</v>
      </c>
      <c r="P262" s="10" t="n">
        <v>23.8512232482298</v>
      </c>
      <c r="Q262" s="9" t="n">
        <v>0.0698353293413174</v>
      </c>
    </row>
    <row r="263" customFormat="false" ht="15" hidden="false" customHeight="false" outlineLevel="0" collapsed="false">
      <c r="A263" s="6" t="n">
        <v>1280</v>
      </c>
      <c r="B263" s="6" t="s">
        <v>76</v>
      </c>
      <c r="C263" s="6" t="s">
        <v>59</v>
      </c>
      <c r="D263" s="7" t="n">
        <v>45609</v>
      </c>
      <c r="E263" s="7" t="n">
        <v>45634</v>
      </c>
      <c r="F263" s="6" t="s">
        <v>67</v>
      </c>
      <c r="G263" s="6" t="s">
        <v>57</v>
      </c>
      <c r="H263" s="8" t="n">
        <v>76509.1</v>
      </c>
      <c r="I263" s="6" t="n">
        <v>1544790</v>
      </c>
      <c r="J263" s="6" t="n">
        <v>16290</v>
      </c>
      <c r="K263" s="6" t="n">
        <v>225</v>
      </c>
      <c r="L263" s="8" t="n">
        <v>192617.72</v>
      </c>
      <c r="M263" s="9" t="n">
        <v>0.0105451226380285</v>
      </c>
      <c r="N263" s="8" t="n">
        <v>4.69669122160835</v>
      </c>
      <c r="O263" s="8" t="n">
        <v>340.040444444444</v>
      </c>
      <c r="P263" s="10" t="n">
        <v>2.51757921606711</v>
      </c>
      <c r="Q263" s="9" t="n">
        <v>0.0138121546961326</v>
      </c>
    </row>
    <row r="264" customFormat="false" ht="15" hidden="false" customHeight="false" outlineLevel="0" collapsed="false">
      <c r="A264" s="6" t="n">
        <v>1194</v>
      </c>
      <c r="B264" s="6" t="s">
        <v>76</v>
      </c>
      <c r="C264" s="6" t="s">
        <v>50</v>
      </c>
      <c r="D264" s="7" t="n">
        <v>45510</v>
      </c>
      <c r="E264" s="7" t="n">
        <v>45538</v>
      </c>
      <c r="F264" s="6" t="s">
        <v>48</v>
      </c>
      <c r="G264" s="6" t="s">
        <v>54</v>
      </c>
      <c r="H264" s="8" t="n">
        <v>16649.89</v>
      </c>
      <c r="I264" s="6" t="n">
        <v>565348</v>
      </c>
      <c r="J264" s="6" t="n">
        <v>3605</v>
      </c>
      <c r="K264" s="6" t="n">
        <v>251</v>
      </c>
      <c r="L264" s="8" t="n">
        <v>329278.06</v>
      </c>
      <c r="M264" s="9" t="n">
        <v>0.00637660343717498</v>
      </c>
      <c r="N264" s="8" t="n">
        <v>4.6185547850208</v>
      </c>
      <c r="O264" s="8" t="n">
        <v>66.3342231075697</v>
      </c>
      <c r="P264" s="10" t="n">
        <v>19.7765907162149</v>
      </c>
      <c r="Q264" s="9" t="n">
        <v>0.069625520110957</v>
      </c>
    </row>
    <row r="265" customFormat="false" ht="15" hidden="false" customHeight="false" outlineLevel="0" collapsed="false">
      <c r="A265" s="6" t="n">
        <v>1196</v>
      </c>
      <c r="B265" s="6" t="s">
        <v>64</v>
      </c>
      <c r="C265" s="6" t="s">
        <v>63</v>
      </c>
      <c r="D265" s="7" t="n">
        <v>45475</v>
      </c>
      <c r="E265" s="7" t="n">
        <v>45499</v>
      </c>
      <c r="F265" s="6" t="s">
        <v>60</v>
      </c>
      <c r="G265" s="6" t="s">
        <v>57</v>
      </c>
      <c r="H265" s="8" t="n">
        <v>43953.33</v>
      </c>
      <c r="I265" s="6" t="n">
        <v>1626218</v>
      </c>
      <c r="J265" s="6" t="n">
        <v>43612</v>
      </c>
      <c r="K265" s="6" t="n">
        <v>3158</v>
      </c>
      <c r="L265" s="8" t="n">
        <v>3317370.05</v>
      </c>
      <c r="M265" s="9" t="n">
        <v>0.0268180526842035</v>
      </c>
      <c r="N265" s="8" t="n">
        <v>1.0078265156379</v>
      </c>
      <c r="O265" s="8" t="n">
        <v>13.9180905636479</v>
      </c>
      <c r="P265" s="10" t="n">
        <v>75.4748286421074</v>
      </c>
      <c r="Q265" s="9" t="n">
        <v>0.07241126295515</v>
      </c>
    </row>
    <row r="266" customFormat="false" ht="15" hidden="false" customHeight="false" outlineLevel="0" collapsed="false">
      <c r="A266" s="6" t="n">
        <v>1506</v>
      </c>
      <c r="B266" s="6" t="s">
        <v>77</v>
      </c>
      <c r="C266" s="6" t="s">
        <v>59</v>
      </c>
      <c r="D266" s="7" t="n">
        <v>45402</v>
      </c>
      <c r="E266" s="7" t="n">
        <v>45432</v>
      </c>
      <c r="F266" s="6" t="s">
        <v>65</v>
      </c>
      <c r="G266" s="6" t="s">
        <v>54</v>
      </c>
      <c r="H266" s="8" t="n">
        <v>64066.51</v>
      </c>
      <c r="I266" s="6" t="n">
        <v>2192397</v>
      </c>
      <c r="J266" s="6" t="n">
        <v>21554</v>
      </c>
      <c r="K266" s="6" t="n">
        <v>1669</v>
      </c>
      <c r="L266" s="8" t="n">
        <v>1833623.74</v>
      </c>
      <c r="M266" s="9" t="n">
        <v>0.00983124862878393</v>
      </c>
      <c r="N266" s="8" t="n">
        <v>2.97237218149763</v>
      </c>
      <c r="O266" s="8" t="n">
        <v>38.3861653684841</v>
      </c>
      <c r="P266" s="10" t="n">
        <v>28.6206278444073</v>
      </c>
      <c r="Q266" s="9" t="n">
        <v>0.077433423030528</v>
      </c>
    </row>
    <row r="267" customFormat="false" ht="15" hidden="false" customHeight="false" outlineLevel="0" collapsed="false">
      <c r="A267" s="6" t="n">
        <v>1137</v>
      </c>
      <c r="B267" s="6" t="s">
        <v>68</v>
      </c>
      <c r="C267" s="6" t="s">
        <v>59</v>
      </c>
      <c r="D267" s="7" t="n">
        <v>45475</v>
      </c>
      <c r="E267" s="7" t="n">
        <v>45480</v>
      </c>
      <c r="F267" s="6" t="s">
        <v>69</v>
      </c>
      <c r="G267" s="6" t="s">
        <v>61</v>
      </c>
      <c r="H267" s="8" t="n">
        <v>25240.1</v>
      </c>
      <c r="I267" s="6" t="n">
        <v>893004</v>
      </c>
      <c r="J267" s="6" t="n">
        <v>30286</v>
      </c>
      <c r="K267" s="6" t="n">
        <v>1374</v>
      </c>
      <c r="L267" s="8" t="n">
        <v>1467028.43</v>
      </c>
      <c r="M267" s="9" t="n">
        <v>0.0339147417032846</v>
      </c>
      <c r="N267" s="8" t="n">
        <v>0.833391666116357</v>
      </c>
      <c r="O267" s="8" t="n">
        <v>18.3697962154294</v>
      </c>
      <c r="P267" s="10" t="n">
        <v>58.1229246318359</v>
      </c>
      <c r="Q267" s="9" t="n">
        <v>0.0453674965330516</v>
      </c>
    </row>
    <row r="268" customFormat="false" ht="15" hidden="false" customHeight="false" outlineLevel="0" collapsed="false">
      <c r="A268" s="6" t="n">
        <v>1753</v>
      </c>
      <c r="B268" s="6" t="s">
        <v>46</v>
      </c>
      <c r="C268" s="6" t="s">
        <v>63</v>
      </c>
      <c r="D268" s="7" t="n">
        <v>45366</v>
      </c>
      <c r="E268" s="7" t="n">
        <v>45392</v>
      </c>
      <c r="F268" s="6" t="s">
        <v>53</v>
      </c>
      <c r="G268" s="6" t="s">
        <v>54</v>
      </c>
      <c r="H268" s="8" t="n">
        <v>43745.21</v>
      </c>
      <c r="I268" s="6" t="n">
        <v>815194</v>
      </c>
      <c r="J268" s="6" t="n">
        <v>22675</v>
      </c>
      <c r="K268" s="6" t="n">
        <v>984</v>
      </c>
      <c r="L268" s="8" t="n">
        <v>1756742.13</v>
      </c>
      <c r="M268" s="9" t="n">
        <v>0.0278154647850696</v>
      </c>
      <c r="N268" s="8" t="n">
        <v>1.92922646085998</v>
      </c>
      <c r="O268" s="8" t="n">
        <v>44.4565142276423</v>
      </c>
      <c r="P268" s="10" t="n">
        <v>40.1585026109144</v>
      </c>
      <c r="Q268" s="9" t="n">
        <v>0.0433958103638368</v>
      </c>
    </row>
    <row r="269" customFormat="false" ht="15" hidden="false" customHeight="false" outlineLevel="0" collapsed="false">
      <c r="A269" s="6" t="n">
        <v>1273</v>
      </c>
      <c r="B269" s="6" t="s">
        <v>62</v>
      </c>
      <c r="C269" s="6" t="s">
        <v>63</v>
      </c>
      <c r="D269" s="7" t="n">
        <v>45597</v>
      </c>
      <c r="E269" s="7" t="n">
        <v>45609</v>
      </c>
      <c r="F269" s="6" t="s">
        <v>65</v>
      </c>
      <c r="G269" s="6" t="s">
        <v>57</v>
      </c>
      <c r="H269" s="8" t="n">
        <v>36244.63</v>
      </c>
      <c r="I269" s="6" t="n">
        <v>869201</v>
      </c>
      <c r="J269" s="6" t="n">
        <v>22289</v>
      </c>
      <c r="K269" s="6" t="n">
        <v>966</v>
      </c>
      <c r="L269" s="8" t="n">
        <v>1041706.05</v>
      </c>
      <c r="M269" s="9" t="n">
        <v>0.0256430906085014</v>
      </c>
      <c r="N269" s="8" t="n">
        <v>1.62612185382924</v>
      </c>
      <c r="O269" s="8" t="n">
        <v>37.5203209109731</v>
      </c>
      <c r="P269" s="10" t="n">
        <v>28.7409762494472</v>
      </c>
      <c r="Q269" s="9" t="n">
        <v>0.0433397640091525</v>
      </c>
    </row>
    <row r="270" customFormat="false" ht="15" hidden="false" customHeight="false" outlineLevel="0" collapsed="false">
      <c r="A270" s="6" t="n">
        <v>1184</v>
      </c>
      <c r="B270" s="6" t="s">
        <v>73</v>
      </c>
      <c r="C270" s="6" t="s">
        <v>59</v>
      </c>
      <c r="D270" s="7" t="n">
        <v>45305</v>
      </c>
      <c r="E270" s="7" t="n">
        <v>45330</v>
      </c>
      <c r="F270" s="6" t="s">
        <v>56</v>
      </c>
      <c r="G270" s="6" t="s">
        <v>57</v>
      </c>
      <c r="H270" s="8" t="n">
        <v>89810.18</v>
      </c>
      <c r="I270" s="6" t="n">
        <v>1929630</v>
      </c>
      <c r="J270" s="6" t="n">
        <v>33878</v>
      </c>
      <c r="K270" s="6" t="n">
        <v>1259</v>
      </c>
      <c r="L270" s="8" t="n">
        <v>505126.61</v>
      </c>
      <c r="M270" s="9" t="n">
        <v>0.0175567336743314</v>
      </c>
      <c r="N270" s="8" t="n">
        <v>2.65098825196293</v>
      </c>
      <c r="O270" s="8" t="n">
        <v>71.3345353455123</v>
      </c>
      <c r="P270" s="10" t="n">
        <v>5.6243803319401</v>
      </c>
      <c r="Q270" s="9" t="n">
        <v>0.0371627604935356</v>
      </c>
    </row>
    <row r="271" customFormat="false" ht="15" hidden="false" customHeight="false" outlineLevel="0" collapsed="false">
      <c r="A271" s="6" t="n">
        <v>1208</v>
      </c>
      <c r="B271" s="6" t="s">
        <v>64</v>
      </c>
      <c r="C271" s="6" t="s">
        <v>59</v>
      </c>
      <c r="D271" s="7" t="n">
        <v>45294</v>
      </c>
      <c r="E271" s="7" t="n">
        <v>45309</v>
      </c>
      <c r="F271" s="6" t="s">
        <v>67</v>
      </c>
      <c r="G271" s="6" t="s">
        <v>72</v>
      </c>
      <c r="H271" s="8" t="n">
        <v>68226.7</v>
      </c>
      <c r="I271" s="6" t="n">
        <v>1287447</v>
      </c>
      <c r="J271" s="6" t="n">
        <v>12373</v>
      </c>
      <c r="K271" s="6" t="n">
        <v>403</v>
      </c>
      <c r="L271" s="8" t="n">
        <v>170767.38</v>
      </c>
      <c r="M271" s="9" t="n">
        <v>0.00961049270377732</v>
      </c>
      <c r="N271" s="8" t="n">
        <v>5.51415986422048</v>
      </c>
      <c r="O271" s="8" t="n">
        <v>169.297022332506</v>
      </c>
      <c r="P271" s="10" t="n">
        <v>2.50294063760962</v>
      </c>
      <c r="Q271" s="9" t="n">
        <v>0.0325709205528166</v>
      </c>
    </row>
    <row r="272" customFormat="false" ht="15" hidden="false" customHeight="false" outlineLevel="0" collapsed="false">
      <c r="A272" s="6" t="n">
        <v>1344</v>
      </c>
      <c r="B272" s="6" t="s">
        <v>74</v>
      </c>
      <c r="C272" s="6" t="s">
        <v>71</v>
      </c>
      <c r="D272" s="7" t="n">
        <v>45550</v>
      </c>
      <c r="E272" s="7" t="n">
        <v>45573</v>
      </c>
      <c r="F272" s="6" t="s">
        <v>65</v>
      </c>
      <c r="G272" s="6" t="s">
        <v>57</v>
      </c>
      <c r="H272" s="8" t="n">
        <v>13153.5</v>
      </c>
      <c r="I272" s="6" t="n">
        <v>387414</v>
      </c>
      <c r="J272" s="6" t="n">
        <v>2099</v>
      </c>
      <c r="K272" s="6" t="n">
        <v>52</v>
      </c>
      <c r="L272" s="8" t="n">
        <v>32642.68</v>
      </c>
      <c r="M272" s="9" t="n">
        <v>0.00541797663481444</v>
      </c>
      <c r="N272" s="8" t="n">
        <v>6.2665555026203</v>
      </c>
      <c r="O272" s="8" t="n">
        <v>252.951923076923</v>
      </c>
      <c r="P272" s="10" t="n">
        <v>2.48167255863458</v>
      </c>
      <c r="Q272" s="9" t="n">
        <v>0.0247737017627442</v>
      </c>
    </row>
    <row r="273" customFormat="false" ht="15" hidden="false" customHeight="false" outlineLevel="0" collapsed="false">
      <c r="A273" s="6" t="n">
        <v>1334</v>
      </c>
      <c r="B273" s="6" t="s">
        <v>78</v>
      </c>
      <c r="C273" s="6" t="s">
        <v>50</v>
      </c>
      <c r="D273" s="7" t="n">
        <v>45454</v>
      </c>
      <c r="E273" s="7" t="n">
        <v>45478</v>
      </c>
      <c r="F273" s="6" t="s">
        <v>51</v>
      </c>
      <c r="G273" s="6" t="s">
        <v>54</v>
      </c>
      <c r="H273" s="8" t="n">
        <v>45808.91</v>
      </c>
      <c r="I273" s="6" t="n">
        <v>751320</v>
      </c>
      <c r="J273" s="6" t="n">
        <v>18785</v>
      </c>
      <c r="K273" s="6" t="n">
        <v>710</v>
      </c>
      <c r="L273" s="8" t="n">
        <v>985584.7</v>
      </c>
      <c r="M273" s="9" t="n">
        <v>0.0250026619815791</v>
      </c>
      <c r="N273" s="8" t="n">
        <v>2.43858983231302</v>
      </c>
      <c r="O273" s="8" t="n">
        <v>64.5195915492958</v>
      </c>
      <c r="P273" s="10" t="n">
        <v>21.5151310083562</v>
      </c>
      <c r="Q273" s="9" t="n">
        <v>0.0377961139206814</v>
      </c>
    </row>
    <row r="274" customFormat="false" ht="15" hidden="false" customHeight="false" outlineLevel="0" collapsed="false">
      <c r="A274" s="6" t="n">
        <v>1593</v>
      </c>
      <c r="B274" s="6" t="s">
        <v>64</v>
      </c>
      <c r="C274" s="6" t="s">
        <v>71</v>
      </c>
      <c r="D274" s="7" t="n">
        <v>45309</v>
      </c>
      <c r="E274" s="7" t="n">
        <v>45322</v>
      </c>
      <c r="F274" s="6" t="s">
        <v>65</v>
      </c>
      <c r="G274" s="6" t="s">
        <v>75</v>
      </c>
      <c r="H274" s="8" t="n">
        <v>14429.43</v>
      </c>
      <c r="I274" s="6" t="n">
        <v>499277</v>
      </c>
      <c r="J274" s="6" t="n">
        <v>12311</v>
      </c>
      <c r="K274" s="6" t="n">
        <v>236</v>
      </c>
      <c r="L274" s="8" t="n">
        <v>336007.91</v>
      </c>
      <c r="M274" s="9" t="n">
        <v>0.0246576549690853</v>
      </c>
      <c r="N274" s="8" t="n">
        <v>1.17207619202339</v>
      </c>
      <c r="O274" s="8" t="n">
        <v>61.1416525423729</v>
      </c>
      <c r="P274" s="10" t="n">
        <v>23.2862912810832</v>
      </c>
      <c r="Q274" s="9" t="n">
        <v>0.0191698481033222</v>
      </c>
    </row>
    <row r="275" customFormat="false" ht="15" hidden="false" customHeight="false" outlineLevel="0" collapsed="false">
      <c r="A275" s="6" t="n">
        <v>1743</v>
      </c>
      <c r="B275" s="6" t="s">
        <v>73</v>
      </c>
      <c r="C275" s="6" t="s">
        <v>50</v>
      </c>
      <c r="D275" s="7" t="n">
        <v>45346</v>
      </c>
      <c r="E275" s="7" t="n">
        <v>45358</v>
      </c>
      <c r="F275" s="6" t="s">
        <v>60</v>
      </c>
      <c r="G275" s="6" t="s">
        <v>49</v>
      </c>
      <c r="H275" s="8" t="n">
        <v>55073.16</v>
      </c>
      <c r="I275" s="6" t="n">
        <v>1040471</v>
      </c>
      <c r="J275" s="6" t="n">
        <v>26863</v>
      </c>
      <c r="K275" s="6" t="n">
        <v>1685</v>
      </c>
      <c r="L275" s="8" t="n">
        <v>2339610.26</v>
      </c>
      <c r="M275" s="9" t="n">
        <v>0.0258181150651964</v>
      </c>
      <c r="N275" s="8" t="n">
        <v>2.05014927595578</v>
      </c>
      <c r="O275" s="8" t="n">
        <v>32.6843679525223</v>
      </c>
      <c r="P275" s="10" t="n">
        <v>42.4818597661728</v>
      </c>
      <c r="Q275" s="9" t="n">
        <v>0.0627256821650598</v>
      </c>
    </row>
    <row r="276" customFormat="false" ht="15" hidden="false" customHeight="false" outlineLevel="0" collapsed="false">
      <c r="A276" s="6" t="n">
        <v>1459</v>
      </c>
      <c r="B276" s="6" t="s">
        <v>58</v>
      </c>
      <c r="C276" s="6" t="s">
        <v>50</v>
      </c>
      <c r="D276" s="7" t="n">
        <v>45558</v>
      </c>
      <c r="E276" s="7" t="n">
        <v>45584</v>
      </c>
      <c r="F276" s="6" t="s">
        <v>56</v>
      </c>
      <c r="G276" s="6" t="s">
        <v>49</v>
      </c>
      <c r="H276" s="8" t="n">
        <v>51354.32</v>
      </c>
      <c r="I276" s="6" t="n">
        <v>907155</v>
      </c>
      <c r="J276" s="6" t="n">
        <v>4785</v>
      </c>
      <c r="K276" s="6" t="n">
        <v>333</v>
      </c>
      <c r="L276" s="8" t="n">
        <v>269094.98</v>
      </c>
      <c r="M276" s="9" t="n">
        <v>0.00527473254295021</v>
      </c>
      <c r="N276" s="8" t="n">
        <v>10.732355276907</v>
      </c>
      <c r="O276" s="8" t="n">
        <v>154.217177177177</v>
      </c>
      <c r="P276" s="10" t="n">
        <v>5.23996773786509</v>
      </c>
      <c r="Q276" s="9" t="n">
        <v>0.0695924764890282</v>
      </c>
    </row>
    <row r="277" customFormat="false" ht="15" hidden="false" customHeight="false" outlineLevel="0" collapsed="false">
      <c r="A277" s="6" t="n">
        <v>1528</v>
      </c>
      <c r="B277" s="6" t="s">
        <v>58</v>
      </c>
      <c r="C277" s="6" t="s">
        <v>47</v>
      </c>
      <c r="D277" s="7" t="n">
        <v>45553</v>
      </c>
      <c r="E277" s="7" t="n">
        <v>45566</v>
      </c>
      <c r="F277" s="6" t="s">
        <v>69</v>
      </c>
      <c r="G277" s="6" t="s">
        <v>54</v>
      </c>
      <c r="H277" s="8" t="n">
        <v>3868.66</v>
      </c>
      <c r="I277" s="6" t="n">
        <v>116435</v>
      </c>
      <c r="J277" s="6" t="n">
        <v>3646</v>
      </c>
      <c r="K277" s="6" t="n">
        <v>279</v>
      </c>
      <c r="L277" s="8" t="n">
        <v>312263.04</v>
      </c>
      <c r="M277" s="9" t="n">
        <v>0.0313136084510671</v>
      </c>
      <c r="N277" s="8" t="n">
        <v>1.06106966538673</v>
      </c>
      <c r="O277" s="8" t="n">
        <v>13.866164874552</v>
      </c>
      <c r="P277" s="10" t="n">
        <v>80.7160722317288</v>
      </c>
      <c r="Q277" s="9" t="n">
        <v>0.0765222161272628</v>
      </c>
    </row>
    <row r="278" customFormat="false" ht="15" hidden="false" customHeight="false" outlineLevel="0" collapsed="false">
      <c r="A278" s="6" t="n">
        <v>1306</v>
      </c>
      <c r="B278" s="6" t="s">
        <v>46</v>
      </c>
      <c r="C278" s="6" t="s">
        <v>71</v>
      </c>
      <c r="D278" s="7" t="n">
        <v>45342</v>
      </c>
      <c r="E278" s="7" t="n">
        <v>45355</v>
      </c>
      <c r="F278" s="6" t="s">
        <v>67</v>
      </c>
      <c r="G278" s="6" t="s">
        <v>57</v>
      </c>
      <c r="H278" s="8" t="n">
        <v>38377.2</v>
      </c>
      <c r="I278" s="6" t="n">
        <v>1018059</v>
      </c>
      <c r="J278" s="6" t="n">
        <v>25714</v>
      </c>
      <c r="K278" s="6" t="n">
        <v>692</v>
      </c>
      <c r="L278" s="8" t="n">
        <v>916374.28</v>
      </c>
      <c r="M278" s="9" t="n">
        <v>0.0252578681589181</v>
      </c>
      <c r="N278" s="8" t="n">
        <v>1.49246324959166</v>
      </c>
      <c r="O278" s="8" t="n">
        <v>55.4583815028902</v>
      </c>
      <c r="P278" s="10" t="n">
        <v>23.8780911582919</v>
      </c>
      <c r="Q278" s="9" t="n">
        <v>0.0269114101267792</v>
      </c>
    </row>
    <row r="279" customFormat="false" ht="15" hidden="false" customHeight="false" outlineLevel="0" collapsed="false">
      <c r="A279" s="6" t="n">
        <v>1177</v>
      </c>
      <c r="B279" s="6" t="s">
        <v>74</v>
      </c>
      <c r="C279" s="6" t="s">
        <v>71</v>
      </c>
      <c r="D279" s="7" t="n">
        <v>45584</v>
      </c>
      <c r="E279" s="7" t="n">
        <v>45608</v>
      </c>
      <c r="F279" s="6" t="s">
        <v>51</v>
      </c>
      <c r="G279" s="6" t="s">
        <v>49</v>
      </c>
      <c r="H279" s="8" t="n">
        <v>9948.21</v>
      </c>
      <c r="I279" s="6" t="n">
        <v>217720</v>
      </c>
      <c r="J279" s="6" t="n">
        <v>2028</v>
      </c>
      <c r="K279" s="6" t="n">
        <v>106</v>
      </c>
      <c r="L279" s="8" t="n">
        <v>956998.6</v>
      </c>
      <c r="M279" s="9" t="n">
        <v>0.00931471614918244</v>
      </c>
      <c r="N279" s="8" t="n">
        <v>4.90542899408284</v>
      </c>
      <c r="O279" s="8" t="n">
        <v>93.8510377358491</v>
      </c>
      <c r="P279" s="10" t="n">
        <v>96.1980698035124</v>
      </c>
      <c r="Q279" s="9" t="n">
        <v>0.0522682445759369</v>
      </c>
    </row>
    <row r="280" customFormat="false" ht="15" hidden="false" customHeight="false" outlineLevel="0" collapsed="false">
      <c r="A280" s="6" t="n">
        <v>1002</v>
      </c>
      <c r="B280" s="6" t="s">
        <v>55</v>
      </c>
      <c r="C280" s="6" t="s">
        <v>71</v>
      </c>
      <c r="D280" s="7" t="n">
        <v>45341</v>
      </c>
      <c r="E280" s="7" t="n">
        <v>45357</v>
      </c>
      <c r="F280" s="6" t="s">
        <v>60</v>
      </c>
      <c r="G280" s="6" t="s">
        <v>61</v>
      </c>
      <c r="H280" s="8" t="n">
        <v>39393.75</v>
      </c>
      <c r="I280" s="6" t="n">
        <v>1385801</v>
      </c>
      <c r="J280" s="6" t="n">
        <v>37266</v>
      </c>
      <c r="K280" s="6" t="n">
        <v>1771</v>
      </c>
      <c r="L280" s="8" t="n">
        <v>3118762.63</v>
      </c>
      <c r="M280" s="9" t="n">
        <v>0.0268913069048153</v>
      </c>
      <c r="N280" s="8" t="n">
        <v>1.05709628079214</v>
      </c>
      <c r="O280" s="8" t="n">
        <v>22.2437888198758</v>
      </c>
      <c r="P280" s="10" t="n">
        <v>79.1689704585118</v>
      </c>
      <c r="Q280" s="9" t="n">
        <v>0.047523211506467</v>
      </c>
    </row>
    <row r="281" customFormat="false" ht="15" hidden="false" customHeight="false" outlineLevel="0" collapsed="false">
      <c r="A281" s="6" t="n">
        <v>1146</v>
      </c>
      <c r="B281" s="6" t="s">
        <v>55</v>
      </c>
      <c r="C281" s="6" t="s">
        <v>47</v>
      </c>
      <c r="D281" s="7" t="n">
        <v>45620</v>
      </c>
      <c r="E281" s="7" t="n">
        <v>45646</v>
      </c>
      <c r="F281" s="6" t="s">
        <v>56</v>
      </c>
      <c r="G281" s="6" t="s">
        <v>72</v>
      </c>
      <c r="H281" s="8" t="n">
        <v>1478.88</v>
      </c>
      <c r="I281" s="6" t="n">
        <v>43009</v>
      </c>
      <c r="J281" s="6" t="n">
        <v>1002</v>
      </c>
      <c r="K281" s="6" t="n">
        <v>21</v>
      </c>
      <c r="L281" s="8" t="n">
        <v>18043.67</v>
      </c>
      <c r="M281" s="9" t="n">
        <v>0.0232974493710619</v>
      </c>
      <c r="N281" s="8" t="n">
        <v>1.47592814371257</v>
      </c>
      <c r="O281" s="8" t="n">
        <v>70.4228571428572</v>
      </c>
      <c r="P281" s="10" t="n">
        <v>12.2009020339717</v>
      </c>
      <c r="Q281" s="9" t="n">
        <v>0.0209580838323353</v>
      </c>
    </row>
    <row r="282" customFormat="false" ht="15" hidden="false" customHeight="false" outlineLevel="0" collapsed="false">
      <c r="A282" s="6" t="n">
        <v>1361</v>
      </c>
      <c r="B282" s="6" t="s">
        <v>78</v>
      </c>
      <c r="C282" s="6" t="s">
        <v>50</v>
      </c>
      <c r="D282" s="7" t="n">
        <v>45418</v>
      </c>
      <c r="E282" s="7" t="n">
        <v>45431</v>
      </c>
      <c r="F282" s="6" t="s">
        <v>51</v>
      </c>
      <c r="G282" s="6" t="s">
        <v>54</v>
      </c>
      <c r="H282" s="8" t="n">
        <v>35409.86</v>
      </c>
      <c r="I282" s="6" t="n">
        <v>1164693</v>
      </c>
      <c r="J282" s="6" t="n">
        <v>34522</v>
      </c>
      <c r="K282" s="6" t="n">
        <v>396</v>
      </c>
      <c r="L282" s="8" t="n">
        <v>693739.52</v>
      </c>
      <c r="M282" s="9" t="n">
        <v>0.029640428851208</v>
      </c>
      <c r="N282" s="8" t="n">
        <v>1.02571867215109</v>
      </c>
      <c r="O282" s="8" t="n">
        <v>89.4188383838384</v>
      </c>
      <c r="P282" s="10" t="n">
        <v>19.5917046833848</v>
      </c>
      <c r="Q282" s="9" t="n">
        <v>0.0114709460633799</v>
      </c>
    </row>
    <row r="283" customFormat="false" ht="15" hidden="false" customHeight="false" outlineLevel="0" collapsed="false">
      <c r="A283" s="6" t="n">
        <v>1071</v>
      </c>
      <c r="B283" s="6" t="s">
        <v>66</v>
      </c>
      <c r="C283" s="6" t="s">
        <v>50</v>
      </c>
      <c r="D283" s="7" t="n">
        <v>45528</v>
      </c>
      <c r="E283" s="7" t="n">
        <v>45551</v>
      </c>
      <c r="F283" s="6" t="s">
        <v>60</v>
      </c>
      <c r="G283" s="6" t="s">
        <v>54</v>
      </c>
      <c r="H283" s="8" t="n">
        <v>76796.2</v>
      </c>
      <c r="I283" s="6" t="n">
        <v>2570601</v>
      </c>
      <c r="J283" s="6" t="n">
        <v>16016</v>
      </c>
      <c r="K283" s="6" t="n">
        <v>1179</v>
      </c>
      <c r="L283" s="8" t="n">
        <v>1389925.69</v>
      </c>
      <c r="M283" s="9" t="n">
        <v>0.00623044961081086</v>
      </c>
      <c r="N283" s="8" t="n">
        <v>4.79496753246753</v>
      </c>
      <c r="O283" s="8" t="n">
        <v>65.1367260390161</v>
      </c>
      <c r="P283" s="10" t="n">
        <v>18.0988862730187</v>
      </c>
      <c r="Q283" s="9" t="n">
        <v>0.0736138861138861</v>
      </c>
    </row>
    <row r="284" customFormat="false" ht="15" hidden="false" customHeight="false" outlineLevel="0" collapsed="false">
      <c r="A284" s="6" t="n">
        <v>1332</v>
      </c>
      <c r="B284" s="6" t="s">
        <v>77</v>
      </c>
      <c r="C284" s="6" t="s">
        <v>63</v>
      </c>
      <c r="D284" s="7" t="n">
        <v>45371</v>
      </c>
      <c r="E284" s="7" t="n">
        <v>45376</v>
      </c>
      <c r="F284" s="6" t="s">
        <v>48</v>
      </c>
      <c r="G284" s="6" t="s">
        <v>49</v>
      </c>
      <c r="H284" s="8" t="n">
        <v>30030.41</v>
      </c>
      <c r="I284" s="6" t="n">
        <v>831398</v>
      </c>
      <c r="J284" s="6" t="n">
        <v>20300</v>
      </c>
      <c r="K284" s="6" t="n">
        <v>622</v>
      </c>
      <c r="L284" s="8" t="n">
        <v>1025782.07</v>
      </c>
      <c r="M284" s="9" t="n">
        <v>0.02441670535652</v>
      </c>
      <c r="N284" s="8" t="n">
        <v>1.47933054187192</v>
      </c>
      <c r="O284" s="8" t="n">
        <v>48.2804019292605</v>
      </c>
      <c r="P284" s="10" t="n">
        <v>34.158110728425</v>
      </c>
      <c r="Q284" s="9" t="n">
        <v>0.03064039408867</v>
      </c>
    </row>
    <row r="285" customFormat="false" ht="15" hidden="false" customHeight="false" outlineLevel="0" collapsed="false">
      <c r="A285" s="6" t="n">
        <v>1125</v>
      </c>
      <c r="B285" s="6" t="s">
        <v>62</v>
      </c>
      <c r="C285" s="6" t="s">
        <v>47</v>
      </c>
      <c r="D285" s="7" t="n">
        <v>45329</v>
      </c>
      <c r="E285" s="7" t="n">
        <v>45336</v>
      </c>
      <c r="F285" s="6" t="s">
        <v>65</v>
      </c>
      <c r="G285" s="6" t="s">
        <v>54</v>
      </c>
      <c r="H285" s="8" t="n">
        <v>4466.26</v>
      </c>
      <c r="I285" s="6" t="n">
        <v>68192</v>
      </c>
      <c r="J285" s="6" t="n">
        <v>1637</v>
      </c>
      <c r="K285" s="6" t="n">
        <v>101</v>
      </c>
      <c r="L285" s="8" t="n">
        <v>81727.53</v>
      </c>
      <c r="M285" s="9" t="n">
        <v>0.0240057484748944</v>
      </c>
      <c r="N285" s="8" t="n">
        <v>2.72832009773977</v>
      </c>
      <c r="O285" s="8" t="n">
        <v>44.220396039604</v>
      </c>
      <c r="P285" s="10" t="n">
        <v>18.2988742258624</v>
      </c>
      <c r="Q285" s="9" t="n">
        <v>0.0616982284667074</v>
      </c>
    </row>
    <row r="286" customFormat="false" ht="15" hidden="false" customHeight="false" outlineLevel="0" collapsed="false">
      <c r="A286" s="6" t="n">
        <v>1186</v>
      </c>
      <c r="B286" s="6" t="s">
        <v>52</v>
      </c>
      <c r="C286" s="6" t="s">
        <v>71</v>
      </c>
      <c r="D286" s="7" t="n">
        <v>45529</v>
      </c>
      <c r="E286" s="7" t="n">
        <v>45537</v>
      </c>
      <c r="F286" s="6" t="s">
        <v>67</v>
      </c>
      <c r="G286" s="6" t="s">
        <v>49</v>
      </c>
      <c r="H286" s="8" t="n">
        <v>10791.2</v>
      </c>
      <c r="I286" s="6" t="n">
        <v>333015</v>
      </c>
      <c r="J286" s="6" t="n">
        <v>7462</v>
      </c>
      <c r="K286" s="6" t="n">
        <v>398</v>
      </c>
      <c r="L286" s="8" t="n">
        <v>411817.98</v>
      </c>
      <c r="M286" s="9" t="n">
        <v>0.0224073990661081</v>
      </c>
      <c r="N286" s="8" t="n">
        <v>1.44615384615385</v>
      </c>
      <c r="O286" s="8" t="n">
        <v>27.113567839196</v>
      </c>
      <c r="P286" s="10" t="n">
        <v>38.1623897249611</v>
      </c>
      <c r="Q286" s="9" t="n">
        <v>0.0533369069954436</v>
      </c>
    </row>
    <row r="287" customFormat="false" ht="15" hidden="false" customHeight="false" outlineLevel="0" collapsed="false">
      <c r="A287" s="6" t="n">
        <v>1167</v>
      </c>
      <c r="B287" s="6" t="s">
        <v>70</v>
      </c>
      <c r="C287" s="6" t="s">
        <v>59</v>
      </c>
      <c r="D287" s="7" t="n">
        <v>45357</v>
      </c>
      <c r="E287" s="7" t="n">
        <v>45367</v>
      </c>
      <c r="F287" s="6" t="s">
        <v>67</v>
      </c>
      <c r="G287" s="6" t="s">
        <v>61</v>
      </c>
      <c r="H287" s="8" t="n">
        <v>15134.84</v>
      </c>
      <c r="I287" s="6" t="n">
        <v>492642</v>
      </c>
      <c r="J287" s="6" t="n">
        <v>10929</v>
      </c>
      <c r="K287" s="6" t="n">
        <v>760</v>
      </c>
      <c r="L287" s="8" t="n">
        <v>1115455.09</v>
      </c>
      <c r="M287" s="9" t="n">
        <v>0.0221844666106422</v>
      </c>
      <c r="N287" s="8" t="n">
        <v>1.38483301308445</v>
      </c>
      <c r="O287" s="8" t="n">
        <v>19.9142631578947</v>
      </c>
      <c r="P287" s="10" t="n">
        <v>73.7011484759667</v>
      </c>
      <c r="Q287" s="9" t="n">
        <v>0.0695397566108519</v>
      </c>
    </row>
    <row r="288" customFormat="false" ht="15" hidden="false" customHeight="false" outlineLevel="0" collapsed="false">
      <c r="A288" s="6" t="n">
        <v>1113</v>
      </c>
      <c r="B288" s="6" t="s">
        <v>58</v>
      </c>
      <c r="C288" s="6" t="s">
        <v>59</v>
      </c>
      <c r="D288" s="7" t="n">
        <v>45558</v>
      </c>
      <c r="E288" s="7" t="n">
        <v>45570</v>
      </c>
      <c r="F288" s="6" t="s">
        <v>56</v>
      </c>
      <c r="G288" s="6" t="s">
        <v>72</v>
      </c>
      <c r="H288" s="8" t="n">
        <v>37537.57</v>
      </c>
      <c r="I288" s="6" t="n">
        <v>620268</v>
      </c>
      <c r="J288" s="6" t="n">
        <v>20751</v>
      </c>
      <c r="K288" s="6" t="n">
        <v>1485</v>
      </c>
      <c r="L288" s="8" t="n">
        <v>2482604.61</v>
      </c>
      <c r="M288" s="9" t="n">
        <v>0.0334548936911142</v>
      </c>
      <c r="N288" s="8" t="n">
        <v>1.80895233964628</v>
      </c>
      <c r="O288" s="8" t="n">
        <v>25.2778249158249</v>
      </c>
      <c r="P288" s="10" t="n">
        <v>66.1365296155292</v>
      </c>
      <c r="Q288" s="9" t="n">
        <v>0.0715628162498193</v>
      </c>
    </row>
    <row r="289" customFormat="false" ht="15" hidden="false" customHeight="false" outlineLevel="0" collapsed="false">
      <c r="A289" s="6" t="n">
        <v>1460</v>
      </c>
      <c r="B289" s="6" t="s">
        <v>58</v>
      </c>
      <c r="C289" s="6" t="s">
        <v>47</v>
      </c>
      <c r="D289" s="7" t="n">
        <v>45432</v>
      </c>
      <c r="E289" s="7" t="n">
        <v>45459</v>
      </c>
      <c r="F289" s="6" t="s">
        <v>53</v>
      </c>
      <c r="G289" s="6" t="s">
        <v>54</v>
      </c>
      <c r="H289" s="8" t="n">
        <v>4347.98</v>
      </c>
      <c r="I289" s="6" t="n">
        <v>155297</v>
      </c>
      <c r="J289" s="6" t="n">
        <v>3082</v>
      </c>
      <c r="K289" s="6" t="n">
        <v>182</v>
      </c>
      <c r="L289" s="8" t="n">
        <v>163113.41</v>
      </c>
      <c r="M289" s="9" t="n">
        <v>0.019845843770324</v>
      </c>
      <c r="N289" s="8" t="n">
        <v>1.41076573653472</v>
      </c>
      <c r="O289" s="8" t="n">
        <v>23.89</v>
      </c>
      <c r="P289" s="10" t="n">
        <v>37.5147562776278</v>
      </c>
      <c r="Q289" s="9" t="n">
        <v>0.0590525632706035</v>
      </c>
    </row>
    <row r="290" customFormat="false" ht="15" hidden="false" customHeight="false" outlineLevel="0" collapsed="false">
      <c r="A290" s="6" t="n">
        <v>1117</v>
      </c>
      <c r="B290" s="6" t="s">
        <v>68</v>
      </c>
      <c r="C290" s="6" t="s">
        <v>50</v>
      </c>
      <c r="D290" s="7" t="n">
        <v>45452</v>
      </c>
      <c r="E290" s="7" t="n">
        <v>45470</v>
      </c>
      <c r="F290" s="6" t="s">
        <v>48</v>
      </c>
      <c r="G290" s="6" t="s">
        <v>49</v>
      </c>
      <c r="H290" s="8" t="n">
        <v>49376.73</v>
      </c>
      <c r="I290" s="6" t="n">
        <v>1013795</v>
      </c>
      <c r="J290" s="6" t="n">
        <v>9507</v>
      </c>
      <c r="K290" s="6" t="n">
        <v>268</v>
      </c>
      <c r="L290" s="8" t="n">
        <v>457047.06</v>
      </c>
      <c r="M290" s="9" t="n">
        <v>0.00937763551802879</v>
      </c>
      <c r="N290" s="8" t="n">
        <v>5.19372357210477</v>
      </c>
      <c r="O290" s="8" t="n">
        <v>184.241529850746</v>
      </c>
      <c r="P290" s="10" t="n">
        <v>9.25632499357491</v>
      </c>
      <c r="Q290" s="9" t="n">
        <v>0.0281897549174293</v>
      </c>
    </row>
    <row r="291" customFormat="false" ht="15" hidden="false" customHeight="false" outlineLevel="0" collapsed="false">
      <c r="A291" s="6" t="n">
        <v>1791</v>
      </c>
      <c r="B291" s="6" t="s">
        <v>73</v>
      </c>
      <c r="C291" s="6" t="s">
        <v>59</v>
      </c>
      <c r="D291" s="7" t="n">
        <v>45409</v>
      </c>
      <c r="E291" s="7" t="n">
        <v>45435</v>
      </c>
      <c r="F291" s="6" t="s">
        <v>69</v>
      </c>
      <c r="G291" s="6" t="s">
        <v>49</v>
      </c>
      <c r="H291" s="8" t="n">
        <v>34060.64</v>
      </c>
      <c r="I291" s="6" t="n">
        <v>736872</v>
      </c>
      <c r="J291" s="6" t="n">
        <v>15417</v>
      </c>
      <c r="K291" s="6" t="n">
        <v>197</v>
      </c>
      <c r="L291" s="8" t="n">
        <v>340891.25</v>
      </c>
      <c r="M291" s="9" t="n">
        <v>0.0209222225841123</v>
      </c>
      <c r="N291" s="8" t="n">
        <v>2.20929104235584</v>
      </c>
      <c r="O291" s="8" t="n">
        <v>172.896649746193</v>
      </c>
      <c r="P291" s="10" t="n">
        <v>10.0083630254746</v>
      </c>
      <c r="Q291" s="9" t="n">
        <v>0.0127781020950898</v>
      </c>
    </row>
    <row r="292" customFormat="false" ht="15" hidden="false" customHeight="false" outlineLevel="0" collapsed="false">
      <c r="A292" s="6" t="n">
        <v>1786</v>
      </c>
      <c r="B292" s="6" t="s">
        <v>66</v>
      </c>
      <c r="C292" s="6" t="s">
        <v>71</v>
      </c>
      <c r="D292" s="7" t="n">
        <v>45588</v>
      </c>
      <c r="E292" s="7" t="n">
        <v>45600</v>
      </c>
      <c r="F292" s="6" t="s">
        <v>48</v>
      </c>
      <c r="G292" s="6" t="s">
        <v>54</v>
      </c>
      <c r="H292" s="8" t="n">
        <v>33043.03</v>
      </c>
      <c r="I292" s="6" t="n">
        <v>834237</v>
      </c>
      <c r="J292" s="6" t="n">
        <v>27443</v>
      </c>
      <c r="K292" s="6" t="n">
        <v>1558</v>
      </c>
      <c r="L292" s="8" t="n">
        <v>2062603.48</v>
      </c>
      <c r="M292" s="9" t="n">
        <v>0.0328959276560498</v>
      </c>
      <c r="N292" s="8" t="n">
        <v>1.20406041613526</v>
      </c>
      <c r="O292" s="8" t="n">
        <v>21.2086200256739</v>
      </c>
      <c r="P292" s="10" t="n">
        <v>62.4217415896787</v>
      </c>
      <c r="Q292" s="9" t="n">
        <v>0.0567722187807455</v>
      </c>
    </row>
    <row r="293" customFormat="false" ht="15" hidden="false" customHeight="false" outlineLevel="0" collapsed="false">
      <c r="A293" s="6" t="n">
        <v>1111</v>
      </c>
      <c r="B293" s="6" t="s">
        <v>74</v>
      </c>
      <c r="C293" s="6" t="s">
        <v>63</v>
      </c>
      <c r="D293" s="7" t="n">
        <v>45564</v>
      </c>
      <c r="E293" s="7" t="n">
        <v>45581</v>
      </c>
      <c r="F293" s="6" t="s">
        <v>60</v>
      </c>
      <c r="G293" s="6" t="s">
        <v>72</v>
      </c>
      <c r="H293" s="8" t="n">
        <v>16890.53</v>
      </c>
      <c r="I293" s="6" t="n">
        <v>399528</v>
      </c>
      <c r="J293" s="6" t="n">
        <v>5301</v>
      </c>
      <c r="K293" s="6" t="n">
        <v>400</v>
      </c>
      <c r="L293" s="8" t="n">
        <v>560513.89</v>
      </c>
      <c r="M293" s="9" t="n">
        <v>0.013268156424581</v>
      </c>
      <c r="N293" s="8" t="n">
        <v>3.18629126579891</v>
      </c>
      <c r="O293" s="8" t="n">
        <v>42.226325</v>
      </c>
      <c r="P293" s="10" t="n">
        <v>33.1850978033253</v>
      </c>
      <c r="Q293" s="9" t="n">
        <v>0.0754574608564422</v>
      </c>
    </row>
    <row r="294" customFormat="false" ht="15" hidden="false" customHeight="false" outlineLevel="0" collapsed="false">
      <c r="A294" s="6" t="n">
        <v>1692</v>
      </c>
      <c r="B294" s="6" t="s">
        <v>52</v>
      </c>
      <c r="C294" s="6" t="s">
        <v>47</v>
      </c>
      <c r="D294" s="7" t="n">
        <v>45320</v>
      </c>
      <c r="E294" s="7" t="n">
        <v>45341</v>
      </c>
      <c r="F294" s="6" t="s">
        <v>67</v>
      </c>
      <c r="G294" s="6" t="s">
        <v>72</v>
      </c>
      <c r="H294" s="8" t="n">
        <v>2316.55</v>
      </c>
      <c r="I294" s="6" t="n">
        <v>39913</v>
      </c>
      <c r="J294" s="6" t="n">
        <v>1267</v>
      </c>
      <c r="K294" s="6" t="n">
        <v>78</v>
      </c>
      <c r="L294" s="8" t="n">
        <v>91911.19</v>
      </c>
      <c r="M294" s="9" t="n">
        <v>0.0317440432941648</v>
      </c>
      <c r="N294" s="8" t="n">
        <v>1.82837411207577</v>
      </c>
      <c r="O294" s="8" t="n">
        <v>29.699358974359</v>
      </c>
      <c r="P294" s="10" t="n">
        <v>39.6758930305843</v>
      </c>
      <c r="Q294" s="9" t="n">
        <v>0.0615627466456196</v>
      </c>
    </row>
    <row r="295" customFormat="false" ht="15" hidden="false" customHeight="false" outlineLevel="0" collapsed="false">
      <c r="A295" s="6" t="n">
        <v>1227</v>
      </c>
      <c r="B295" s="6" t="s">
        <v>74</v>
      </c>
      <c r="C295" s="6" t="s">
        <v>59</v>
      </c>
      <c r="D295" s="7" t="n">
        <v>45563</v>
      </c>
      <c r="E295" s="7" t="n">
        <v>45581</v>
      </c>
      <c r="F295" s="6" t="s">
        <v>69</v>
      </c>
      <c r="G295" s="6" t="s">
        <v>49</v>
      </c>
      <c r="H295" s="8" t="n">
        <v>85381.62</v>
      </c>
      <c r="I295" s="6" t="n">
        <v>2309836</v>
      </c>
      <c r="J295" s="6" t="n">
        <v>64814</v>
      </c>
      <c r="K295" s="6" t="n">
        <v>2238</v>
      </c>
      <c r="L295" s="8" t="n">
        <v>3394375.73</v>
      </c>
      <c r="M295" s="9" t="n">
        <v>0.0280600007965934</v>
      </c>
      <c r="N295" s="8" t="n">
        <v>1.31733298361465</v>
      </c>
      <c r="O295" s="8" t="n">
        <v>38.1508579088472</v>
      </c>
      <c r="P295" s="10" t="n">
        <v>39.7553446514601</v>
      </c>
      <c r="Q295" s="9" t="n">
        <v>0.034529576943253</v>
      </c>
    </row>
    <row r="296" customFormat="false" ht="15" hidden="false" customHeight="false" outlineLevel="0" collapsed="false">
      <c r="A296" s="6" t="n">
        <v>1016</v>
      </c>
      <c r="B296" s="6" t="s">
        <v>70</v>
      </c>
      <c r="C296" s="6" t="s">
        <v>50</v>
      </c>
      <c r="D296" s="7" t="n">
        <v>45360</v>
      </c>
      <c r="E296" s="7" t="n">
        <v>45373</v>
      </c>
      <c r="F296" s="6" t="s">
        <v>53</v>
      </c>
      <c r="G296" s="6" t="s">
        <v>57</v>
      </c>
      <c r="H296" s="8" t="n">
        <v>72279.89</v>
      </c>
      <c r="I296" s="6" t="n">
        <v>2425743</v>
      </c>
      <c r="J296" s="6" t="n">
        <v>23441</v>
      </c>
      <c r="K296" s="6" t="n">
        <v>696</v>
      </c>
      <c r="L296" s="8" t="n">
        <v>456167.45</v>
      </c>
      <c r="M296" s="9" t="n">
        <v>0.00966343095703049</v>
      </c>
      <c r="N296" s="8" t="n">
        <v>3.08348150676166</v>
      </c>
      <c r="O296" s="8" t="n">
        <v>103.850416666667</v>
      </c>
      <c r="P296" s="10" t="n">
        <v>6.3111254043137</v>
      </c>
      <c r="Q296" s="9" t="n">
        <v>0.0296915660594685</v>
      </c>
    </row>
    <row r="297" customFormat="false" ht="15" hidden="false" customHeight="false" outlineLevel="0" collapsed="false">
      <c r="A297" s="6" t="n">
        <v>1560</v>
      </c>
      <c r="B297" s="6" t="s">
        <v>74</v>
      </c>
      <c r="C297" s="6" t="s">
        <v>59</v>
      </c>
      <c r="D297" s="7" t="n">
        <v>45357</v>
      </c>
      <c r="E297" s="7" t="n">
        <v>45387</v>
      </c>
      <c r="F297" s="6" t="s">
        <v>53</v>
      </c>
      <c r="G297" s="6" t="s">
        <v>49</v>
      </c>
      <c r="H297" s="8" t="n">
        <v>37367.02</v>
      </c>
      <c r="I297" s="6" t="n">
        <v>670670</v>
      </c>
      <c r="J297" s="6" t="n">
        <v>7992</v>
      </c>
      <c r="K297" s="6" t="n">
        <v>416</v>
      </c>
      <c r="L297" s="8" t="n">
        <v>345210.82</v>
      </c>
      <c r="M297" s="9" t="n">
        <v>0.011916441767188</v>
      </c>
      <c r="N297" s="8" t="n">
        <v>4.67555305305305</v>
      </c>
      <c r="O297" s="8" t="n">
        <v>89.8245673076923</v>
      </c>
      <c r="P297" s="10" t="n">
        <v>9.23838240245008</v>
      </c>
      <c r="Q297" s="9" t="n">
        <v>0.0520520520520521</v>
      </c>
    </row>
    <row r="298" customFormat="false" ht="15" hidden="false" customHeight="false" outlineLevel="0" collapsed="false">
      <c r="A298" s="6" t="n">
        <v>1648</v>
      </c>
      <c r="B298" s="6" t="s">
        <v>64</v>
      </c>
      <c r="C298" s="6" t="s">
        <v>47</v>
      </c>
      <c r="D298" s="7" t="n">
        <v>45398</v>
      </c>
      <c r="E298" s="7" t="n">
        <v>45424</v>
      </c>
      <c r="F298" s="6" t="s">
        <v>65</v>
      </c>
      <c r="G298" s="6" t="s">
        <v>75</v>
      </c>
      <c r="H298" s="8" t="n">
        <v>2791.51</v>
      </c>
      <c r="I298" s="6" t="n">
        <v>99974</v>
      </c>
      <c r="J298" s="6" t="n">
        <v>570</v>
      </c>
      <c r="K298" s="6" t="n">
        <v>22</v>
      </c>
      <c r="L298" s="8" t="n">
        <v>19898.76</v>
      </c>
      <c r="M298" s="9" t="n">
        <v>0.00570148238542021</v>
      </c>
      <c r="N298" s="8" t="n">
        <v>4.89738596491228</v>
      </c>
      <c r="O298" s="8" t="n">
        <v>126.886818181818</v>
      </c>
      <c r="P298" s="10" t="n">
        <v>7.12831406658045</v>
      </c>
      <c r="Q298" s="9" t="n">
        <v>0.0385964912280702</v>
      </c>
    </row>
    <row r="299" customFormat="false" ht="15" hidden="false" customHeight="false" outlineLevel="0" collapsed="false">
      <c r="A299" s="6" t="n">
        <v>1061</v>
      </c>
      <c r="B299" s="6" t="s">
        <v>58</v>
      </c>
      <c r="C299" s="6" t="s">
        <v>47</v>
      </c>
      <c r="D299" s="7" t="n">
        <v>45512</v>
      </c>
      <c r="E299" s="7" t="n">
        <v>45531</v>
      </c>
      <c r="F299" s="6" t="s">
        <v>65</v>
      </c>
      <c r="G299" s="6" t="s">
        <v>54</v>
      </c>
      <c r="H299" s="8" t="n">
        <v>3896.69</v>
      </c>
      <c r="I299" s="6" t="n">
        <v>139055</v>
      </c>
      <c r="J299" s="6" t="n">
        <v>2358</v>
      </c>
      <c r="K299" s="6" t="n">
        <v>144</v>
      </c>
      <c r="L299" s="8" t="n">
        <v>115660.1</v>
      </c>
      <c r="M299" s="9" t="n">
        <v>0.0169573190464205</v>
      </c>
      <c r="N299" s="8" t="n">
        <v>1.65254028837998</v>
      </c>
      <c r="O299" s="8" t="n">
        <v>27.0603472222222</v>
      </c>
      <c r="P299" s="10" t="n">
        <v>29.6816272272108</v>
      </c>
      <c r="Q299" s="9" t="n">
        <v>0.0610687022900763</v>
      </c>
    </row>
    <row r="300" customFormat="false" ht="15" hidden="false" customHeight="false" outlineLevel="0" collapsed="false">
      <c r="A300" s="6" t="n">
        <v>1455</v>
      </c>
      <c r="B300" s="6" t="s">
        <v>79</v>
      </c>
      <c r="C300" s="6" t="s">
        <v>50</v>
      </c>
      <c r="D300" s="7" t="n">
        <v>45343</v>
      </c>
      <c r="E300" s="7" t="n">
        <v>45371</v>
      </c>
      <c r="F300" s="6" t="s">
        <v>51</v>
      </c>
      <c r="G300" s="6" t="s">
        <v>57</v>
      </c>
      <c r="H300" s="8" t="n">
        <v>30570.41</v>
      </c>
      <c r="I300" s="6" t="n">
        <v>607645</v>
      </c>
      <c r="J300" s="6" t="n">
        <v>5647</v>
      </c>
      <c r="K300" s="6" t="n">
        <v>262</v>
      </c>
      <c r="L300" s="8" t="n">
        <v>308962.01</v>
      </c>
      <c r="M300" s="9" t="n">
        <v>0.00929325510783434</v>
      </c>
      <c r="N300" s="8" t="n">
        <v>5.41356649548433</v>
      </c>
      <c r="O300" s="8" t="n">
        <v>116.680954198473</v>
      </c>
      <c r="P300" s="10" t="n">
        <v>10.1065707002294</v>
      </c>
      <c r="Q300" s="9" t="n">
        <v>0.0463963166282982</v>
      </c>
    </row>
    <row r="301" customFormat="false" ht="15" hidden="false" customHeight="false" outlineLevel="0" collapsed="false">
      <c r="A301" s="6" t="n">
        <v>1080</v>
      </c>
      <c r="B301" s="6" t="s">
        <v>58</v>
      </c>
      <c r="C301" s="6" t="s">
        <v>71</v>
      </c>
      <c r="D301" s="7" t="n">
        <v>45511</v>
      </c>
      <c r="E301" s="7" t="n">
        <v>45516</v>
      </c>
      <c r="F301" s="6" t="s">
        <v>67</v>
      </c>
      <c r="G301" s="6" t="s">
        <v>57</v>
      </c>
      <c r="H301" s="8" t="n">
        <v>26346.43</v>
      </c>
      <c r="I301" s="6" t="n">
        <v>771070</v>
      </c>
      <c r="J301" s="6" t="n">
        <v>8188</v>
      </c>
      <c r="K301" s="6" t="n">
        <v>464</v>
      </c>
      <c r="L301" s="8" t="n">
        <v>514600.41</v>
      </c>
      <c r="M301" s="9" t="n">
        <v>0.0106190099472162</v>
      </c>
      <c r="N301" s="8" t="n">
        <v>3.21768808011724</v>
      </c>
      <c r="O301" s="8" t="n">
        <v>56.781099137931</v>
      </c>
      <c r="P301" s="10" t="n">
        <v>19.5320736054183</v>
      </c>
      <c r="Q301" s="9" t="n">
        <v>0.0566682950659502</v>
      </c>
    </row>
    <row r="302" customFormat="false" ht="15" hidden="false" customHeight="false" outlineLevel="0" collapsed="false">
      <c r="A302" s="6" t="n">
        <v>1243</v>
      </c>
      <c r="B302" s="6" t="s">
        <v>52</v>
      </c>
      <c r="C302" s="6" t="s">
        <v>50</v>
      </c>
      <c r="D302" s="7" t="n">
        <v>45519</v>
      </c>
      <c r="E302" s="7" t="n">
        <v>45548</v>
      </c>
      <c r="F302" s="6" t="s">
        <v>67</v>
      </c>
      <c r="G302" s="6" t="s">
        <v>72</v>
      </c>
      <c r="H302" s="8" t="n">
        <v>62352.68</v>
      </c>
      <c r="I302" s="6" t="n">
        <v>1747333</v>
      </c>
      <c r="J302" s="6" t="n">
        <v>32340</v>
      </c>
      <c r="K302" s="6" t="n">
        <v>702</v>
      </c>
      <c r="L302" s="8" t="n">
        <v>1115202.24</v>
      </c>
      <c r="M302" s="9" t="n">
        <v>0.0185082065067162</v>
      </c>
      <c r="N302" s="8" t="n">
        <v>1.92803586889301</v>
      </c>
      <c r="O302" s="8" t="n">
        <v>88.8214814814815</v>
      </c>
      <c r="P302" s="10" t="n">
        <v>17.8853938595743</v>
      </c>
      <c r="Q302" s="9" t="n">
        <v>0.0217068645640074</v>
      </c>
    </row>
    <row r="303" customFormat="false" ht="15" hidden="false" customHeight="false" outlineLevel="0" collapsed="false">
      <c r="A303" s="6" t="n">
        <v>1286</v>
      </c>
      <c r="B303" s="6" t="s">
        <v>62</v>
      </c>
      <c r="C303" s="6" t="s">
        <v>63</v>
      </c>
      <c r="D303" s="7" t="n">
        <v>45320</v>
      </c>
      <c r="E303" s="7" t="n">
        <v>45341</v>
      </c>
      <c r="F303" s="6" t="s">
        <v>60</v>
      </c>
      <c r="G303" s="6" t="s">
        <v>57</v>
      </c>
      <c r="H303" s="8" t="n">
        <v>30857.48</v>
      </c>
      <c r="I303" s="6" t="n">
        <v>986048</v>
      </c>
      <c r="J303" s="6" t="n">
        <v>21353</v>
      </c>
      <c r="K303" s="6" t="n">
        <v>241</v>
      </c>
      <c r="L303" s="8" t="n">
        <v>286121.61</v>
      </c>
      <c r="M303" s="9" t="n">
        <v>0.0216551324073473</v>
      </c>
      <c r="N303" s="8" t="n">
        <v>1.44511216222545</v>
      </c>
      <c r="O303" s="8" t="n">
        <v>128.039336099585</v>
      </c>
      <c r="P303" s="10" t="n">
        <v>9.27235827423367</v>
      </c>
      <c r="Q303" s="9" t="n">
        <v>0.0112864702852058</v>
      </c>
    </row>
    <row r="304" customFormat="false" ht="15" hidden="false" customHeight="false" outlineLevel="0" collapsed="false">
      <c r="A304" s="6" t="n">
        <v>1012</v>
      </c>
      <c r="B304" s="6" t="s">
        <v>73</v>
      </c>
      <c r="C304" s="6" t="s">
        <v>71</v>
      </c>
      <c r="D304" s="7" t="n">
        <v>45322</v>
      </c>
      <c r="E304" s="7" t="n">
        <v>45332</v>
      </c>
      <c r="F304" s="6" t="s">
        <v>60</v>
      </c>
      <c r="G304" s="6" t="s">
        <v>49</v>
      </c>
      <c r="H304" s="8" t="n">
        <v>8112.08</v>
      </c>
      <c r="I304" s="6" t="n">
        <v>200859</v>
      </c>
      <c r="J304" s="6" t="n">
        <v>6587</v>
      </c>
      <c r="K304" s="6" t="n">
        <v>427</v>
      </c>
      <c r="L304" s="8" t="n">
        <v>326062.06</v>
      </c>
      <c r="M304" s="9" t="n">
        <v>0.0327941491294888</v>
      </c>
      <c r="N304" s="8" t="n">
        <v>1.231528768787</v>
      </c>
      <c r="O304" s="8" t="n">
        <v>18.9978454332553</v>
      </c>
      <c r="P304" s="10" t="n">
        <v>40.1946307235629</v>
      </c>
      <c r="Q304" s="9" t="n">
        <v>0.0648246546227418</v>
      </c>
    </row>
    <row r="305" customFormat="false" ht="15" hidden="false" customHeight="false" outlineLevel="0" collapsed="false">
      <c r="A305" s="6" t="n">
        <v>1390</v>
      </c>
      <c r="B305" s="6" t="s">
        <v>76</v>
      </c>
      <c r="C305" s="6" t="s">
        <v>50</v>
      </c>
      <c r="D305" s="7" t="n">
        <v>45497</v>
      </c>
      <c r="E305" s="7" t="n">
        <v>45526</v>
      </c>
      <c r="F305" s="6" t="s">
        <v>48</v>
      </c>
      <c r="G305" s="6" t="s">
        <v>57</v>
      </c>
      <c r="H305" s="8" t="n">
        <v>40385.06</v>
      </c>
      <c r="I305" s="6" t="n">
        <v>1002827</v>
      </c>
      <c r="J305" s="6" t="n">
        <v>6130</v>
      </c>
      <c r="K305" s="6" t="n">
        <v>457</v>
      </c>
      <c r="L305" s="8" t="n">
        <v>259978.41</v>
      </c>
      <c r="M305" s="9" t="n">
        <v>0.00611271934241898</v>
      </c>
      <c r="N305" s="8" t="n">
        <v>6.58810114192496</v>
      </c>
      <c r="O305" s="8" t="n">
        <v>88.3699343544858</v>
      </c>
      <c r="P305" s="10" t="n">
        <v>6.4374897548747</v>
      </c>
      <c r="Q305" s="9" t="n">
        <v>0.0745513866231648</v>
      </c>
    </row>
    <row r="306" customFormat="false" ht="15" hidden="false" customHeight="false" outlineLevel="0" collapsed="false">
      <c r="A306" s="6" t="n">
        <v>1461</v>
      </c>
      <c r="B306" s="6" t="s">
        <v>55</v>
      </c>
      <c r="C306" s="6" t="s">
        <v>63</v>
      </c>
      <c r="D306" s="7" t="n">
        <v>45373</v>
      </c>
      <c r="E306" s="7" t="n">
        <v>45378</v>
      </c>
      <c r="F306" s="6" t="s">
        <v>67</v>
      </c>
      <c r="G306" s="6" t="s">
        <v>61</v>
      </c>
      <c r="H306" s="8" t="n">
        <v>23260.57</v>
      </c>
      <c r="I306" s="6" t="n">
        <v>594561</v>
      </c>
      <c r="J306" s="6" t="n">
        <v>11417</v>
      </c>
      <c r="K306" s="6" t="n">
        <v>392</v>
      </c>
      <c r="L306" s="8" t="n">
        <v>359650.57</v>
      </c>
      <c r="M306" s="9" t="n">
        <v>0.0192024031175943</v>
      </c>
      <c r="N306" s="8" t="n">
        <v>2.03736270473855</v>
      </c>
      <c r="O306" s="8" t="n">
        <v>59.3381887755102</v>
      </c>
      <c r="P306" s="10" t="n">
        <v>15.4618124147431</v>
      </c>
      <c r="Q306" s="9" t="n">
        <v>0.0343347639484979</v>
      </c>
    </row>
    <row r="307" customFormat="false" ht="15" hidden="false" customHeight="false" outlineLevel="0" collapsed="false">
      <c r="A307" s="6" t="n">
        <v>1635</v>
      </c>
      <c r="B307" s="6" t="s">
        <v>73</v>
      </c>
      <c r="C307" s="6" t="s">
        <v>47</v>
      </c>
      <c r="D307" s="7" t="n">
        <v>45538</v>
      </c>
      <c r="E307" s="7" t="n">
        <v>45566</v>
      </c>
      <c r="F307" s="6" t="s">
        <v>51</v>
      </c>
      <c r="G307" s="6" t="s">
        <v>57</v>
      </c>
      <c r="H307" s="8" t="n">
        <v>3050.74</v>
      </c>
      <c r="I307" s="6" t="n">
        <v>76146</v>
      </c>
      <c r="J307" s="6" t="n">
        <v>2259</v>
      </c>
      <c r="K307" s="6" t="n">
        <v>144</v>
      </c>
      <c r="L307" s="8" t="n">
        <v>126272.34</v>
      </c>
      <c r="M307" s="9" t="n">
        <v>0.0296666929319991</v>
      </c>
      <c r="N307" s="8" t="n">
        <v>1.3504825143869</v>
      </c>
      <c r="O307" s="8" t="n">
        <v>21.1856944444444</v>
      </c>
      <c r="P307" s="10" t="n">
        <v>41.3907248733094</v>
      </c>
      <c r="Q307" s="9" t="n">
        <v>0.0637450199203187</v>
      </c>
    </row>
    <row r="308" customFormat="false" ht="15" hidden="false" customHeight="false" outlineLevel="0" collapsed="false">
      <c r="A308" s="6" t="n">
        <v>1289</v>
      </c>
      <c r="B308" s="6" t="s">
        <v>46</v>
      </c>
      <c r="C308" s="6" t="s">
        <v>71</v>
      </c>
      <c r="D308" s="7" t="n">
        <v>45294</v>
      </c>
      <c r="E308" s="7" t="n">
        <v>45308</v>
      </c>
      <c r="F308" s="6" t="s">
        <v>53</v>
      </c>
      <c r="G308" s="6" t="s">
        <v>54</v>
      </c>
      <c r="H308" s="8" t="n">
        <v>43726.72</v>
      </c>
      <c r="I308" s="6" t="n">
        <v>1305556</v>
      </c>
      <c r="J308" s="6" t="n">
        <v>9938</v>
      </c>
      <c r="K308" s="6" t="n">
        <v>424</v>
      </c>
      <c r="L308" s="8" t="n">
        <v>176766.73</v>
      </c>
      <c r="M308" s="9" t="n">
        <v>0.00761208251503574</v>
      </c>
      <c r="N308" s="8" t="n">
        <v>4.39995170054337</v>
      </c>
      <c r="O308" s="8" t="n">
        <v>103.129056603774</v>
      </c>
      <c r="P308" s="10" t="n">
        <v>4.04253348982041</v>
      </c>
      <c r="Q308" s="9" t="n">
        <v>0.0426645200241497</v>
      </c>
    </row>
    <row r="309" customFormat="false" ht="15" hidden="false" customHeight="false" outlineLevel="0" collapsed="false">
      <c r="A309" s="6" t="n">
        <v>1499</v>
      </c>
      <c r="B309" s="6" t="s">
        <v>68</v>
      </c>
      <c r="C309" s="6" t="s">
        <v>71</v>
      </c>
      <c r="D309" s="7" t="n">
        <v>45363</v>
      </c>
      <c r="E309" s="7" t="n">
        <v>45377</v>
      </c>
      <c r="F309" s="6" t="s">
        <v>48</v>
      </c>
      <c r="G309" s="6" t="s">
        <v>54</v>
      </c>
      <c r="H309" s="8" t="n">
        <v>15495.29</v>
      </c>
      <c r="I309" s="6" t="n">
        <v>562987</v>
      </c>
      <c r="J309" s="6" t="n">
        <v>19228</v>
      </c>
      <c r="K309" s="6" t="n">
        <v>1421</v>
      </c>
      <c r="L309" s="8" t="n">
        <v>997003.79</v>
      </c>
      <c r="M309" s="9" t="n">
        <v>0.0341535417336457</v>
      </c>
      <c r="N309" s="8" t="n">
        <v>0.805871125442064</v>
      </c>
      <c r="O309" s="8" t="n">
        <v>10.904496833216</v>
      </c>
      <c r="P309" s="10" t="n">
        <v>64.3423769416384</v>
      </c>
      <c r="Q309" s="9" t="n">
        <v>0.0739026419804452</v>
      </c>
    </row>
    <row r="310" customFormat="false" ht="15" hidden="false" customHeight="false" outlineLevel="0" collapsed="false">
      <c r="A310" s="6" t="n">
        <v>1671</v>
      </c>
      <c r="B310" s="6" t="s">
        <v>76</v>
      </c>
      <c r="C310" s="6" t="s">
        <v>63</v>
      </c>
      <c r="D310" s="7" t="n">
        <v>45560</v>
      </c>
      <c r="E310" s="7" t="n">
        <v>45568</v>
      </c>
      <c r="F310" s="6" t="s">
        <v>67</v>
      </c>
      <c r="G310" s="6" t="s">
        <v>72</v>
      </c>
      <c r="H310" s="8" t="n">
        <v>32331.65</v>
      </c>
      <c r="I310" s="6" t="n">
        <v>672644</v>
      </c>
      <c r="J310" s="6" t="n">
        <v>12207</v>
      </c>
      <c r="K310" s="6" t="n">
        <v>824</v>
      </c>
      <c r="L310" s="8" t="n">
        <v>935096.83</v>
      </c>
      <c r="M310" s="9" t="n">
        <v>0.0181477869422756</v>
      </c>
      <c r="N310" s="8" t="n">
        <v>2.6486155484558</v>
      </c>
      <c r="O310" s="8" t="n">
        <v>39.2374393203884</v>
      </c>
      <c r="P310" s="10" t="n">
        <v>28.9220262498202</v>
      </c>
      <c r="Q310" s="9" t="n">
        <v>0.0675022528057672</v>
      </c>
    </row>
    <row r="311" customFormat="false" ht="15" hidden="false" customHeight="false" outlineLevel="0" collapsed="false">
      <c r="A311" s="6" t="n">
        <v>1622</v>
      </c>
      <c r="B311" s="6" t="s">
        <v>78</v>
      </c>
      <c r="C311" s="6" t="s">
        <v>71</v>
      </c>
      <c r="D311" s="7" t="n">
        <v>45514</v>
      </c>
      <c r="E311" s="7" t="n">
        <v>45520</v>
      </c>
      <c r="F311" s="6" t="s">
        <v>51</v>
      </c>
      <c r="G311" s="6" t="s">
        <v>57</v>
      </c>
      <c r="H311" s="8" t="n">
        <v>22649.13</v>
      </c>
      <c r="I311" s="6" t="n">
        <v>408562</v>
      </c>
      <c r="J311" s="6" t="n">
        <v>8044</v>
      </c>
      <c r="K311" s="6" t="n">
        <v>287</v>
      </c>
      <c r="L311" s="8" t="n">
        <v>470476.4</v>
      </c>
      <c r="M311" s="9" t="n">
        <v>0.0196885662396405</v>
      </c>
      <c r="N311" s="8" t="n">
        <v>2.81565514669319</v>
      </c>
      <c r="O311" s="8" t="n">
        <v>78.9168292682927</v>
      </c>
      <c r="P311" s="10" t="n">
        <v>20.7723828685693</v>
      </c>
      <c r="Q311" s="9" t="n">
        <v>0.0356787667826952</v>
      </c>
    </row>
    <row r="312" customFormat="false" ht="15" hidden="false" customHeight="false" outlineLevel="0" collapsed="false">
      <c r="A312" s="6" t="n">
        <v>1325</v>
      </c>
      <c r="B312" s="6" t="s">
        <v>74</v>
      </c>
      <c r="C312" s="6" t="s">
        <v>63</v>
      </c>
      <c r="D312" s="7" t="n">
        <v>45386</v>
      </c>
      <c r="E312" s="7" t="n">
        <v>45416</v>
      </c>
      <c r="F312" s="6" t="s">
        <v>60</v>
      </c>
      <c r="G312" s="6" t="s">
        <v>49</v>
      </c>
      <c r="H312" s="8" t="n">
        <v>33579.68</v>
      </c>
      <c r="I312" s="6" t="n">
        <v>1094615</v>
      </c>
      <c r="J312" s="6" t="n">
        <v>5517</v>
      </c>
      <c r="K312" s="6" t="n">
        <v>297</v>
      </c>
      <c r="L312" s="8" t="n">
        <v>269698.26</v>
      </c>
      <c r="M312" s="9" t="n">
        <v>0.00504012826427557</v>
      </c>
      <c r="N312" s="8" t="n">
        <v>6.08658328801885</v>
      </c>
      <c r="O312" s="8" t="n">
        <v>113.062895622896</v>
      </c>
      <c r="P312" s="10" t="n">
        <v>8.03159112892082</v>
      </c>
      <c r="Q312" s="9" t="n">
        <v>0.0538336052202284</v>
      </c>
    </row>
    <row r="313" customFormat="false" ht="15" hidden="false" customHeight="false" outlineLevel="0" collapsed="false">
      <c r="A313" s="6" t="n">
        <v>1554</v>
      </c>
      <c r="B313" s="6" t="s">
        <v>78</v>
      </c>
      <c r="C313" s="6" t="s">
        <v>47</v>
      </c>
      <c r="D313" s="7" t="n">
        <v>45622</v>
      </c>
      <c r="E313" s="7" t="n">
        <v>45647</v>
      </c>
      <c r="F313" s="6" t="s">
        <v>69</v>
      </c>
      <c r="G313" s="6" t="s">
        <v>49</v>
      </c>
      <c r="H313" s="8" t="n">
        <v>5339.14</v>
      </c>
      <c r="I313" s="6" t="n">
        <v>85777</v>
      </c>
      <c r="J313" s="6" t="n">
        <v>2763</v>
      </c>
      <c r="K313" s="6" t="n">
        <v>213</v>
      </c>
      <c r="L313" s="8" t="n">
        <v>219063.11</v>
      </c>
      <c r="M313" s="9" t="n">
        <v>0.0322114319689427</v>
      </c>
      <c r="N313" s="8" t="n">
        <v>1.932370611654</v>
      </c>
      <c r="O313" s="8" t="n">
        <v>25.0663849765258</v>
      </c>
      <c r="P313" s="10" t="n">
        <v>41.02966208041</v>
      </c>
      <c r="Q313" s="9" t="n">
        <v>0.0770901194353963</v>
      </c>
    </row>
    <row r="314" customFormat="false" ht="15" hidden="false" customHeight="false" outlineLevel="0" collapsed="false">
      <c r="A314" s="6" t="n">
        <v>1095</v>
      </c>
      <c r="B314" s="6" t="s">
        <v>68</v>
      </c>
      <c r="C314" s="6" t="s">
        <v>47</v>
      </c>
      <c r="D314" s="7" t="n">
        <v>45479</v>
      </c>
      <c r="E314" s="7" t="n">
        <v>45485</v>
      </c>
      <c r="F314" s="6" t="s">
        <v>60</v>
      </c>
      <c r="G314" s="6" t="s">
        <v>61</v>
      </c>
      <c r="H314" s="8" t="n">
        <v>1358.1</v>
      </c>
      <c r="I314" s="6" t="n">
        <v>39446</v>
      </c>
      <c r="J314" s="6" t="n">
        <v>626</v>
      </c>
      <c r="K314" s="6" t="n">
        <v>18</v>
      </c>
      <c r="L314" s="8" t="n">
        <v>16383.7</v>
      </c>
      <c r="M314" s="9" t="n">
        <v>0.0158697966840744</v>
      </c>
      <c r="N314" s="8" t="n">
        <v>2.16948881789137</v>
      </c>
      <c r="O314" s="8" t="n">
        <v>75.45</v>
      </c>
      <c r="P314" s="10" t="n">
        <v>12.0636919225388</v>
      </c>
      <c r="Q314" s="9" t="n">
        <v>0.0287539936102236</v>
      </c>
    </row>
    <row r="315" customFormat="false" ht="15" hidden="false" customHeight="false" outlineLevel="0" collapsed="false">
      <c r="A315" s="6" t="n">
        <v>1424</v>
      </c>
      <c r="B315" s="6" t="s">
        <v>73</v>
      </c>
      <c r="C315" s="6" t="s">
        <v>50</v>
      </c>
      <c r="D315" s="7" t="n">
        <v>45335</v>
      </c>
      <c r="E315" s="7" t="n">
        <v>45349</v>
      </c>
      <c r="F315" s="6" t="s">
        <v>56</v>
      </c>
      <c r="G315" s="6" t="s">
        <v>72</v>
      </c>
      <c r="H315" s="8" t="n">
        <v>46317.45</v>
      </c>
      <c r="I315" s="6" t="n">
        <v>961292</v>
      </c>
      <c r="J315" s="6" t="n">
        <v>5992</v>
      </c>
      <c r="K315" s="6" t="n">
        <v>274</v>
      </c>
      <c r="L315" s="8" t="n">
        <v>229541.38</v>
      </c>
      <c r="M315" s="9" t="n">
        <v>0.00623327771374359</v>
      </c>
      <c r="N315" s="8" t="n">
        <v>7.72988150867824</v>
      </c>
      <c r="O315" s="8" t="n">
        <v>169.041788321168</v>
      </c>
      <c r="P315" s="10" t="n">
        <v>4.95582939043492</v>
      </c>
      <c r="Q315" s="9" t="n">
        <v>0.0457276368491322</v>
      </c>
    </row>
    <row r="316" customFormat="false" ht="15" hidden="false" customHeight="false" outlineLevel="0" collapsed="false">
      <c r="A316" s="6" t="n">
        <v>1568</v>
      </c>
      <c r="B316" s="6" t="s">
        <v>79</v>
      </c>
      <c r="C316" s="6" t="s">
        <v>63</v>
      </c>
      <c r="D316" s="7" t="n">
        <v>45430</v>
      </c>
      <c r="E316" s="7" t="n">
        <v>45443</v>
      </c>
      <c r="F316" s="6" t="s">
        <v>69</v>
      </c>
      <c r="G316" s="6" t="s">
        <v>75</v>
      </c>
      <c r="H316" s="8" t="n">
        <v>22903.77</v>
      </c>
      <c r="I316" s="6" t="n">
        <v>817194</v>
      </c>
      <c r="J316" s="6" t="n">
        <v>6157</v>
      </c>
      <c r="K316" s="6" t="n">
        <v>181</v>
      </c>
      <c r="L316" s="8" t="n">
        <v>223378.29</v>
      </c>
      <c r="M316" s="9" t="n">
        <v>0.0075343186562799</v>
      </c>
      <c r="N316" s="8" t="n">
        <v>3.71995614747442</v>
      </c>
      <c r="O316" s="8" t="n">
        <v>126.540165745856</v>
      </c>
      <c r="P316" s="10" t="n">
        <v>9.75290487111947</v>
      </c>
      <c r="Q316" s="9" t="n">
        <v>0.0293974338151697</v>
      </c>
    </row>
    <row r="317" customFormat="false" ht="15" hidden="false" customHeight="false" outlineLevel="0" collapsed="false">
      <c r="A317" s="6" t="n">
        <v>1438</v>
      </c>
      <c r="B317" s="6" t="s">
        <v>55</v>
      </c>
      <c r="C317" s="6" t="s">
        <v>71</v>
      </c>
      <c r="D317" s="7" t="n">
        <v>45611</v>
      </c>
      <c r="E317" s="7" t="n">
        <v>45622</v>
      </c>
      <c r="F317" s="6" t="s">
        <v>65</v>
      </c>
      <c r="G317" s="6" t="s">
        <v>54</v>
      </c>
      <c r="H317" s="8" t="n">
        <v>28543.32</v>
      </c>
      <c r="I317" s="6" t="n">
        <v>733477</v>
      </c>
      <c r="J317" s="6" t="n">
        <v>8781</v>
      </c>
      <c r="K317" s="6" t="n">
        <v>152</v>
      </c>
      <c r="L317" s="8" t="n">
        <v>956998.6</v>
      </c>
      <c r="M317" s="9" t="n">
        <v>0.0119717455353065</v>
      </c>
      <c r="N317" s="8" t="n">
        <v>3.25057738298599</v>
      </c>
      <c r="O317" s="8" t="n">
        <v>187.785</v>
      </c>
      <c r="P317" s="10" t="n">
        <v>33.5279357832235</v>
      </c>
      <c r="Q317" s="9" t="n">
        <v>0.0173101013551987</v>
      </c>
    </row>
    <row r="318" customFormat="false" ht="15" hidden="false" customHeight="false" outlineLevel="0" collapsed="false">
      <c r="A318" s="6" t="n">
        <v>1401</v>
      </c>
      <c r="B318" s="6" t="s">
        <v>66</v>
      </c>
      <c r="C318" s="6" t="s">
        <v>59</v>
      </c>
      <c r="D318" s="7" t="n">
        <v>45466</v>
      </c>
      <c r="E318" s="7" t="n">
        <v>45484</v>
      </c>
      <c r="F318" s="6" t="s">
        <v>69</v>
      </c>
      <c r="G318" s="6" t="s">
        <v>75</v>
      </c>
      <c r="H318" s="8" t="n">
        <v>46120.23</v>
      </c>
      <c r="I318" s="6" t="n">
        <v>1682983</v>
      </c>
      <c r="J318" s="6" t="n">
        <v>24439</v>
      </c>
      <c r="K318" s="6" t="n">
        <v>684</v>
      </c>
      <c r="L318" s="8" t="n">
        <v>353104.54</v>
      </c>
      <c r="M318" s="9" t="n">
        <v>0.0145212399649907</v>
      </c>
      <c r="N318" s="8" t="n">
        <v>1.8871570031507</v>
      </c>
      <c r="O318" s="8" t="n">
        <v>67.4272368421053</v>
      </c>
      <c r="P318" s="10" t="n">
        <v>7.65617474153967</v>
      </c>
      <c r="Q318" s="9" t="n">
        <v>0.0279880518842833</v>
      </c>
    </row>
    <row r="319" customFormat="false" ht="15" hidden="false" customHeight="false" outlineLevel="0" collapsed="false">
      <c r="A319" s="6" t="n">
        <v>1317</v>
      </c>
      <c r="B319" s="6" t="s">
        <v>70</v>
      </c>
      <c r="C319" s="6" t="s">
        <v>59</v>
      </c>
      <c r="D319" s="7" t="n">
        <v>45625</v>
      </c>
      <c r="E319" s="7" t="n">
        <v>45648</v>
      </c>
      <c r="F319" s="6" t="s">
        <v>53</v>
      </c>
      <c r="G319" s="6" t="s">
        <v>75</v>
      </c>
      <c r="H319" s="8" t="n">
        <v>46216.67</v>
      </c>
      <c r="I319" s="6" t="n">
        <v>1626147</v>
      </c>
      <c r="J319" s="6" t="n">
        <v>45819</v>
      </c>
      <c r="K319" s="6" t="n">
        <v>2678</v>
      </c>
      <c r="L319" s="8" t="n">
        <v>1737840.74</v>
      </c>
      <c r="M319" s="9" t="n">
        <v>0.0281764194749921</v>
      </c>
      <c r="N319" s="8" t="n">
        <v>1.00867915057072</v>
      </c>
      <c r="O319" s="8" t="n">
        <v>17.2579051530993</v>
      </c>
      <c r="P319" s="10" t="n">
        <v>37.6020327730232</v>
      </c>
      <c r="Q319" s="9" t="n">
        <v>0.0584473689953949</v>
      </c>
    </row>
    <row r="320" customFormat="false" ht="15" hidden="false" customHeight="false" outlineLevel="0" collapsed="false">
      <c r="A320" s="6" t="n">
        <v>1386</v>
      </c>
      <c r="B320" s="6" t="s">
        <v>73</v>
      </c>
      <c r="C320" s="6" t="s">
        <v>71</v>
      </c>
      <c r="D320" s="7" t="n">
        <v>45464</v>
      </c>
      <c r="E320" s="7" t="n">
        <v>45482</v>
      </c>
      <c r="F320" s="6" t="s">
        <v>53</v>
      </c>
      <c r="G320" s="6" t="s">
        <v>75</v>
      </c>
      <c r="H320" s="8" t="n">
        <v>40113.27</v>
      </c>
      <c r="I320" s="6" t="n">
        <v>722728</v>
      </c>
      <c r="J320" s="6" t="n">
        <v>8472</v>
      </c>
      <c r="K320" s="6" t="n">
        <v>237</v>
      </c>
      <c r="L320" s="8" t="n">
        <v>199902.42</v>
      </c>
      <c r="M320" s="9" t="n">
        <v>0.0117222523549662</v>
      </c>
      <c r="N320" s="8" t="n">
        <v>4.7348052407932</v>
      </c>
      <c r="O320" s="8" t="n">
        <v>169.254303797468</v>
      </c>
      <c r="P320" s="10" t="n">
        <v>4.98344861937209</v>
      </c>
      <c r="Q320" s="9" t="n">
        <v>0.0279745042492918</v>
      </c>
    </row>
    <row r="321" customFormat="false" ht="15" hidden="false" customHeight="false" outlineLevel="0" collapsed="false">
      <c r="A321" s="6" t="n">
        <v>1687</v>
      </c>
      <c r="B321" s="6" t="s">
        <v>52</v>
      </c>
      <c r="C321" s="6" t="s">
        <v>50</v>
      </c>
      <c r="D321" s="7" t="n">
        <v>45577</v>
      </c>
      <c r="E321" s="7" t="n">
        <v>45583</v>
      </c>
      <c r="F321" s="6" t="s">
        <v>69</v>
      </c>
      <c r="G321" s="6" t="s">
        <v>72</v>
      </c>
      <c r="H321" s="8" t="n">
        <v>36120.29</v>
      </c>
      <c r="I321" s="6" t="n">
        <v>693972</v>
      </c>
      <c r="J321" s="6" t="n">
        <v>23531</v>
      </c>
      <c r="K321" s="6" t="n">
        <v>1106</v>
      </c>
      <c r="L321" s="8" t="n">
        <v>394574.89</v>
      </c>
      <c r="M321" s="9" t="n">
        <v>0.0339077080919691</v>
      </c>
      <c r="N321" s="8" t="n">
        <v>1.53500871191195</v>
      </c>
      <c r="O321" s="8" t="n">
        <v>32.6584900542496</v>
      </c>
      <c r="P321" s="10" t="n">
        <v>10.9239125710231</v>
      </c>
      <c r="Q321" s="9" t="n">
        <v>0.0470018273766521</v>
      </c>
    </row>
    <row r="322" customFormat="false" ht="15" hidden="false" customHeight="false" outlineLevel="0" collapsed="false">
      <c r="A322" s="6" t="n">
        <v>1257</v>
      </c>
      <c r="B322" s="6" t="s">
        <v>79</v>
      </c>
      <c r="C322" s="6" t="s">
        <v>71</v>
      </c>
      <c r="D322" s="7" t="n">
        <v>45531</v>
      </c>
      <c r="E322" s="7" t="n">
        <v>45561</v>
      </c>
      <c r="F322" s="6" t="s">
        <v>53</v>
      </c>
      <c r="G322" s="6" t="s">
        <v>61</v>
      </c>
      <c r="H322" s="8" t="n">
        <v>11156.41</v>
      </c>
      <c r="I322" s="6" t="n">
        <v>322983</v>
      </c>
      <c r="J322" s="6" t="n">
        <v>10706</v>
      </c>
      <c r="K322" s="6" t="n">
        <v>418</v>
      </c>
      <c r="L322" s="8" t="n">
        <v>369992.51</v>
      </c>
      <c r="M322" s="9" t="n">
        <v>0.0331472554283043</v>
      </c>
      <c r="N322" s="8" t="n">
        <v>1.04207080141976</v>
      </c>
      <c r="O322" s="8" t="n">
        <v>26.689976076555</v>
      </c>
      <c r="P322" s="10" t="n">
        <v>33.1641191028297</v>
      </c>
      <c r="Q322" s="9" t="n">
        <v>0.0390435269942089</v>
      </c>
    </row>
    <row r="323" customFormat="false" ht="15" hidden="false" customHeight="false" outlineLevel="0" collapsed="false">
      <c r="A323" s="6" t="n">
        <v>1487</v>
      </c>
      <c r="B323" s="6" t="s">
        <v>78</v>
      </c>
      <c r="C323" s="6" t="s">
        <v>63</v>
      </c>
      <c r="D323" s="7" t="n">
        <v>45376</v>
      </c>
      <c r="E323" s="7" t="n">
        <v>45395</v>
      </c>
      <c r="F323" s="6" t="s">
        <v>53</v>
      </c>
      <c r="G323" s="6" t="s">
        <v>61</v>
      </c>
      <c r="H323" s="8" t="n">
        <v>22902.62</v>
      </c>
      <c r="I323" s="6" t="n">
        <v>789780</v>
      </c>
      <c r="J323" s="6" t="n">
        <v>13446</v>
      </c>
      <c r="K323" s="6" t="n">
        <v>389</v>
      </c>
      <c r="L323" s="8" t="n">
        <v>239972.62</v>
      </c>
      <c r="M323" s="9" t="n">
        <v>0.0170249943022107</v>
      </c>
      <c r="N323" s="8" t="n">
        <v>1.70330358470921</v>
      </c>
      <c r="O323" s="8" t="n">
        <v>58.8756298200514</v>
      </c>
      <c r="P323" s="10" t="n">
        <v>10.4779549239345</v>
      </c>
      <c r="Q323" s="9" t="n">
        <v>0.0289305369626655</v>
      </c>
    </row>
    <row r="324" customFormat="false" ht="15" hidden="false" customHeight="false" outlineLevel="0" collapsed="false">
      <c r="A324" s="6" t="n">
        <v>1498</v>
      </c>
      <c r="B324" s="6" t="s">
        <v>64</v>
      </c>
      <c r="C324" s="6" t="s">
        <v>63</v>
      </c>
      <c r="D324" s="7" t="n">
        <v>45488</v>
      </c>
      <c r="E324" s="7" t="n">
        <v>45495</v>
      </c>
      <c r="F324" s="6" t="s">
        <v>65</v>
      </c>
      <c r="G324" s="6" t="s">
        <v>49</v>
      </c>
      <c r="H324" s="8" t="n">
        <v>37456.53</v>
      </c>
      <c r="I324" s="6" t="n">
        <v>1055287</v>
      </c>
      <c r="J324" s="6" t="n">
        <v>29862</v>
      </c>
      <c r="K324" s="6" t="n">
        <v>1994</v>
      </c>
      <c r="L324" s="8" t="n">
        <v>1332060.36</v>
      </c>
      <c r="M324" s="9" t="n">
        <v>0.0282975152730963</v>
      </c>
      <c r="N324" s="8" t="n">
        <v>1.25432087602974</v>
      </c>
      <c r="O324" s="8" t="n">
        <v>18.7846188565697</v>
      </c>
      <c r="P324" s="10" t="n">
        <v>35.5628340372159</v>
      </c>
      <c r="Q324" s="9" t="n">
        <v>0.0667738262674972</v>
      </c>
    </row>
    <row r="325" customFormat="false" ht="15" hidden="false" customHeight="false" outlineLevel="0" collapsed="false">
      <c r="A325" s="6" t="n">
        <v>1380</v>
      </c>
      <c r="B325" s="6" t="s">
        <v>74</v>
      </c>
      <c r="C325" s="6" t="s">
        <v>59</v>
      </c>
      <c r="D325" s="7" t="n">
        <v>45379</v>
      </c>
      <c r="E325" s="7" t="n">
        <v>45404</v>
      </c>
      <c r="F325" s="6" t="s">
        <v>69</v>
      </c>
      <c r="G325" s="6" t="s">
        <v>54</v>
      </c>
      <c r="H325" s="8" t="n">
        <v>49512.23</v>
      </c>
      <c r="I325" s="6" t="n">
        <v>1244108</v>
      </c>
      <c r="J325" s="6" t="n">
        <v>30768</v>
      </c>
      <c r="K325" s="6" t="n">
        <v>1910</v>
      </c>
      <c r="L325" s="8" t="n">
        <v>2678911.64</v>
      </c>
      <c r="M325" s="9" t="n">
        <v>0.0247309719091912</v>
      </c>
      <c r="N325" s="8" t="n">
        <v>1.60921184347374</v>
      </c>
      <c r="O325" s="8" t="n">
        <v>25.9226335078534</v>
      </c>
      <c r="P325" s="10" t="n">
        <v>54.1060590484412</v>
      </c>
      <c r="Q325" s="9" t="n">
        <v>0.062077483099324</v>
      </c>
    </row>
    <row r="326" customFormat="false" ht="15" hidden="false" customHeight="false" outlineLevel="0" collapsed="false">
      <c r="A326" s="6" t="n">
        <v>1369</v>
      </c>
      <c r="B326" s="6" t="s">
        <v>77</v>
      </c>
      <c r="C326" s="6" t="s">
        <v>47</v>
      </c>
      <c r="D326" s="7" t="n">
        <v>45473</v>
      </c>
      <c r="E326" s="7" t="n">
        <v>45497</v>
      </c>
      <c r="F326" s="6" t="s">
        <v>51</v>
      </c>
      <c r="G326" s="6" t="s">
        <v>54</v>
      </c>
      <c r="H326" s="8" t="n">
        <v>7770.47</v>
      </c>
      <c r="I326" s="6" t="n">
        <v>232770</v>
      </c>
      <c r="J326" s="6" t="n">
        <v>6388</v>
      </c>
      <c r="K326" s="6" t="n">
        <v>84</v>
      </c>
      <c r="L326" s="8" t="n">
        <v>60295.41</v>
      </c>
      <c r="M326" s="9" t="n">
        <v>0.0274433990634532</v>
      </c>
      <c r="N326" s="8" t="n">
        <v>1.21641671884784</v>
      </c>
      <c r="O326" s="8" t="n">
        <v>92.5055952380952</v>
      </c>
      <c r="P326" s="10" t="n">
        <v>7.75955765867444</v>
      </c>
      <c r="Q326" s="9" t="n">
        <v>0.013149655604258</v>
      </c>
    </row>
    <row r="327" customFormat="false" ht="15" hidden="false" customHeight="false" outlineLevel="0" collapsed="false">
      <c r="A327" s="6" t="n">
        <v>1170</v>
      </c>
      <c r="B327" s="6" t="s">
        <v>70</v>
      </c>
      <c r="C327" s="6" t="s">
        <v>47</v>
      </c>
      <c r="D327" s="7" t="n">
        <v>45467</v>
      </c>
      <c r="E327" s="7" t="n">
        <v>45477</v>
      </c>
      <c r="F327" s="6" t="s">
        <v>53</v>
      </c>
      <c r="G327" s="6" t="s">
        <v>72</v>
      </c>
      <c r="H327" s="8" t="n">
        <v>2126.33</v>
      </c>
      <c r="I327" s="6" t="n">
        <v>35881</v>
      </c>
      <c r="J327" s="6" t="n">
        <v>1193</v>
      </c>
      <c r="K327" s="6" t="n">
        <v>93</v>
      </c>
      <c r="L327" s="8" t="n">
        <v>78122.64</v>
      </c>
      <c r="M327" s="9" t="n">
        <v>0.0332487946266827</v>
      </c>
      <c r="N327" s="8" t="n">
        <v>1.78233864207879</v>
      </c>
      <c r="O327" s="8" t="n">
        <v>22.8637634408602</v>
      </c>
      <c r="P327" s="10" t="n">
        <v>36.7406000009406</v>
      </c>
      <c r="Q327" s="9" t="n">
        <v>0.0779547359597653</v>
      </c>
    </row>
    <row r="328" customFormat="false" ht="15" hidden="false" customHeight="false" outlineLevel="0" collapsed="false">
      <c r="A328" s="6" t="n">
        <v>1789</v>
      </c>
      <c r="B328" s="6" t="s">
        <v>70</v>
      </c>
      <c r="C328" s="6" t="s">
        <v>50</v>
      </c>
      <c r="D328" s="7" t="n">
        <v>45400</v>
      </c>
      <c r="E328" s="7" t="n">
        <v>45409</v>
      </c>
      <c r="F328" s="6" t="s">
        <v>65</v>
      </c>
      <c r="G328" s="6" t="s">
        <v>54</v>
      </c>
      <c r="H328" s="8" t="n">
        <v>57624.9</v>
      </c>
      <c r="I328" s="6" t="n">
        <v>2100102</v>
      </c>
      <c r="J328" s="6" t="n">
        <v>57378</v>
      </c>
      <c r="K328" s="6" t="n">
        <v>1672</v>
      </c>
      <c r="L328" s="8" t="n">
        <v>1532389.3</v>
      </c>
      <c r="M328" s="9" t="n">
        <v>0.0273215300971096</v>
      </c>
      <c r="N328" s="8" t="n">
        <v>1.00430304297815</v>
      </c>
      <c r="O328" s="8" t="n">
        <v>34.4646531100479</v>
      </c>
      <c r="P328" s="10" t="n">
        <v>26.5924851930329</v>
      </c>
      <c r="Q328" s="9" t="n">
        <v>0.0291400885356757</v>
      </c>
    </row>
    <row r="329" customFormat="false" ht="15" hidden="false" customHeight="false" outlineLevel="0" collapsed="false">
      <c r="A329" s="6" t="n">
        <v>1710</v>
      </c>
      <c r="B329" s="6" t="s">
        <v>55</v>
      </c>
      <c r="C329" s="6" t="s">
        <v>50</v>
      </c>
      <c r="D329" s="7" t="n">
        <v>45300</v>
      </c>
      <c r="E329" s="7" t="n">
        <v>45324</v>
      </c>
      <c r="F329" s="6" t="s">
        <v>51</v>
      </c>
      <c r="G329" s="6" t="s">
        <v>72</v>
      </c>
      <c r="H329" s="8" t="n">
        <v>39241.71</v>
      </c>
      <c r="I329" s="6" t="n">
        <v>754480</v>
      </c>
      <c r="J329" s="6" t="n">
        <v>23039</v>
      </c>
      <c r="K329" s="6" t="n">
        <v>540</v>
      </c>
      <c r="L329" s="8" t="n">
        <v>408432.49</v>
      </c>
      <c r="M329" s="9" t="n">
        <v>0.0305362633867034</v>
      </c>
      <c r="N329" s="8" t="n">
        <v>1.70327314553583</v>
      </c>
      <c r="O329" s="8" t="n">
        <v>72.6698333333333</v>
      </c>
      <c r="P329" s="10" t="n">
        <v>10.4081216134567</v>
      </c>
      <c r="Q329" s="9" t="n">
        <v>0.0234385172967577</v>
      </c>
    </row>
    <row r="330" customFormat="false" ht="15" hidden="false" customHeight="false" outlineLevel="0" collapsed="false">
      <c r="A330" s="6" t="n">
        <v>1292</v>
      </c>
      <c r="B330" s="6" t="s">
        <v>58</v>
      </c>
      <c r="C330" s="6" t="s">
        <v>59</v>
      </c>
      <c r="D330" s="7" t="n">
        <v>45582</v>
      </c>
      <c r="E330" s="7" t="n">
        <v>45591</v>
      </c>
      <c r="F330" s="6" t="s">
        <v>51</v>
      </c>
      <c r="G330" s="6" t="s">
        <v>61</v>
      </c>
      <c r="H330" s="8" t="n">
        <v>75963.83</v>
      </c>
      <c r="I330" s="6" t="n">
        <v>2886035</v>
      </c>
      <c r="J330" s="6" t="n">
        <v>54973</v>
      </c>
      <c r="K330" s="6" t="n">
        <v>2302</v>
      </c>
      <c r="L330" s="8" t="n">
        <v>3090419.03</v>
      </c>
      <c r="M330" s="9" t="n">
        <v>0.0190479325441306</v>
      </c>
      <c r="N330" s="8" t="n">
        <v>1.38183890273407</v>
      </c>
      <c r="O330" s="8" t="n">
        <v>32.9990573414422</v>
      </c>
      <c r="P330" s="10" t="n">
        <v>40.6827700762323</v>
      </c>
      <c r="Q330" s="9" t="n">
        <v>0.0418751023229585</v>
      </c>
    </row>
    <row r="331" customFormat="false" ht="15" hidden="false" customHeight="false" outlineLevel="0" collapsed="false">
      <c r="A331" s="6" t="n">
        <v>1327</v>
      </c>
      <c r="B331" s="6" t="s">
        <v>52</v>
      </c>
      <c r="C331" s="6" t="s">
        <v>63</v>
      </c>
      <c r="D331" s="7" t="n">
        <v>45407</v>
      </c>
      <c r="E331" s="7" t="n">
        <v>45422</v>
      </c>
      <c r="F331" s="6" t="s">
        <v>65</v>
      </c>
      <c r="G331" s="6" t="s">
        <v>49</v>
      </c>
      <c r="H331" s="8" t="n">
        <v>45509.05</v>
      </c>
      <c r="I331" s="6" t="n">
        <v>1255555</v>
      </c>
      <c r="J331" s="6" t="n">
        <v>22208</v>
      </c>
      <c r="K331" s="6" t="n">
        <v>306</v>
      </c>
      <c r="L331" s="8" t="n">
        <v>272517.47</v>
      </c>
      <c r="M331" s="9" t="n">
        <v>0.0176877954370776</v>
      </c>
      <c r="N331" s="8" t="n">
        <v>2.04921875</v>
      </c>
      <c r="O331" s="8" t="n">
        <v>148.722385620915</v>
      </c>
      <c r="P331" s="10" t="n">
        <v>5.98820388472183</v>
      </c>
      <c r="Q331" s="9" t="n">
        <v>0.013778818443804</v>
      </c>
    </row>
    <row r="332" customFormat="false" ht="15" hidden="false" customHeight="false" outlineLevel="0" collapsed="false">
      <c r="A332" s="6" t="n">
        <v>1642</v>
      </c>
      <c r="B332" s="6" t="s">
        <v>58</v>
      </c>
      <c r="C332" s="6" t="s">
        <v>63</v>
      </c>
      <c r="D332" s="7" t="n">
        <v>45559</v>
      </c>
      <c r="E332" s="7" t="n">
        <v>45573</v>
      </c>
      <c r="F332" s="6" t="s">
        <v>56</v>
      </c>
      <c r="G332" s="6" t="s">
        <v>61</v>
      </c>
      <c r="H332" s="8" t="n">
        <v>15140.21</v>
      </c>
      <c r="I332" s="6" t="n">
        <v>319435</v>
      </c>
      <c r="J332" s="6" t="n">
        <v>8896</v>
      </c>
      <c r="K332" s="6" t="n">
        <v>386</v>
      </c>
      <c r="L332" s="8" t="n">
        <v>190101.85</v>
      </c>
      <c r="M332" s="9" t="n">
        <v>0.0278491711928874</v>
      </c>
      <c r="N332" s="8" t="n">
        <v>1.70191209532374</v>
      </c>
      <c r="O332" s="8" t="n">
        <v>39.2233419689119</v>
      </c>
      <c r="P332" s="10" t="n">
        <v>12.556090701516</v>
      </c>
      <c r="Q332" s="9" t="n">
        <v>0.0433902877697842</v>
      </c>
    </row>
    <row r="333" customFormat="false" ht="15" hidden="false" customHeight="false" outlineLevel="0" collapsed="false">
      <c r="A333" s="6" t="n">
        <v>1613</v>
      </c>
      <c r="B333" s="6" t="s">
        <v>76</v>
      </c>
      <c r="C333" s="6" t="s">
        <v>50</v>
      </c>
      <c r="D333" s="7" t="n">
        <v>45592</v>
      </c>
      <c r="E333" s="7" t="n">
        <v>45607</v>
      </c>
      <c r="F333" s="6" t="s">
        <v>51</v>
      </c>
      <c r="G333" s="6" t="s">
        <v>57</v>
      </c>
      <c r="H333" s="8" t="n">
        <v>49463.86</v>
      </c>
      <c r="I333" s="6" t="n">
        <v>1556015</v>
      </c>
      <c r="J333" s="6" t="n">
        <v>49851</v>
      </c>
      <c r="K333" s="6" t="n">
        <v>1623</v>
      </c>
      <c r="L333" s="8" t="n">
        <v>814240.92</v>
      </c>
      <c r="M333" s="9" t="n">
        <v>0.0320376088919451</v>
      </c>
      <c r="N333" s="8" t="n">
        <v>0.992234057491324</v>
      </c>
      <c r="O333" s="8" t="n">
        <v>30.4768083795441</v>
      </c>
      <c r="P333" s="10" t="n">
        <v>16.4613299487747</v>
      </c>
      <c r="Q333" s="9" t="n">
        <v>0.0325570199193597</v>
      </c>
    </row>
    <row r="334" customFormat="false" ht="15" hidden="false" customHeight="false" outlineLevel="0" collapsed="false">
      <c r="A334" s="6" t="n">
        <v>1752</v>
      </c>
      <c r="B334" s="6" t="s">
        <v>78</v>
      </c>
      <c r="C334" s="6" t="s">
        <v>71</v>
      </c>
      <c r="D334" s="7" t="n">
        <v>45553</v>
      </c>
      <c r="E334" s="7" t="n">
        <v>45583</v>
      </c>
      <c r="F334" s="6" t="s">
        <v>69</v>
      </c>
      <c r="G334" s="6" t="s">
        <v>75</v>
      </c>
      <c r="H334" s="8" t="n">
        <v>13863.13</v>
      </c>
      <c r="I334" s="6" t="n">
        <v>438737</v>
      </c>
      <c r="J334" s="6" t="n">
        <v>9901</v>
      </c>
      <c r="K334" s="6" t="n">
        <v>105</v>
      </c>
      <c r="L334" s="8" t="n">
        <v>170788.56</v>
      </c>
      <c r="M334" s="9" t="n">
        <v>0.0225670504197275</v>
      </c>
      <c r="N334" s="8" t="n">
        <v>1.40017472982527</v>
      </c>
      <c r="O334" s="8" t="n">
        <v>132.02980952381</v>
      </c>
      <c r="P334" s="10" t="n">
        <v>12.3196247889185</v>
      </c>
      <c r="Q334" s="9" t="n">
        <v>0.0106049893950106</v>
      </c>
    </row>
    <row r="335" customFormat="false" ht="15" hidden="false" customHeight="false" outlineLevel="0" collapsed="false">
      <c r="A335" s="6" t="n">
        <v>1495</v>
      </c>
      <c r="B335" s="6" t="s">
        <v>62</v>
      </c>
      <c r="C335" s="6" t="s">
        <v>71</v>
      </c>
      <c r="D335" s="7" t="n">
        <v>45352</v>
      </c>
      <c r="E335" s="7" t="n">
        <v>45368</v>
      </c>
      <c r="F335" s="6" t="s">
        <v>48</v>
      </c>
      <c r="G335" s="6" t="s">
        <v>72</v>
      </c>
      <c r="H335" s="8" t="n">
        <v>54570.5</v>
      </c>
      <c r="I335" s="6" t="n">
        <v>1643262</v>
      </c>
      <c r="J335" s="6" t="n">
        <v>16994</v>
      </c>
      <c r="K335" s="6" t="n">
        <v>800</v>
      </c>
      <c r="L335" s="8" t="n">
        <v>975549.32</v>
      </c>
      <c r="M335" s="9" t="n">
        <v>0.0103416253768419</v>
      </c>
      <c r="N335" s="8" t="n">
        <v>3.21116276332823</v>
      </c>
      <c r="O335" s="8" t="n">
        <v>68.213125</v>
      </c>
      <c r="P335" s="10" t="n">
        <v>17.8768624073446</v>
      </c>
      <c r="Q335" s="9" t="n">
        <v>0.04707543839002</v>
      </c>
    </row>
    <row r="336" customFormat="false" ht="15" hidden="false" customHeight="false" outlineLevel="0" collapsed="false">
      <c r="A336" s="6" t="n">
        <v>1075</v>
      </c>
      <c r="B336" s="6" t="s">
        <v>70</v>
      </c>
      <c r="C336" s="6" t="s">
        <v>71</v>
      </c>
      <c r="D336" s="7" t="n">
        <v>45597</v>
      </c>
      <c r="E336" s="7" t="n">
        <v>45614</v>
      </c>
      <c r="F336" s="6" t="s">
        <v>56</v>
      </c>
      <c r="G336" s="6" t="s">
        <v>57</v>
      </c>
      <c r="H336" s="8" t="n">
        <v>16436.86</v>
      </c>
      <c r="I336" s="6" t="n">
        <v>588170</v>
      </c>
      <c r="J336" s="6" t="n">
        <v>16546</v>
      </c>
      <c r="K336" s="6" t="n">
        <v>1102</v>
      </c>
      <c r="L336" s="8" t="n">
        <v>650215.03</v>
      </c>
      <c r="M336" s="9" t="n">
        <v>0.028131322576806</v>
      </c>
      <c r="N336" s="8" t="n">
        <v>0.993403843829324</v>
      </c>
      <c r="O336" s="8" t="n">
        <v>14.9154809437387</v>
      </c>
      <c r="P336" s="10" t="n">
        <v>39.5583481273187</v>
      </c>
      <c r="Q336" s="9" t="n">
        <v>0.0666021999274749</v>
      </c>
    </row>
    <row r="337" customFormat="false" ht="15" hidden="false" customHeight="false" outlineLevel="0" collapsed="false">
      <c r="A337" s="6" t="n">
        <v>1346</v>
      </c>
      <c r="B337" s="6" t="s">
        <v>68</v>
      </c>
      <c r="C337" s="6" t="s">
        <v>50</v>
      </c>
      <c r="D337" s="7" t="n">
        <v>45599</v>
      </c>
      <c r="E337" s="7" t="n">
        <v>45627</v>
      </c>
      <c r="F337" s="6" t="s">
        <v>51</v>
      </c>
      <c r="G337" s="6" t="s">
        <v>49</v>
      </c>
      <c r="H337" s="8" t="n">
        <v>58093.26</v>
      </c>
      <c r="I337" s="6" t="n">
        <v>2092940</v>
      </c>
      <c r="J337" s="6" t="n">
        <v>24646</v>
      </c>
      <c r="K337" s="6" t="n">
        <v>949</v>
      </c>
      <c r="L337" s="8" t="n">
        <v>1687507.41</v>
      </c>
      <c r="M337" s="9" t="n">
        <v>0.0117757795254522</v>
      </c>
      <c r="N337" s="8" t="n">
        <v>2.35710703562444</v>
      </c>
      <c r="O337" s="8" t="n">
        <v>61.2152370916755</v>
      </c>
      <c r="P337" s="10" t="n">
        <v>29.0482477657477</v>
      </c>
      <c r="Q337" s="9" t="n">
        <v>0.0385052341150694</v>
      </c>
    </row>
    <row r="338" customFormat="false" ht="15" hidden="false" customHeight="false" outlineLevel="0" collapsed="false">
      <c r="A338" s="6" t="n">
        <v>1706</v>
      </c>
      <c r="B338" s="6" t="s">
        <v>79</v>
      </c>
      <c r="C338" s="6" t="s">
        <v>50</v>
      </c>
      <c r="D338" s="7" t="n">
        <v>45341</v>
      </c>
      <c r="E338" s="7" t="n">
        <v>45371</v>
      </c>
      <c r="F338" s="6" t="s">
        <v>69</v>
      </c>
      <c r="G338" s="6" t="s">
        <v>49</v>
      </c>
      <c r="H338" s="8" t="n">
        <v>16002.5</v>
      </c>
      <c r="I338" s="6" t="n">
        <v>243505</v>
      </c>
      <c r="J338" s="6" t="n">
        <v>7516</v>
      </c>
      <c r="K338" s="6" t="n">
        <v>102</v>
      </c>
      <c r="L338" s="8" t="n">
        <v>161799.68</v>
      </c>
      <c r="M338" s="9" t="n">
        <v>0.0308658959774953</v>
      </c>
      <c r="N338" s="8" t="n">
        <v>2.12912453432677</v>
      </c>
      <c r="O338" s="8" t="n">
        <v>156.887254901961</v>
      </c>
      <c r="P338" s="10" t="n">
        <v>10.1109001718481</v>
      </c>
      <c r="Q338" s="9" t="n">
        <v>0.013571048430016</v>
      </c>
    </row>
    <row r="339" customFormat="false" ht="15" hidden="false" customHeight="false" outlineLevel="0" collapsed="false">
      <c r="A339" s="6" t="n">
        <v>1452</v>
      </c>
      <c r="B339" s="6" t="s">
        <v>78</v>
      </c>
      <c r="C339" s="6" t="s">
        <v>47</v>
      </c>
      <c r="D339" s="7" t="n">
        <v>45341</v>
      </c>
      <c r="E339" s="7" t="n">
        <v>45352</v>
      </c>
      <c r="F339" s="6" t="s">
        <v>69</v>
      </c>
      <c r="G339" s="6" t="s">
        <v>54</v>
      </c>
      <c r="H339" s="8" t="n">
        <v>6542.51</v>
      </c>
      <c r="I339" s="6" t="n">
        <v>159582</v>
      </c>
      <c r="J339" s="6" t="n">
        <v>3287</v>
      </c>
      <c r="K339" s="6" t="n">
        <v>254</v>
      </c>
      <c r="L339" s="8" t="n">
        <v>186807.32</v>
      </c>
      <c r="M339" s="9" t="n">
        <v>0.0205975611284481</v>
      </c>
      <c r="N339" s="8" t="n">
        <v>1.99041983571646</v>
      </c>
      <c r="O339" s="8" t="n">
        <v>25.7579133858268</v>
      </c>
      <c r="P339" s="10" t="n">
        <v>28.5528520399663</v>
      </c>
      <c r="Q339" s="9" t="n">
        <v>0.0772741101308184</v>
      </c>
    </row>
    <row r="340" customFormat="false" ht="15" hidden="false" customHeight="false" outlineLevel="0" collapsed="false">
      <c r="A340" s="6" t="n">
        <v>1444</v>
      </c>
      <c r="B340" s="6" t="s">
        <v>55</v>
      </c>
      <c r="C340" s="6" t="s">
        <v>71</v>
      </c>
      <c r="D340" s="7" t="n">
        <v>45447</v>
      </c>
      <c r="E340" s="7" t="n">
        <v>45461</v>
      </c>
      <c r="F340" s="6" t="s">
        <v>65</v>
      </c>
      <c r="G340" s="6" t="s">
        <v>61</v>
      </c>
      <c r="H340" s="8" t="n">
        <v>31310.1</v>
      </c>
      <c r="I340" s="6" t="n">
        <v>967171</v>
      </c>
      <c r="J340" s="6" t="n">
        <v>12723</v>
      </c>
      <c r="K340" s="6" t="n">
        <v>823</v>
      </c>
      <c r="L340" s="8" t="n">
        <v>383537.06</v>
      </c>
      <c r="M340" s="9" t="n">
        <v>0.013154860929453</v>
      </c>
      <c r="N340" s="8" t="n">
        <v>2.46090544682858</v>
      </c>
      <c r="O340" s="8" t="n">
        <v>38.0438639125152</v>
      </c>
      <c r="P340" s="10" t="n">
        <v>12.2496274365141</v>
      </c>
      <c r="Q340" s="9" t="n">
        <v>0.0646860017291519</v>
      </c>
    </row>
    <row r="341" customFormat="false" ht="15" hidden="false" customHeight="false" outlineLevel="0" collapsed="false">
      <c r="A341" s="6" t="n">
        <v>1308</v>
      </c>
      <c r="B341" s="6" t="s">
        <v>55</v>
      </c>
      <c r="C341" s="6" t="s">
        <v>59</v>
      </c>
      <c r="D341" s="7" t="n">
        <v>45348</v>
      </c>
      <c r="E341" s="7" t="n">
        <v>45375</v>
      </c>
      <c r="F341" s="6" t="s">
        <v>56</v>
      </c>
      <c r="G341" s="6" t="s">
        <v>57</v>
      </c>
      <c r="H341" s="8" t="n">
        <v>34000.18</v>
      </c>
      <c r="I341" s="6" t="n">
        <v>906917</v>
      </c>
      <c r="J341" s="6" t="n">
        <v>30005</v>
      </c>
      <c r="K341" s="6" t="n">
        <v>1641</v>
      </c>
      <c r="L341" s="8" t="n">
        <v>2769857.55</v>
      </c>
      <c r="M341" s="9" t="n">
        <v>0.0330846152404244</v>
      </c>
      <c r="N341" s="8" t="n">
        <v>1.13315047492085</v>
      </c>
      <c r="O341" s="8" t="n">
        <v>20.719183424741</v>
      </c>
      <c r="P341" s="10" t="n">
        <v>81.465967238997</v>
      </c>
      <c r="Q341" s="9" t="n">
        <v>0.0546908848525246</v>
      </c>
    </row>
    <row r="342" customFormat="false" ht="15" hidden="false" customHeight="false" outlineLevel="0" collapsed="false">
      <c r="A342" s="6" t="n">
        <v>1310</v>
      </c>
      <c r="B342" s="6" t="s">
        <v>46</v>
      </c>
      <c r="C342" s="6" t="s">
        <v>63</v>
      </c>
      <c r="D342" s="7" t="n">
        <v>45584</v>
      </c>
      <c r="E342" s="7" t="n">
        <v>45612</v>
      </c>
      <c r="F342" s="6" t="s">
        <v>53</v>
      </c>
      <c r="G342" s="6" t="s">
        <v>75</v>
      </c>
      <c r="H342" s="8" t="n">
        <v>40198.44</v>
      </c>
      <c r="I342" s="6" t="n">
        <v>621834</v>
      </c>
      <c r="J342" s="6" t="n">
        <v>12393</v>
      </c>
      <c r="K342" s="6" t="n">
        <v>690</v>
      </c>
      <c r="L342" s="8" t="n">
        <v>455011.26</v>
      </c>
      <c r="M342" s="9" t="n">
        <v>0.0199297561728693</v>
      </c>
      <c r="N342" s="8" t="n">
        <v>3.24364076494796</v>
      </c>
      <c r="O342" s="8" t="n">
        <v>58.2586086956522</v>
      </c>
      <c r="P342" s="10" t="n">
        <v>11.319127309418</v>
      </c>
      <c r="Q342" s="9" t="n">
        <v>0.055676591624304</v>
      </c>
    </row>
    <row r="343" customFormat="false" ht="15" hidden="false" customHeight="false" outlineLevel="0" collapsed="false">
      <c r="A343" s="6" t="n">
        <v>1329</v>
      </c>
      <c r="B343" s="6" t="s">
        <v>46</v>
      </c>
      <c r="C343" s="6" t="s">
        <v>63</v>
      </c>
      <c r="D343" s="7" t="n">
        <v>45519</v>
      </c>
      <c r="E343" s="7" t="n">
        <v>45547</v>
      </c>
      <c r="F343" s="6" t="s">
        <v>60</v>
      </c>
      <c r="G343" s="6" t="s">
        <v>57</v>
      </c>
      <c r="H343" s="8" t="n">
        <v>6945.22</v>
      </c>
      <c r="I343" s="6" t="n">
        <v>137004</v>
      </c>
      <c r="J343" s="6" t="n">
        <v>775</v>
      </c>
      <c r="K343" s="6" t="n">
        <v>51</v>
      </c>
      <c r="L343" s="8" t="n">
        <v>79594.37</v>
      </c>
      <c r="M343" s="9" t="n">
        <v>0.00565676914542641</v>
      </c>
      <c r="N343" s="8" t="n">
        <v>8.96157419354839</v>
      </c>
      <c r="O343" s="8" t="n">
        <v>136.180784313726</v>
      </c>
      <c r="P343" s="10" t="n">
        <v>11.460309392647</v>
      </c>
      <c r="Q343" s="9" t="n">
        <v>0.0658064516129032</v>
      </c>
    </row>
    <row r="344" customFormat="false" ht="15" hidden="false" customHeight="false" outlineLevel="0" collapsed="false">
      <c r="A344" s="6" t="n">
        <v>1028</v>
      </c>
      <c r="B344" s="6" t="s">
        <v>76</v>
      </c>
      <c r="C344" s="6" t="s">
        <v>59</v>
      </c>
      <c r="D344" s="7" t="n">
        <v>45541</v>
      </c>
      <c r="E344" s="7" t="n">
        <v>45553</v>
      </c>
      <c r="F344" s="6" t="s">
        <v>65</v>
      </c>
      <c r="G344" s="6" t="s">
        <v>49</v>
      </c>
      <c r="H344" s="8" t="n">
        <v>47687.7</v>
      </c>
      <c r="I344" s="6" t="n">
        <v>749918</v>
      </c>
      <c r="J344" s="6" t="n">
        <v>11311</v>
      </c>
      <c r="K344" s="6" t="n">
        <v>650</v>
      </c>
      <c r="L344" s="8" t="n">
        <v>608568.46</v>
      </c>
      <c r="M344" s="9" t="n">
        <v>0.0150829824060764</v>
      </c>
      <c r="N344" s="8" t="n">
        <v>4.21604632658474</v>
      </c>
      <c r="O344" s="8" t="n">
        <v>73.3656923076923</v>
      </c>
      <c r="P344" s="10" t="n">
        <v>12.761539348721</v>
      </c>
      <c r="Q344" s="9" t="n">
        <v>0.0574661833613297</v>
      </c>
    </row>
    <row r="345" customFormat="false" ht="15" hidden="false" customHeight="false" outlineLevel="0" collapsed="false">
      <c r="A345" s="6" t="n">
        <v>1515</v>
      </c>
      <c r="B345" s="6" t="s">
        <v>76</v>
      </c>
      <c r="C345" s="6" t="s">
        <v>47</v>
      </c>
      <c r="D345" s="7" t="n">
        <v>45522</v>
      </c>
      <c r="E345" s="7" t="n">
        <v>45531</v>
      </c>
      <c r="F345" s="6" t="s">
        <v>69</v>
      </c>
      <c r="G345" s="6" t="s">
        <v>49</v>
      </c>
      <c r="H345" s="8" t="n">
        <v>4145.3</v>
      </c>
      <c r="I345" s="6" t="n">
        <v>162646</v>
      </c>
      <c r="J345" s="6" t="n">
        <v>1288</v>
      </c>
      <c r="K345" s="6" t="n">
        <v>32</v>
      </c>
      <c r="L345" s="8" t="n">
        <v>56627.08</v>
      </c>
      <c r="M345" s="9" t="n">
        <v>0.00791903889428575</v>
      </c>
      <c r="N345" s="8" t="n">
        <v>3.21840062111801</v>
      </c>
      <c r="O345" s="8" t="n">
        <v>129.540625</v>
      </c>
      <c r="P345" s="10" t="n">
        <v>13.6605505029793</v>
      </c>
      <c r="Q345" s="9" t="n">
        <v>0.0248447204968944</v>
      </c>
    </row>
    <row r="346" customFormat="false" ht="15" hidden="false" customHeight="false" outlineLevel="0" collapsed="false">
      <c r="A346" s="6" t="n">
        <v>1337</v>
      </c>
      <c r="B346" s="6" t="s">
        <v>76</v>
      </c>
      <c r="C346" s="6" t="s">
        <v>50</v>
      </c>
      <c r="D346" s="7" t="n">
        <v>45406</v>
      </c>
      <c r="E346" s="7" t="n">
        <v>45411</v>
      </c>
      <c r="F346" s="6" t="s">
        <v>51</v>
      </c>
      <c r="G346" s="6" t="s">
        <v>57</v>
      </c>
      <c r="H346" s="8" t="n">
        <v>20781.68</v>
      </c>
      <c r="I346" s="6" t="n">
        <v>467675</v>
      </c>
      <c r="J346" s="6" t="n">
        <v>11325</v>
      </c>
      <c r="K346" s="6" t="n">
        <v>617</v>
      </c>
      <c r="L346" s="8" t="n">
        <v>327044.89</v>
      </c>
      <c r="M346" s="9" t="n">
        <v>0.0242155342919763</v>
      </c>
      <c r="N346" s="8" t="n">
        <v>1.83502693156733</v>
      </c>
      <c r="O346" s="8" t="n">
        <v>33.6818152350081</v>
      </c>
      <c r="P346" s="10" t="n">
        <v>15.7371728368448</v>
      </c>
      <c r="Q346" s="9" t="n">
        <v>0.0544812362030905</v>
      </c>
    </row>
    <row r="347" customFormat="false" ht="15" hidden="false" customHeight="false" outlineLevel="0" collapsed="false">
      <c r="A347" s="6" t="n">
        <v>1694</v>
      </c>
      <c r="B347" s="6" t="s">
        <v>79</v>
      </c>
      <c r="C347" s="6" t="s">
        <v>63</v>
      </c>
      <c r="D347" s="7" t="n">
        <v>45440</v>
      </c>
      <c r="E347" s="7" t="n">
        <v>45445</v>
      </c>
      <c r="F347" s="6" t="s">
        <v>53</v>
      </c>
      <c r="G347" s="6" t="s">
        <v>54</v>
      </c>
      <c r="H347" s="8" t="n">
        <v>35022.14</v>
      </c>
      <c r="I347" s="6" t="n">
        <v>1326678</v>
      </c>
      <c r="J347" s="6" t="n">
        <v>19797</v>
      </c>
      <c r="K347" s="6" t="n">
        <v>443</v>
      </c>
      <c r="L347" s="8" t="n">
        <v>405512.4</v>
      </c>
      <c r="M347" s="9" t="n">
        <v>0.0149222343326715</v>
      </c>
      <c r="N347" s="8" t="n">
        <v>1.76906298934182</v>
      </c>
      <c r="O347" s="8" t="n">
        <v>79.0567494356659</v>
      </c>
      <c r="P347" s="10" t="n">
        <v>11.5787441886761</v>
      </c>
      <c r="Q347" s="9" t="n">
        <v>0.0223771278476537</v>
      </c>
    </row>
    <row r="348" customFormat="false" ht="15" hidden="false" customHeight="false" outlineLevel="0" collapsed="false">
      <c r="A348" s="6" t="n">
        <v>1376</v>
      </c>
      <c r="B348" s="6" t="s">
        <v>77</v>
      </c>
      <c r="C348" s="6" t="s">
        <v>63</v>
      </c>
      <c r="D348" s="7" t="n">
        <v>45480</v>
      </c>
      <c r="E348" s="7" t="n">
        <v>45501</v>
      </c>
      <c r="F348" s="6" t="s">
        <v>53</v>
      </c>
      <c r="G348" s="6" t="s">
        <v>72</v>
      </c>
      <c r="H348" s="8" t="n">
        <v>27543.41</v>
      </c>
      <c r="I348" s="6" t="n">
        <v>1022833</v>
      </c>
      <c r="J348" s="6" t="n">
        <v>19733</v>
      </c>
      <c r="K348" s="6" t="n">
        <v>975</v>
      </c>
      <c r="L348" s="8" t="n">
        <v>939366.03</v>
      </c>
      <c r="M348" s="9" t="n">
        <v>0.0192924944736824</v>
      </c>
      <c r="N348" s="8" t="n">
        <v>1.39580448994071</v>
      </c>
      <c r="O348" s="8" t="n">
        <v>28.2496512820513</v>
      </c>
      <c r="P348" s="10" t="n">
        <v>34.1049285473367</v>
      </c>
      <c r="Q348" s="9" t="n">
        <v>0.0494096184057163</v>
      </c>
    </row>
    <row r="349" customFormat="false" ht="15" hidden="false" customHeight="false" outlineLevel="0" collapsed="false">
      <c r="A349" s="6" t="n">
        <v>1353</v>
      </c>
      <c r="B349" s="6" t="s">
        <v>66</v>
      </c>
      <c r="C349" s="6" t="s">
        <v>71</v>
      </c>
      <c r="D349" s="7" t="n">
        <v>45582</v>
      </c>
      <c r="E349" s="7" t="n">
        <v>45603</v>
      </c>
      <c r="F349" s="6" t="s">
        <v>60</v>
      </c>
      <c r="G349" s="6" t="s">
        <v>72</v>
      </c>
      <c r="H349" s="8" t="n">
        <v>21864.18</v>
      </c>
      <c r="I349" s="6" t="n">
        <v>708376</v>
      </c>
      <c r="J349" s="6" t="n">
        <v>16037</v>
      </c>
      <c r="K349" s="6" t="n">
        <v>1266</v>
      </c>
      <c r="L349" s="8" t="n">
        <v>1136512.9</v>
      </c>
      <c r="M349" s="9" t="n">
        <v>0.0226391069149717</v>
      </c>
      <c r="N349" s="8" t="n">
        <v>1.36335848350689</v>
      </c>
      <c r="O349" s="8" t="n">
        <v>17.2702843601896</v>
      </c>
      <c r="P349" s="10" t="n">
        <v>51.9805865118198</v>
      </c>
      <c r="Q349" s="9" t="n">
        <v>0.0789424455945626</v>
      </c>
    </row>
    <row r="350" customFormat="false" ht="15" hidden="false" customHeight="false" outlineLevel="0" collapsed="false">
      <c r="A350" s="6" t="n">
        <v>1216</v>
      </c>
      <c r="B350" s="6" t="s">
        <v>66</v>
      </c>
      <c r="C350" s="6" t="s">
        <v>50</v>
      </c>
      <c r="D350" s="7" t="n">
        <v>45440</v>
      </c>
      <c r="E350" s="7" t="n">
        <v>45466</v>
      </c>
      <c r="F350" s="6" t="s">
        <v>53</v>
      </c>
      <c r="G350" s="6" t="s">
        <v>54</v>
      </c>
      <c r="H350" s="8" t="n">
        <v>27548.13</v>
      </c>
      <c r="I350" s="6" t="n">
        <v>549184</v>
      </c>
      <c r="J350" s="6" t="n">
        <v>12311</v>
      </c>
      <c r="K350" s="6" t="n">
        <v>943</v>
      </c>
      <c r="L350" s="8" t="n">
        <v>818383.14</v>
      </c>
      <c r="M350" s="9" t="n">
        <v>0.0224168948840462</v>
      </c>
      <c r="N350" s="8" t="n">
        <v>2.23768418487532</v>
      </c>
      <c r="O350" s="8" t="n">
        <v>29.2132873806999</v>
      </c>
      <c r="P350" s="10" t="n">
        <v>29.7073935690009</v>
      </c>
      <c r="Q350" s="9" t="n">
        <v>0.0765981642433596</v>
      </c>
    </row>
    <row r="351" customFormat="false" ht="15" hidden="false" customHeight="false" outlineLevel="0" collapsed="false">
      <c r="A351" s="6" t="n">
        <v>1636</v>
      </c>
      <c r="B351" s="6" t="s">
        <v>66</v>
      </c>
      <c r="C351" s="6" t="s">
        <v>47</v>
      </c>
      <c r="D351" s="7" t="n">
        <v>45503</v>
      </c>
      <c r="E351" s="7" t="n">
        <v>45529</v>
      </c>
      <c r="F351" s="6" t="s">
        <v>48</v>
      </c>
      <c r="G351" s="6" t="s">
        <v>57</v>
      </c>
      <c r="H351" s="8" t="n">
        <v>1993.65</v>
      </c>
      <c r="I351" s="6" t="n">
        <v>42019</v>
      </c>
      <c r="J351" s="6" t="n">
        <v>818</v>
      </c>
      <c r="K351" s="6" t="n">
        <v>23</v>
      </c>
      <c r="L351" s="8" t="n">
        <v>19056.36</v>
      </c>
      <c r="M351" s="9" t="n">
        <v>0.0194673838025655</v>
      </c>
      <c r="N351" s="8" t="n">
        <v>2.43722493887531</v>
      </c>
      <c r="O351" s="8" t="n">
        <v>86.6804347826087</v>
      </c>
      <c r="P351" s="10" t="n">
        <v>9.55852832743962</v>
      </c>
      <c r="Q351" s="9" t="n">
        <v>0.0281173594132029</v>
      </c>
    </row>
    <row r="352" customFormat="false" ht="15" hidden="false" customHeight="false" outlineLevel="0" collapsed="false">
      <c r="A352" s="6" t="n">
        <v>1320</v>
      </c>
      <c r="B352" s="6" t="s">
        <v>62</v>
      </c>
      <c r="C352" s="6" t="s">
        <v>59</v>
      </c>
      <c r="D352" s="7" t="n">
        <v>45595</v>
      </c>
      <c r="E352" s="7" t="n">
        <v>45618</v>
      </c>
      <c r="F352" s="6" t="s">
        <v>51</v>
      </c>
      <c r="G352" s="6" t="s">
        <v>54</v>
      </c>
      <c r="H352" s="8" t="n">
        <v>46429.97</v>
      </c>
      <c r="I352" s="6" t="n">
        <v>1563629</v>
      </c>
      <c r="J352" s="6" t="n">
        <v>49959</v>
      </c>
      <c r="K352" s="6" t="n">
        <v>1304</v>
      </c>
      <c r="L352" s="8" t="n">
        <v>664639.23</v>
      </c>
      <c r="M352" s="9" t="n">
        <v>0.031950673721196</v>
      </c>
      <c r="N352" s="8" t="n">
        <v>0.929361476410657</v>
      </c>
      <c r="O352" s="8" t="n">
        <v>35.6058052147239</v>
      </c>
      <c r="P352" s="10" t="n">
        <v>14.3148752842184</v>
      </c>
      <c r="Q352" s="9" t="n">
        <v>0.0261014031505835</v>
      </c>
    </row>
    <row r="353" customFormat="false" ht="15" hidden="false" customHeight="false" outlineLevel="0" collapsed="false">
      <c r="A353" s="6" t="n">
        <v>1367</v>
      </c>
      <c r="B353" s="6" t="s">
        <v>64</v>
      </c>
      <c r="C353" s="6" t="s">
        <v>71</v>
      </c>
      <c r="D353" s="7" t="n">
        <v>45389</v>
      </c>
      <c r="E353" s="7" t="n">
        <v>45419</v>
      </c>
      <c r="F353" s="6" t="s">
        <v>65</v>
      </c>
      <c r="G353" s="6" t="s">
        <v>49</v>
      </c>
      <c r="H353" s="8" t="n">
        <v>22974.02</v>
      </c>
      <c r="I353" s="6" t="n">
        <v>628436</v>
      </c>
      <c r="J353" s="6" t="n">
        <v>5596</v>
      </c>
      <c r="K353" s="6" t="n">
        <v>391</v>
      </c>
      <c r="L353" s="8" t="n">
        <v>477066.94</v>
      </c>
      <c r="M353" s="9" t="n">
        <v>0.00890464581914467</v>
      </c>
      <c r="N353" s="8" t="n">
        <v>4.10543602573267</v>
      </c>
      <c r="O353" s="8" t="n">
        <v>58.757084398977</v>
      </c>
      <c r="P353" s="10" t="n">
        <v>20.7654968525317</v>
      </c>
      <c r="Q353" s="9" t="n">
        <v>0.0698713366690493</v>
      </c>
    </row>
    <row r="354" customFormat="false" ht="15" hidden="false" customHeight="false" outlineLevel="0" collapsed="false">
      <c r="A354" s="6" t="n">
        <v>1307</v>
      </c>
      <c r="B354" s="6" t="s">
        <v>68</v>
      </c>
      <c r="C354" s="6" t="s">
        <v>63</v>
      </c>
      <c r="D354" s="7" t="n">
        <v>45520</v>
      </c>
      <c r="E354" s="7" t="n">
        <v>45536</v>
      </c>
      <c r="F354" s="6" t="s">
        <v>53</v>
      </c>
      <c r="G354" s="6" t="s">
        <v>54</v>
      </c>
      <c r="H354" s="8" t="n">
        <v>37911.03</v>
      </c>
      <c r="I354" s="6" t="n">
        <v>807406</v>
      </c>
      <c r="J354" s="6" t="n">
        <v>4861</v>
      </c>
      <c r="K354" s="6" t="n">
        <v>259</v>
      </c>
      <c r="L354" s="8" t="n">
        <v>112012</v>
      </c>
      <c r="M354" s="9" t="n">
        <v>0.00602051508163179</v>
      </c>
      <c r="N354" s="8" t="n">
        <v>7.7990187204279</v>
      </c>
      <c r="O354" s="8" t="n">
        <v>146.374633204633</v>
      </c>
      <c r="P354" s="10" t="n">
        <v>2.95460186652803</v>
      </c>
      <c r="Q354" s="9" t="n">
        <v>0.0532812178564081</v>
      </c>
    </row>
    <row r="355" customFormat="false" ht="15" hidden="false" customHeight="false" outlineLevel="0" collapsed="false">
      <c r="A355" s="6" t="n">
        <v>1207</v>
      </c>
      <c r="B355" s="6" t="s">
        <v>79</v>
      </c>
      <c r="C355" s="6" t="s">
        <v>71</v>
      </c>
      <c r="D355" s="7" t="n">
        <v>45593</v>
      </c>
      <c r="E355" s="7" t="n">
        <v>45615</v>
      </c>
      <c r="F355" s="6" t="s">
        <v>48</v>
      </c>
      <c r="G355" s="6" t="s">
        <v>49</v>
      </c>
      <c r="H355" s="8" t="n">
        <v>39376.12</v>
      </c>
      <c r="I355" s="6" t="n">
        <v>1354682</v>
      </c>
      <c r="J355" s="6" t="n">
        <v>45962</v>
      </c>
      <c r="K355" s="6" t="n">
        <v>1406</v>
      </c>
      <c r="L355" s="8" t="n">
        <v>853818.18</v>
      </c>
      <c r="M355" s="9" t="n">
        <v>0.0339282577018075</v>
      </c>
      <c r="N355" s="8" t="n">
        <v>0.856710325921413</v>
      </c>
      <c r="O355" s="8" t="n">
        <v>28.0057752489331</v>
      </c>
      <c r="P355" s="10" t="n">
        <v>21.6836544585906</v>
      </c>
      <c r="Q355" s="9" t="n">
        <v>0.0305904877942648</v>
      </c>
    </row>
    <row r="356" customFormat="false" ht="15" hidden="false" customHeight="false" outlineLevel="0" collapsed="false">
      <c r="A356" s="6" t="n">
        <v>1812</v>
      </c>
      <c r="B356" s="6" t="s">
        <v>55</v>
      </c>
      <c r="C356" s="6" t="s">
        <v>59</v>
      </c>
      <c r="D356" s="7" t="n">
        <v>45396</v>
      </c>
      <c r="E356" s="7" t="n">
        <v>45415</v>
      </c>
      <c r="F356" s="6" t="s">
        <v>69</v>
      </c>
      <c r="G356" s="6" t="s">
        <v>61</v>
      </c>
      <c r="H356" s="8" t="n">
        <v>55123.55</v>
      </c>
      <c r="I356" s="6" t="n">
        <v>1844730</v>
      </c>
      <c r="J356" s="6" t="n">
        <v>14902</v>
      </c>
      <c r="K356" s="6" t="n">
        <v>1181</v>
      </c>
      <c r="L356" s="8" t="n">
        <v>1352745.37</v>
      </c>
      <c r="M356" s="9" t="n">
        <v>0.00807814693749221</v>
      </c>
      <c r="N356" s="8" t="n">
        <v>3.69907059455107</v>
      </c>
      <c r="O356" s="8" t="n">
        <v>46.6753175275191</v>
      </c>
      <c r="P356" s="10" t="n">
        <v>24.540244051771</v>
      </c>
      <c r="Q356" s="9" t="n">
        <v>0.0792511072339283</v>
      </c>
    </row>
    <row r="357" customFormat="false" ht="15" hidden="false" customHeight="false" outlineLevel="0" collapsed="false">
      <c r="A357" s="6" t="n">
        <v>1611</v>
      </c>
      <c r="B357" s="6" t="s">
        <v>62</v>
      </c>
      <c r="C357" s="6" t="s">
        <v>47</v>
      </c>
      <c r="D357" s="7" t="n">
        <v>45394</v>
      </c>
      <c r="E357" s="7" t="n">
        <v>45404</v>
      </c>
      <c r="F357" s="6" t="s">
        <v>67</v>
      </c>
      <c r="G357" s="6" t="s">
        <v>49</v>
      </c>
      <c r="H357" s="8" t="n">
        <v>2815.48</v>
      </c>
      <c r="I357" s="6" t="n">
        <v>73174</v>
      </c>
      <c r="J357" s="6" t="n">
        <v>568</v>
      </c>
      <c r="K357" s="6" t="n">
        <v>19</v>
      </c>
      <c r="L357" s="8" t="n">
        <v>16667.54</v>
      </c>
      <c r="M357" s="9" t="n">
        <v>0.00776231994970891</v>
      </c>
      <c r="N357" s="8" t="n">
        <v>4.95683098591549</v>
      </c>
      <c r="O357" s="8" t="n">
        <v>148.183157894737</v>
      </c>
      <c r="P357" s="10" t="n">
        <v>5.9199639137909</v>
      </c>
      <c r="Q357" s="9" t="n">
        <v>0.0334507042253521</v>
      </c>
    </row>
    <row r="358" customFormat="false" ht="15" hidden="false" customHeight="false" outlineLevel="0" collapsed="false">
      <c r="A358" s="6" t="n">
        <v>1435</v>
      </c>
      <c r="B358" s="6" t="s">
        <v>78</v>
      </c>
      <c r="C358" s="6" t="s">
        <v>63</v>
      </c>
      <c r="D358" s="7" t="n">
        <v>45540</v>
      </c>
      <c r="E358" s="7" t="n">
        <v>45559</v>
      </c>
      <c r="F358" s="6" t="s">
        <v>51</v>
      </c>
      <c r="G358" s="6" t="s">
        <v>61</v>
      </c>
      <c r="H358" s="8" t="n">
        <v>9632.14</v>
      </c>
      <c r="I358" s="6" t="n">
        <v>302695</v>
      </c>
      <c r="J358" s="6" t="n">
        <v>7993</v>
      </c>
      <c r="K358" s="6" t="n">
        <v>324</v>
      </c>
      <c r="L358" s="8" t="n">
        <v>334576.08</v>
      </c>
      <c r="M358" s="9" t="n">
        <v>0.0264061183699764</v>
      </c>
      <c r="N358" s="8" t="n">
        <v>1.2050719379457</v>
      </c>
      <c r="O358" s="8" t="n">
        <v>29.7288271604938</v>
      </c>
      <c r="P358" s="10" t="n">
        <v>34.735383829554</v>
      </c>
      <c r="Q358" s="9" t="n">
        <v>0.0405354685349681</v>
      </c>
    </row>
    <row r="359" customFormat="false" ht="15" hidden="false" customHeight="false" outlineLevel="0" collapsed="false">
      <c r="A359" s="6" t="n">
        <v>1564</v>
      </c>
      <c r="B359" s="6" t="s">
        <v>58</v>
      </c>
      <c r="C359" s="6" t="s">
        <v>63</v>
      </c>
      <c r="D359" s="7" t="n">
        <v>45485</v>
      </c>
      <c r="E359" s="7" t="n">
        <v>45512</v>
      </c>
      <c r="F359" s="6" t="s">
        <v>60</v>
      </c>
      <c r="G359" s="6" t="s">
        <v>54</v>
      </c>
      <c r="H359" s="8" t="n">
        <v>24907.62</v>
      </c>
      <c r="I359" s="6" t="n">
        <v>639399</v>
      </c>
      <c r="J359" s="6" t="n">
        <v>5839</v>
      </c>
      <c r="K359" s="6" t="n">
        <v>237</v>
      </c>
      <c r="L359" s="8" t="n">
        <v>391254.47</v>
      </c>
      <c r="M359" s="9" t="n">
        <v>0.00913201303098691</v>
      </c>
      <c r="N359" s="8" t="n">
        <v>4.26573385853742</v>
      </c>
      <c r="O359" s="8" t="n">
        <v>105.095443037975</v>
      </c>
      <c r="P359" s="10" t="n">
        <v>15.7082238286918</v>
      </c>
      <c r="Q359" s="9" t="n">
        <v>0.0405891419763658</v>
      </c>
    </row>
    <row r="360" customFormat="false" ht="15" hidden="false" customHeight="false" outlineLevel="0" collapsed="false">
      <c r="A360" s="6" t="n">
        <v>1563</v>
      </c>
      <c r="B360" s="6" t="s">
        <v>73</v>
      </c>
      <c r="C360" s="6" t="s">
        <v>59</v>
      </c>
      <c r="D360" s="7" t="n">
        <v>45310</v>
      </c>
      <c r="E360" s="7" t="n">
        <v>45330</v>
      </c>
      <c r="F360" s="6" t="s">
        <v>53</v>
      </c>
      <c r="G360" s="6" t="s">
        <v>61</v>
      </c>
      <c r="H360" s="8" t="n">
        <v>31893.38</v>
      </c>
      <c r="I360" s="6" t="n">
        <v>757673</v>
      </c>
      <c r="J360" s="6" t="n">
        <v>14644</v>
      </c>
      <c r="K360" s="6" t="n">
        <v>947</v>
      </c>
      <c r="L360" s="8" t="n">
        <v>1534947.04</v>
      </c>
      <c r="M360" s="9" t="n">
        <v>0.0193275991093783</v>
      </c>
      <c r="N360" s="8" t="n">
        <v>2.17791450423382</v>
      </c>
      <c r="O360" s="8" t="n">
        <v>33.6783315733897</v>
      </c>
      <c r="P360" s="10" t="n">
        <v>48.1274496462902</v>
      </c>
      <c r="Q360" s="9" t="n">
        <v>0.0646681234635346</v>
      </c>
    </row>
    <row r="361" customFormat="false" ht="15" hidden="false" customHeight="false" outlineLevel="0" collapsed="false">
      <c r="A361" s="6" t="n">
        <v>1427</v>
      </c>
      <c r="B361" s="6" t="s">
        <v>74</v>
      </c>
      <c r="C361" s="6" t="s">
        <v>59</v>
      </c>
      <c r="D361" s="7" t="n">
        <v>45528</v>
      </c>
      <c r="E361" s="7" t="n">
        <v>45543</v>
      </c>
      <c r="F361" s="6" t="s">
        <v>51</v>
      </c>
      <c r="G361" s="6" t="s">
        <v>61</v>
      </c>
      <c r="H361" s="8" t="n">
        <v>38480.61</v>
      </c>
      <c r="I361" s="6" t="n">
        <v>757920</v>
      </c>
      <c r="J361" s="6" t="n">
        <v>21300</v>
      </c>
      <c r="K361" s="6" t="n">
        <v>1253</v>
      </c>
      <c r="L361" s="8" t="n">
        <v>819334.06</v>
      </c>
      <c r="M361" s="9" t="n">
        <v>0.0281032298923369</v>
      </c>
      <c r="N361" s="8" t="n">
        <v>1.8066014084507</v>
      </c>
      <c r="O361" s="8" t="n">
        <v>30.710782122905</v>
      </c>
      <c r="P361" s="10" t="n">
        <v>21.2921276455857</v>
      </c>
      <c r="Q361" s="9" t="n">
        <v>0.0588262910798122</v>
      </c>
    </row>
    <row r="362" customFormat="false" ht="15" hidden="false" customHeight="false" outlineLevel="0" collapsed="false">
      <c r="A362" s="6" t="n">
        <v>1530</v>
      </c>
      <c r="B362" s="6" t="s">
        <v>79</v>
      </c>
      <c r="C362" s="6" t="s">
        <v>63</v>
      </c>
      <c r="D362" s="7" t="n">
        <v>45514</v>
      </c>
      <c r="E362" s="7" t="n">
        <v>45529</v>
      </c>
      <c r="F362" s="6" t="s">
        <v>60</v>
      </c>
      <c r="G362" s="6" t="s">
        <v>57</v>
      </c>
      <c r="H362" s="8" t="n">
        <v>14718.62</v>
      </c>
      <c r="I362" s="6" t="n">
        <v>239052</v>
      </c>
      <c r="J362" s="6" t="n">
        <v>4737</v>
      </c>
      <c r="K362" s="6" t="n">
        <v>62</v>
      </c>
      <c r="L362" s="8" t="n">
        <v>46369.95</v>
      </c>
      <c r="M362" s="9" t="n">
        <v>0.0198157723005873</v>
      </c>
      <c r="N362" s="8" t="n">
        <v>3.10716065020055</v>
      </c>
      <c r="O362" s="8" t="n">
        <v>237.397096774194</v>
      </c>
      <c r="P362" s="10" t="n">
        <v>3.15042782543472</v>
      </c>
      <c r="Q362" s="9" t="n">
        <v>0.0130884526071353</v>
      </c>
    </row>
    <row r="363" customFormat="false" ht="15" hidden="false" customHeight="false" outlineLevel="0" collapsed="false">
      <c r="A363" s="6" t="n">
        <v>1147</v>
      </c>
      <c r="B363" s="6" t="s">
        <v>74</v>
      </c>
      <c r="C363" s="6" t="s">
        <v>59</v>
      </c>
      <c r="D363" s="7" t="n">
        <v>45471</v>
      </c>
      <c r="E363" s="7" t="n">
        <v>45489</v>
      </c>
      <c r="F363" s="6" t="s">
        <v>60</v>
      </c>
      <c r="G363" s="6" t="s">
        <v>61</v>
      </c>
      <c r="H363" s="8" t="n">
        <v>74330.75</v>
      </c>
      <c r="I363" s="6" t="n">
        <v>1575414</v>
      </c>
      <c r="J363" s="6" t="n">
        <v>38343</v>
      </c>
      <c r="K363" s="6" t="n">
        <v>1049</v>
      </c>
      <c r="L363" s="8" t="n">
        <v>1281299.62</v>
      </c>
      <c r="M363" s="9" t="n">
        <v>0.0243383643918361</v>
      </c>
      <c r="N363" s="8" t="n">
        <v>1.93857418564014</v>
      </c>
      <c r="O363" s="8" t="n">
        <v>70.8586749285033</v>
      </c>
      <c r="P363" s="10" t="n">
        <v>17.2378136908346</v>
      </c>
      <c r="Q363" s="9" t="n">
        <v>0.027358318337115</v>
      </c>
    </row>
    <row r="364" customFormat="false" ht="15" hidden="false" customHeight="false" outlineLevel="0" collapsed="false">
      <c r="A364" s="6" t="n">
        <v>1411</v>
      </c>
      <c r="B364" s="6" t="s">
        <v>77</v>
      </c>
      <c r="C364" s="6" t="s">
        <v>59</v>
      </c>
      <c r="D364" s="7" t="n">
        <v>45457</v>
      </c>
      <c r="E364" s="7" t="n">
        <v>45475</v>
      </c>
      <c r="F364" s="6" t="s">
        <v>69</v>
      </c>
      <c r="G364" s="6" t="s">
        <v>54</v>
      </c>
      <c r="H364" s="8" t="n">
        <v>35552.67</v>
      </c>
      <c r="I364" s="6" t="n">
        <v>1137839</v>
      </c>
      <c r="J364" s="6" t="n">
        <v>21616</v>
      </c>
      <c r="K364" s="6" t="n">
        <v>763</v>
      </c>
      <c r="L364" s="8" t="n">
        <v>1106793.67</v>
      </c>
      <c r="M364" s="9" t="n">
        <v>0.0189974152757991</v>
      </c>
      <c r="N364" s="8" t="n">
        <v>1.64473861954108</v>
      </c>
      <c r="O364" s="8" t="n">
        <v>46.5958977719528</v>
      </c>
      <c r="P364" s="10" t="n">
        <v>31.1310984519587</v>
      </c>
      <c r="Q364" s="9" t="n">
        <v>0.0352979274611399</v>
      </c>
    </row>
    <row r="365" customFormat="false" ht="15" hidden="false" customHeight="false" outlineLevel="0" collapsed="false">
      <c r="A365" s="6" t="n">
        <v>1034</v>
      </c>
      <c r="B365" s="6" t="s">
        <v>78</v>
      </c>
      <c r="C365" s="6" t="s">
        <v>47</v>
      </c>
      <c r="D365" s="7" t="n">
        <v>45466</v>
      </c>
      <c r="E365" s="7" t="n">
        <v>45479</v>
      </c>
      <c r="F365" s="6" t="s">
        <v>67</v>
      </c>
      <c r="G365" s="6" t="s">
        <v>49</v>
      </c>
      <c r="H365" s="8" t="n">
        <v>5908.29</v>
      </c>
      <c r="I365" s="6" t="n">
        <v>129431</v>
      </c>
      <c r="J365" s="6" t="n">
        <v>686</v>
      </c>
      <c r="K365" s="6" t="n">
        <v>52</v>
      </c>
      <c r="L365" s="8" t="n">
        <v>24655.22</v>
      </c>
      <c r="M365" s="9" t="n">
        <v>0.00530012130015221</v>
      </c>
      <c r="N365" s="8" t="n">
        <v>8.61266763848396</v>
      </c>
      <c r="O365" s="8" t="n">
        <v>113.620961538462</v>
      </c>
      <c r="P365" s="10" t="n">
        <v>4.17298744645236</v>
      </c>
      <c r="Q365" s="9" t="n">
        <v>0.075801749271137</v>
      </c>
    </row>
    <row r="366" customFormat="false" ht="15" hidden="false" customHeight="false" outlineLevel="0" collapsed="false">
      <c r="A366" s="6" t="n">
        <v>1363</v>
      </c>
      <c r="B366" s="6" t="s">
        <v>46</v>
      </c>
      <c r="C366" s="6" t="s">
        <v>63</v>
      </c>
      <c r="D366" s="7" t="n">
        <v>45543</v>
      </c>
      <c r="E366" s="7" t="n">
        <v>45563</v>
      </c>
      <c r="F366" s="6" t="s">
        <v>53</v>
      </c>
      <c r="G366" s="6" t="s">
        <v>49</v>
      </c>
      <c r="H366" s="8" t="n">
        <v>24170.3</v>
      </c>
      <c r="I366" s="6" t="n">
        <v>870833</v>
      </c>
      <c r="J366" s="6" t="n">
        <v>23095</v>
      </c>
      <c r="K366" s="6" t="n">
        <v>1648</v>
      </c>
      <c r="L366" s="8" t="n">
        <v>2536848.64</v>
      </c>
      <c r="M366" s="9" t="n">
        <v>0.0265205843140993</v>
      </c>
      <c r="N366" s="8" t="n">
        <v>1.04655986144187</v>
      </c>
      <c r="O366" s="8" t="n">
        <v>14.6664441747573</v>
      </c>
      <c r="P366" s="10" t="n">
        <v>104.957267390144</v>
      </c>
      <c r="Q366" s="9" t="n">
        <v>0.0713574366746049</v>
      </c>
    </row>
    <row r="367" customFormat="false" ht="15" hidden="false" customHeight="false" outlineLevel="0" collapsed="false">
      <c r="A367" s="6" t="n">
        <v>1683</v>
      </c>
      <c r="B367" s="6" t="s">
        <v>76</v>
      </c>
      <c r="C367" s="6" t="s">
        <v>59</v>
      </c>
      <c r="D367" s="7" t="n">
        <v>45303</v>
      </c>
      <c r="E367" s="7" t="n">
        <v>45325</v>
      </c>
      <c r="F367" s="6" t="s">
        <v>56</v>
      </c>
      <c r="G367" s="6" t="s">
        <v>49</v>
      </c>
      <c r="H367" s="8" t="n">
        <v>56924.7</v>
      </c>
      <c r="I367" s="6" t="n">
        <v>935764</v>
      </c>
      <c r="J367" s="6" t="n">
        <v>14437</v>
      </c>
      <c r="K367" s="6" t="n">
        <v>1021</v>
      </c>
      <c r="L367" s="8" t="n">
        <v>576279.13</v>
      </c>
      <c r="M367" s="9" t="n">
        <v>0.0154280352738511</v>
      </c>
      <c r="N367" s="8" t="n">
        <v>3.94297291681097</v>
      </c>
      <c r="O367" s="8" t="n">
        <v>55.7538687561215</v>
      </c>
      <c r="P367" s="10" t="n">
        <v>10.1235338965335</v>
      </c>
      <c r="Q367" s="9" t="n">
        <v>0.0707210639329501</v>
      </c>
    </row>
    <row r="368" customFormat="false" ht="15" hidden="false" customHeight="false" outlineLevel="0" collapsed="false">
      <c r="A368" s="6" t="n">
        <v>1290</v>
      </c>
      <c r="B368" s="6" t="s">
        <v>46</v>
      </c>
      <c r="C368" s="6" t="s">
        <v>59</v>
      </c>
      <c r="D368" s="7" t="n">
        <v>45517</v>
      </c>
      <c r="E368" s="7" t="n">
        <v>45543</v>
      </c>
      <c r="F368" s="6" t="s">
        <v>48</v>
      </c>
      <c r="G368" s="6" t="s">
        <v>61</v>
      </c>
      <c r="H368" s="8" t="n">
        <v>35449.07</v>
      </c>
      <c r="I368" s="6" t="n">
        <v>671313</v>
      </c>
      <c r="J368" s="6" t="n">
        <v>5661</v>
      </c>
      <c r="K368" s="6" t="n">
        <v>436</v>
      </c>
      <c r="L368" s="8" t="n">
        <v>506395.41</v>
      </c>
      <c r="M368" s="9" t="n">
        <v>0.00843272810149662</v>
      </c>
      <c r="N368" s="8" t="n">
        <v>6.26198021550963</v>
      </c>
      <c r="O368" s="8" t="n">
        <v>81.3052064220183</v>
      </c>
      <c r="P368" s="10" t="n">
        <v>14.285153602055</v>
      </c>
      <c r="Q368" s="9" t="n">
        <v>0.0770181946652535</v>
      </c>
    </row>
    <row r="369" customFormat="false" ht="15" hidden="false" customHeight="false" outlineLevel="0" collapsed="false">
      <c r="A369" s="6" t="n">
        <v>1189</v>
      </c>
      <c r="B369" s="6" t="s">
        <v>79</v>
      </c>
      <c r="C369" s="6" t="s">
        <v>71</v>
      </c>
      <c r="D369" s="7" t="n">
        <v>45377</v>
      </c>
      <c r="E369" s="7" t="n">
        <v>45384</v>
      </c>
      <c r="F369" s="6" t="s">
        <v>67</v>
      </c>
      <c r="G369" s="6" t="s">
        <v>61</v>
      </c>
      <c r="H369" s="8" t="n">
        <v>23506.52</v>
      </c>
      <c r="I369" s="6" t="n">
        <v>523506</v>
      </c>
      <c r="J369" s="6" t="n">
        <v>14048</v>
      </c>
      <c r="K369" s="6" t="n">
        <v>726</v>
      </c>
      <c r="L369" s="8" t="n">
        <v>609739.06</v>
      </c>
      <c r="M369" s="9" t="n">
        <v>0.0268344584398269</v>
      </c>
      <c r="N369" s="8" t="n">
        <v>1.67330011389522</v>
      </c>
      <c r="O369" s="8" t="n">
        <v>32.3781267217631</v>
      </c>
      <c r="P369" s="10" t="n">
        <v>25.9391462453821</v>
      </c>
      <c r="Q369" s="9" t="n">
        <v>0.0516799544419134</v>
      </c>
    </row>
    <row r="370" customFormat="false" ht="15" hidden="false" customHeight="false" outlineLevel="0" collapsed="false">
      <c r="A370" s="6" t="n">
        <v>1260</v>
      </c>
      <c r="B370" s="6" t="s">
        <v>58</v>
      </c>
      <c r="C370" s="6" t="s">
        <v>47</v>
      </c>
      <c r="D370" s="7" t="n">
        <v>45476</v>
      </c>
      <c r="E370" s="7" t="n">
        <v>45495</v>
      </c>
      <c r="F370" s="6" t="s">
        <v>67</v>
      </c>
      <c r="G370" s="6" t="s">
        <v>49</v>
      </c>
      <c r="H370" s="8" t="n">
        <v>7718.77</v>
      </c>
      <c r="I370" s="6" t="n">
        <v>115819</v>
      </c>
      <c r="J370" s="6" t="n">
        <v>699</v>
      </c>
      <c r="K370" s="6" t="n">
        <v>20</v>
      </c>
      <c r="L370" s="8" t="n">
        <v>7472.77</v>
      </c>
      <c r="M370" s="9" t="n">
        <v>0.00603527918562585</v>
      </c>
      <c r="N370" s="8" t="n">
        <v>11.0425894134478</v>
      </c>
      <c r="O370" s="8" t="n">
        <v>385.9385</v>
      </c>
      <c r="P370" s="10" t="n">
        <v>0.968129637234948</v>
      </c>
      <c r="Q370" s="9" t="n">
        <v>0.0286123032904149</v>
      </c>
    </row>
    <row r="371" customFormat="false" ht="15" hidden="false" customHeight="false" outlineLevel="0" collapsed="false">
      <c r="A371" s="6" t="n">
        <v>1025</v>
      </c>
      <c r="B371" s="6" t="s">
        <v>79</v>
      </c>
      <c r="C371" s="6" t="s">
        <v>47</v>
      </c>
      <c r="D371" s="7" t="n">
        <v>45317</v>
      </c>
      <c r="E371" s="7" t="n">
        <v>45339</v>
      </c>
      <c r="F371" s="6" t="s">
        <v>51</v>
      </c>
      <c r="G371" s="6" t="s">
        <v>54</v>
      </c>
      <c r="H371" s="8" t="n">
        <v>7422.29</v>
      </c>
      <c r="I371" s="6" t="n">
        <v>133853</v>
      </c>
      <c r="J371" s="6" t="n">
        <v>1204</v>
      </c>
      <c r="K371" s="6" t="n">
        <v>51</v>
      </c>
      <c r="L371" s="8" t="n">
        <v>57127.2</v>
      </c>
      <c r="M371" s="9" t="n">
        <v>0.0089949422127259</v>
      </c>
      <c r="N371" s="8" t="n">
        <v>6.1646926910299</v>
      </c>
      <c r="O371" s="8" t="n">
        <v>145.535098039216</v>
      </c>
      <c r="P371" s="10" t="n">
        <v>7.69670815880274</v>
      </c>
      <c r="Q371" s="9" t="n">
        <v>0.042358803986711</v>
      </c>
    </row>
    <row r="372" customFormat="false" ht="15" hidden="false" customHeight="false" outlineLevel="0" collapsed="false">
      <c r="A372" s="6" t="n">
        <v>1311</v>
      </c>
      <c r="B372" s="6" t="s">
        <v>58</v>
      </c>
      <c r="C372" s="6" t="s">
        <v>50</v>
      </c>
      <c r="D372" s="7" t="n">
        <v>45568</v>
      </c>
      <c r="E372" s="7" t="n">
        <v>45580</v>
      </c>
      <c r="F372" s="6" t="s">
        <v>53</v>
      </c>
      <c r="G372" s="6" t="s">
        <v>49</v>
      </c>
      <c r="H372" s="8" t="n">
        <v>36909.67</v>
      </c>
      <c r="I372" s="6" t="n">
        <v>1189655</v>
      </c>
      <c r="J372" s="6" t="n">
        <v>33780</v>
      </c>
      <c r="K372" s="6" t="n">
        <v>624</v>
      </c>
      <c r="L372" s="8" t="n">
        <v>702743.13</v>
      </c>
      <c r="M372" s="9" t="n">
        <v>0.0283947867238821</v>
      </c>
      <c r="N372" s="8" t="n">
        <v>1.09264860864417</v>
      </c>
      <c r="O372" s="8" t="n">
        <v>59.1501121794872</v>
      </c>
      <c r="P372" s="10" t="n">
        <v>19.0395397737233</v>
      </c>
      <c r="Q372" s="9" t="n">
        <v>0.0184724689165187</v>
      </c>
    </row>
    <row r="373" customFormat="false" ht="15" hidden="false" customHeight="false" outlineLevel="0" collapsed="false">
      <c r="A373" s="6" t="n">
        <v>1465</v>
      </c>
      <c r="B373" s="6" t="s">
        <v>78</v>
      </c>
      <c r="C373" s="6" t="s">
        <v>59</v>
      </c>
      <c r="D373" s="7" t="n">
        <v>45595</v>
      </c>
      <c r="E373" s="7" t="n">
        <v>45605</v>
      </c>
      <c r="F373" s="6" t="s">
        <v>53</v>
      </c>
      <c r="G373" s="6" t="s">
        <v>49</v>
      </c>
      <c r="H373" s="8" t="n">
        <v>51314.36</v>
      </c>
      <c r="I373" s="6" t="n">
        <v>1596642</v>
      </c>
      <c r="J373" s="6" t="n">
        <v>28755</v>
      </c>
      <c r="K373" s="6" t="n">
        <v>1437</v>
      </c>
      <c r="L373" s="8" t="n">
        <v>710150.77</v>
      </c>
      <c r="M373" s="9" t="n">
        <v>0.0180096728007907</v>
      </c>
      <c r="N373" s="8" t="n">
        <v>1.78453695009564</v>
      </c>
      <c r="O373" s="8" t="n">
        <v>35.7093667362561</v>
      </c>
      <c r="P373" s="10" t="n">
        <v>13.8392210289673</v>
      </c>
      <c r="Q373" s="9" t="n">
        <v>0.0499739175795514</v>
      </c>
    </row>
    <row r="374" customFormat="false" ht="15" hidden="false" customHeight="false" outlineLevel="0" collapsed="false">
      <c r="A374" s="6" t="n">
        <v>1567</v>
      </c>
      <c r="B374" s="6" t="s">
        <v>73</v>
      </c>
      <c r="C374" s="6" t="s">
        <v>63</v>
      </c>
      <c r="D374" s="7" t="n">
        <v>45610</v>
      </c>
      <c r="E374" s="7" t="n">
        <v>45630</v>
      </c>
      <c r="F374" s="6" t="s">
        <v>60</v>
      </c>
      <c r="G374" s="6" t="s">
        <v>57</v>
      </c>
      <c r="H374" s="8" t="n">
        <v>9451.63</v>
      </c>
      <c r="I374" s="6" t="n">
        <v>357283</v>
      </c>
      <c r="J374" s="6" t="n">
        <v>10805</v>
      </c>
      <c r="K374" s="6" t="n">
        <v>502</v>
      </c>
      <c r="L374" s="8" t="n">
        <v>397665.24</v>
      </c>
      <c r="M374" s="9" t="n">
        <v>0.0302421329870159</v>
      </c>
      <c r="N374" s="8" t="n">
        <v>0.874745950948635</v>
      </c>
      <c r="O374" s="8" t="n">
        <v>18.8279482071713</v>
      </c>
      <c r="P374" s="10" t="n">
        <v>42.073720617502</v>
      </c>
      <c r="Q374" s="9" t="n">
        <v>0.0464599722350764</v>
      </c>
    </row>
    <row r="375" customFormat="false" ht="15" hidden="false" customHeight="false" outlineLevel="0" collapsed="false">
      <c r="A375" s="6" t="n">
        <v>1770</v>
      </c>
      <c r="B375" s="6" t="s">
        <v>62</v>
      </c>
      <c r="C375" s="6" t="s">
        <v>71</v>
      </c>
      <c r="D375" s="7" t="n">
        <v>45585</v>
      </c>
      <c r="E375" s="7" t="n">
        <v>45615</v>
      </c>
      <c r="F375" s="6" t="s">
        <v>48</v>
      </c>
      <c r="G375" s="6" t="s">
        <v>61</v>
      </c>
      <c r="H375" s="8" t="n">
        <v>32045.07</v>
      </c>
      <c r="I375" s="6" t="n">
        <v>845143</v>
      </c>
      <c r="J375" s="6" t="n">
        <v>22232</v>
      </c>
      <c r="K375" s="6" t="n">
        <v>1332</v>
      </c>
      <c r="L375" s="8" t="n">
        <v>779254.64</v>
      </c>
      <c r="M375" s="9" t="n">
        <v>0.0263056074534132</v>
      </c>
      <c r="N375" s="8" t="n">
        <v>1.44139393666787</v>
      </c>
      <c r="O375" s="8" t="n">
        <v>24.0578603603604</v>
      </c>
      <c r="P375" s="10" t="n">
        <v>24.3174578804166</v>
      </c>
      <c r="Q375" s="9" t="n">
        <v>0.0599136379992803</v>
      </c>
    </row>
    <row r="376" customFormat="false" ht="15" hidden="false" customHeight="false" outlineLevel="0" collapsed="false">
      <c r="A376" s="6" t="n">
        <v>1527</v>
      </c>
      <c r="B376" s="6" t="s">
        <v>77</v>
      </c>
      <c r="C376" s="6" t="s">
        <v>47</v>
      </c>
      <c r="D376" s="7" t="n">
        <v>45376</v>
      </c>
      <c r="E376" s="7" t="n">
        <v>45406</v>
      </c>
      <c r="F376" s="6" t="s">
        <v>67</v>
      </c>
      <c r="G376" s="6" t="s">
        <v>72</v>
      </c>
      <c r="H376" s="8" t="n">
        <v>7676.33</v>
      </c>
      <c r="I376" s="6" t="n">
        <v>208763</v>
      </c>
      <c r="J376" s="6" t="n">
        <v>6573</v>
      </c>
      <c r="K376" s="6" t="n">
        <v>260</v>
      </c>
      <c r="L376" s="8" t="n">
        <v>372648.88</v>
      </c>
      <c r="M376" s="9" t="n">
        <v>0.0314854643782663</v>
      </c>
      <c r="N376" s="8" t="n">
        <v>1.1678579035448</v>
      </c>
      <c r="O376" s="8" t="n">
        <v>29.5243461538462</v>
      </c>
      <c r="P376" s="10" t="n">
        <v>48.545187609183</v>
      </c>
      <c r="Q376" s="9" t="n">
        <v>0.0395557584055987</v>
      </c>
    </row>
    <row r="377" customFormat="false" ht="15" hidden="false" customHeight="false" outlineLevel="0" collapsed="false">
      <c r="A377" s="6" t="n">
        <v>1701</v>
      </c>
      <c r="B377" s="6" t="s">
        <v>58</v>
      </c>
      <c r="C377" s="6" t="s">
        <v>63</v>
      </c>
      <c r="D377" s="7" t="n">
        <v>45607</v>
      </c>
      <c r="E377" s="7" t="n">
        <v>45624</v>
      </c>
      <c r="F377" s="6" t="s">
        <v>67</v>
      </c>
      <c r="G377" s="6" t="s">
        <v>49</v>
      </c>
      <c r="H377" s="8" t="n">
        <v>46050.61</v>
      </c>
      <c r="I377" s="6" t="n">
        <v>964379</v>
      </c>
      <c r="J377" s="6" t="n">
        <v>19014</v>
      </c>
      <c r="K377" s="6" t="n">
        <v>522</v>
      </c>
      <c r="L377" s="8" t="n">
        <v>924561.23</v>
      </c>
      <c r="M377" s="9" t="n">
        <v>0.0197163148513188</v>
      </c>
      <c r="N377" s="8" t="n">
        <v>2.42193173451141</v>
      </c>
      <c r="O377" s="8" t="n">
        <v>88.2195593869732</v>
      </c>
      <c r="P377" s="10" t="n">
        <v>20.0770680344951</v>
      </c>
      <c r="Q377" s="9" t="n">
        <v>0.0274534553486904</v>
      </c>
    </row>
    <row r="378" customFormat="false" ht="15" hidden="false" customHeight="false" outlineLevel="0" collapsed="false">
      <c r="A378" s="6" t="n">
        <v>1395</v>
      </c>
      <c r="B378" s="6" t="s">
        <v>76</v>
      </c>
      <c r="C378" s="6" t="s">
        <v>63</v>
      </c>
      <c r="D378" s="7" t="n">
        <v>45358</v>
      </c>
      <c r="E378" s="7" t="n">
        <v>45378</v>
      </c>
      <c r="F378" s="6" t="s">
        <v>60</v>
      </c>
      <c r="G378" s="6" t="s">
        <v>49</v>
      </c>
      <c r="H378" s="8" t="n">
        <v>25631.22</v>
      </c>
      <c r="I378" s="6" t="n">
        <v>621104</v>
      </c>
      <c r="J378" s="6" t="n">
        <v>12911</v>
      </c>
      <c r="K378" s="6" t="n">
        <v>660</v>
      </c>
      <c r="L378" s="8" t="n">
        <v>727630.36</v>
      </c>
      <c r="M378" s="9" t="n">
        <v>0.0207871789587573</v>
      </c>
      <c r="N378" s="8" t="n">
        <v>1.98522345286965</v>
      </c>
      <c r="O378" s="8" t="n">
        <v>38.8351818181818</v>
      </c>
      <c r="P378" s="10" t="n">
        <v>28.3884403473576</v>
      </c>
      <c r="Q378" s="9" t="n">
        <v>0.0511192006815893</v>
      </c>
    </row>
    <row r="379" customFormat="false" ht="15" hidden="false" customHeight="false" outlineLevel="0" collapsed="false">
      <c r="A379" s="6" t="n">
        <v>1053</v>
      </c>
      <c r="B379" s="6" t="s">
        <v>78</v>
      </c>
      <c r="C379" s="6" t="s">
        <v>50</v>
      </c>
      <c r="D379" s="7" t="n">
        <v>45381</v>
      </c>
      <c r="E379" s="7" t="n">
        <v>45392</v>
      </c>
      <c r="F379" s="6" t="s">
        <v>60</v>
      </c>
      <c r="G379" s="6" t="s">
        <v>54</v>
      </c>
      <c r="H379" s="8" t="n">
        <v>65055.9</v>
      </c>
      <c r="I379" s="6" t="n">
        <v>2401311</v>
      </c>
      <c r="J379" s="6" t="n">
        <v>38362</v>
      </c>
      <c r="K379" s="6" t="n">
        <v>1731</v>
      </c>
      <c r="L379" s="8" t="n">
        <v>1289880.02</v>
      </c>
      <c r="M379" s="9" t="n">
        <v>0.0159754400825216</v>
      </c>
      <c r="N379" s="8" t="n">
        <v>1.69584223971639</v>
      </c>
      <c r="O379" s="8" t="n">
        <v>37.582842287695</v>
      </c>
      <c r="P379" s="10" t="n">
        <v>19.827256559359</v>
      </c>
      <c r="Q379" s="9" t="n">
        <v>0.0451227777488139</v>
      </c>
    </row>
    <row r="380" customFormat="false" ht="15" hidden="false" customHeight="false" outlineLevel="0" collapsed="false">
      <c r="A380" s="6" t="n">
        <v>1522</v>
      </c>
      <c r="B380" s="6" t="s">
        <v>78</v>
      </c>
      <c r="C380" s="6" t="s">
        <v>71</v>
      </c>
      <c r="D380" s="7" t="n">
        <v>45584</v>
      </c>
      <c r="E380" s="7" t="n">
        <v>45601</v>
      </c>
      <c r="F380" s="6" t="s">
        <v>53</v>
      </c>
      <c r="G380" s="6" t="s">
        <v>54</v>
      </c>
      <c r="H380" s="8" t="n">
        <v>46601.66</v>
      </c>
      <c r="I380" s="6" t="n">
        <v>851118</v>
      </c>
      <c r="J380" s="6" t="n">
        <v>15840</v>
      </c>
      <c r="K380" s="6" t="n">
        <v>858</v>
      </c>
      <c r="L380" s="8" t="n">
        <v>745838.77</v>
      </c>
      <c r="M380" s="9" t="n">
        <v>0.0186108154215984</v>
      </c>
      <c r="N380" s="8" t="n">
        <v>2.94202398989899</v>
      </c>
      <c r="O380" s="8" t="n">
        <v>54.3142890442891</v>
      </c>
      <c r="P380" s="10" t="n">
        <v>16.0045537004476</v>
      </c>
      <c r="Q380" s="9" t="n">
        <v>0.0541666666666667</v>
      </c>
    </row>
    <row r="381" customFormat="false" ht="15" hidden="false" customHeight="false" outlineLevel="0" collapsed="false">
      <c r="A381" s="6" t="n">
        <v>1616</v>
      </c>
      <c r="B381" s="6" t="s">
        <v>46</v>
      </c>
      <c r="C381" s="6" t="s">
        <v>63</v>
      </c>
      <c r="D381" s="7" t="n">
        <v>45469</v>
      </c>
      <c r="E381" s="7" t="n">
        <v>45488</v>
      </c>
      <c r="F381" s="6" t="s">
        <v>56</v>
      </c>
      <c r="G381" s="6" t="s">
        <v>54</v>
      </c>
      <c r="H381" s="8" t="n">
        <v>13275.05</v>
      </c>
      <c r="I381" s="6" t="n">
        <v>199405</v>
      </c>
      <c r="J381" s="6" t="n">
        <v>1879</v>
      </c>
      <c r="K381" s="6" t="n">
        <v>134</v>
      </c>
      <c r="L381" s="8" t="n">
        <v>105439.16</v>
      </c>
      <c r="M381" s="9" t="n">
        <v>0.00942303352473609</v>
      </c>
      <c r="N381" s="8" t="n">
        <v>7.0649547631719</v>
      </c>
      <c r="O381" s="8" t="n">
        <v>99.0675373134328</v>
      </c>
      <c r="P381" s="10" t="n">
        <v>7.94265633651097</v>
      </c>
      <c r="Q381" s="9" t="n">
        <v>0.0713145290047898</v>
      </c>
    </row>
    <row r="382" customFormat="false" ht="15" hidden="false" customHeight="false" outlineLevel="0" collapsed="false">
      <c r="A382" s="6" t="n">
        <v>1766</v>
      </c>
      <c r="B382" s="6" t="s">
        <v>55</v>
      </c>
      <c r="C382" s="6" t="s">
        <v>71</v>
      </c>
      <c r="D382" s="7" t="n">
        <v>45515</v>
      </c>
      <c r="E382" s="7" t="n">
        <v>45543</v>
      </c>
      <c r="F382" s="6" t="s">
        <v>51</v>
      </c>
      <c r="G382" s="6" t="s">
        <v>72</v>
      </c>
      <c r="H382" s="8" t="n">
        <v>55277.78</v>
      </c>
      <c r="I382" s="6" t="n">
        <v>952796</v>
      </c>
      <c r="J382" s="6" t="n">
        <v>12050</v>
      </c>
      <c r="K382" s="6" t="n">
        <v>313</v>
      </c>
      <c r="L382" s="8" t="n">
        <v>275929.03</v>
      </c>
      <c r="M382" s="9" t="n">
        <v>0.0126469884424368</v>
      </c>
      <c r="N382" s="8" t="n">
        <v>4.58736763485477</v>
      </c>
      <c r="O382" s="8" t="n">
        <v>176.606325878594</v>
      </c>
      <c r="P382" s="10" t="n">
        <v>4.99168074405304</v>
      </c>
      <c r="Q382" s="9" t="n">
        <v>0.0259751037344398</v>
      </c>
    </row>
    <row r="383" customFormat="false" ht="15" hidden="false" customHeight="false" outlineLevel="0" collapsed="false">
      <c r="A383" s="6" t="n">
        <v>1677</v>
      </c>
      <c r="B383" s="6" t="s">
        <v>70</v>
      </c>
      <c r="C383" s="6" t="s">
        <v>47</v>
      </c>
      <c r="D383" s="7" t="n">
        <v>45454</v>
      </c>
      <c r="E383" s="7" t="n">
        <v>45468</v>
      </c>
      <c r="F383" s="6" t="s">
        <v>65</v>
      </c>
      <c r="G383" s="6" t="s">
        <v>54</v>
      </c>
      <c r="H383" s="8" t="n">
        <v>7399.2</v>
      </c>
      <c r="I383" s="6" t="n">
        <v>127716</v>
      </c>
      <c r="J383" s="6" t="n">
        <v>2194</v>
      </c>
      <c r="K383" s="6" t="n">
        <v>117</v>
      </c>
      <c r="L383" s="8" t="n">
        <v>149436.93</v>
      </c>
      <c r="M383" s="9" t="n">
        <v>0.0171787403301074</v>
      </c>
      <c r="N383" s="8" t="n">
        <v>3.37247037374658</v>
      </c>
      <c r="O383" s="8" t="n">
        <v>63.2410256410256</v>
      </c>
      <c r="P383" s="10" t="n">
        <v>20.1963631203373</v>
      </c>
      <c r="Q383" s="9" t="n">
        <v>0.0533272561531449</v>
      </c>
    </row>
    <row r="384" customFormat="false" ht="15" hidden="false" customHeight="false" outlineLevel="0" collapsed="false">
      <c r="A384" s="6" t="n">
        <v>1644</v>
      </c>
      <c r="B384" s="6" t="s">
        <v>78</v>
      </c>
      <c r="C384" s="6" t="s">
        <v>59</v>
      </c>
      <c r="D384" s="7" t="n">
        <v>45551</v>
      </c>
      <c r="E384" s="7" t="n">
        <v>45571</v>
      </c>
      <c r="F384" s="6" t="s">
        <v>48</v>
      </c>
      <c r="G384" s="6" t="s">
        <v>72</v>
      </c>
      <c r="H384" s="8" t="n">
        <v>36281.68</v>
      </c>
      <c r="I384" s="6" t="n">
        <v>1129520</v>
      </c>
      <c r="J384" s="6" t="n">
        <v>14600</v>
      </c>
      <c r="K384" s="6" t="n">
        <v>689</v>
      </c>
      <c r="L384" s="8" t="n">
        <v>581968.2</v>
      </c>
      <c r="M384" s="9" t="n">
        <v>0.0129258446065585</v>
      </c>
      <c r="N384" s="8" t="n">
        <v>2.48504657534247</v>
      </c>
      <c r="O384" s="8" t="n">
        <v>52.6584615384615</v>
      </c>
      <c r="P384" s="10" t="n">
        <v>16.040277076475</v>
      </c>
      <c r="Q384" s="9" t="n">
        <v>0.0471917808219178</v>
      </c>
    </row>
    <row r="385" customFormat="false" ht="15" hidden="false" customHeight="false" outlineLevel="0" collapsed="false">
      <c r="A385" s="6" t="n">
        <v>1579</v>
      </c>
      <c r="B385" s="6" t="s">
        <v>70</v>
      </c>
      <c r="C385" s="6" t="s">
        <v>59</v>
      </c>
      <c r="D385" s="7" t="n">
        <v>45586</v>
      </c>
      <c r="E385" s="7" t="n">
        <v>45606</v>
      </c>
      <c r="F385" s="6" t="s">
        <v>56</v>
      </c>
      <c r="G385" s="6" t="s">
        <v>54</v>
      </c>
      <c r="H385" s="8" t="n">
        <v>81108.09</v>
      </c>
      <c r="I385" s="6" t="n">
        <v>1618317</v>
      </c>
      <c r="J385" s="6" t="n">
        <v>16826</v>
      </c>
      <c r="K385" s="6" t="n">
        <v>703</v>
      </c>
      <c r="L385" s="8" t="n">
        <v>416047.96</v>
      </c>
      <c r="M385" s="9" t="n">
        <v>0.0103972213107815</v>
      </c>
      <c r="N385" s="8" t="n">
        <v>4.82040235350053</v>
      </c>
      <c r="O385" s="8" t="n">
        <v>115.374238975818</v>
      </c>
      <c r="P385" s="10" t="n">
        <v>5.12954946910968</v>
      </c>
      <c r="Q385" s="9" t="n">
        <v>0.041780577677404</v>
      </c>
    </row>
    <row r="386" customFormat="false" ht="15" hidden="false" customHeight="false" outlineLevel="0" collapsed="false">
      <c r="A386" s="6" t="n">
        <v>1120</v>
      </c>
      <c r="B386" s="6" t="s">
        <v>68</v>
      </c>
      <c r="C386" s="6" t="s">
        <v>71</v>
      </c>
      <c r="D386" s="7" t="n">
        <v>45549</v>
      </c>
      <c r="E386" s="7" t="n">
        <v>45576</v>
      </c>
      <c r="F386" s="6" t="s">
        <v>69</v>
      </c>
      <c r="G386" s="6" t="s">
        <v>72</v>
      </c>
      <c r="H386" s="8" t="n">
        <v>30389.81</v>
      </c>
      <c r="I386" s="6" t="n">
        <v>1169788</v>
      </c>
      <c r="J386" s="6" t="n">
        <v>12140</v>
      </c>
      <c r="K386" s="6" t="n">
        <v>901</v>
      </c>
      <c r="L386" s="8" t="n">
        <v>1000433.31</v>
      </c>
      <c r="M386" s="9" t="n">
        <v>0.0103779488249153</v>
      </c>
      <c r="N386" s="8" t="n">
        <v>2.50327924217463</v>
      </c>
      <c r="O386" s="8" t="n">
        <v>33.7289789123197</v>
      </c>
      <c r="P386" s="10" t="n">
        <v>32.9200251663304</v>
      </c>
      <c r="Q386" s="9" t="n">
        <v>0.0742174629324547</v>
      </c>
    </row>
    <row r="387" customFormat="false" ht="15" hidden="false" customHeight="false" outlineLevel="0" collapsed="false">
      <c r="A387" s="6" t="n">
        <v>1440</v>
      </c>
      <c r="B387" s="6" t="s">
        <v>46</v>
      </c>
      <c r="C387" s="6" t="s">
        <v>50</v>
      </c>
      <c r="D387" s="7" t="n">
        <v>45538</v>
      </c>
      <c r="E387" s="7" t="n">
        <v>45545</v>
      </c>
      <c r="F387" s="6" t="s">
        <v>48</v>
      </c>
      <c r="G387" s="6" t="s">
        <v>61</v>
      </c>
      <c r="H387" s="8" t="n">
        <v>11235.42</v>
      </c>
      <c r="I387" s="6" t="n">
        <v>424727</v>
      </c>
      <c r="J387" s="6" t="n">
        <v>7843</v>
      </c>
      <c r="K387" s="6" t="n">
        <v>358</v>
      </c>
      <c r="L387" s="8" t="n">
        <v>510375.61</v>
      </c>
      <c r="M387" s="9" t="n">
        <v>0.0184659793231888</v>
      </c>
      <c r="N387" s="8" t="n">
        <v>1.43254111946959</v>
      </c>
      <c r="O387" s="8" t="n">
        <v>31.3838547486034</v>
      </c>
      <c r="P387" s="10" t="n">
        <v>45.4255924567128</v>
      </c>
      <c r="Q387" s="9" t="n">
        <v>0.045645798801479</v>
      </c>
    </row>
    <row r="388" customFormat="false" ht="15" hidden="false" customHeight="false" outlineLevel="0" collapsed="false">
      <c r="A388" s="6" t="n">
        <v>1475</v>
      </c>
      <c r="B388" s="6" t="s">
        <v>64</v>
      </c>
      <c r="C388" s="6" t="s">
        <v>59</v>
      </c>
      <c r="D388" s="7" t="n">
        <v>45417</v>
      </c>
      <c r="E388" s="7" t="n">
        <v>45445</v>
      </c>
      <c r="F388" s="6" t="s">
        <v>48</v>
      </c>
      <c r="G388" s="6" t="s">
        <v>54</v>
      </c>
      <c r="H388" s="8" t="n">
        <v>86315.13</v>
      </c>
      <c r="I388" s="6" t="n">
        <v>3071444</v>
      </c>
      <c r="J388" s="6" t="n">
        <v>96473</v>
      </c>
      <c r="K388" s="6" t="n">
        <v>4531</v>
      </c>
      <c r="L388" s="8" t="n">
        <v>5588221.55</v>
      </c>
      <c r="M388" s="9" t="n">
        <v>0.0314096561747504</v>
      </c>
      <c r="N388" s="8" t="n">
        <v>0.894707638406601</v>
      </c>
      <c r="O388" s="8" t="n">
        <v>19.0499073052306</v>
      </c>
      <c r="P388" s="10" t="n">
        <v>64.7420857733748</v>
      </c>
      <c r="Q388" s="9" t="n">
        <v>0.0469665087641102</v>
      </c>
    </row>
    <row r="389" customFormat="false" ht="15" hidden="false" customHeight="false" outlineLevel="0" collapsed="false">
      <c r="A389" s="6" t="n">
        <v>1494</v>
      </c>
      <c r="B389" s="6" t="s">
        <v>78</v>
      </c>
      <c r="C389" s="6" t="s">
        <v>59</v>
      </c>
      <c r="D389" s="7" t="n">
        <v>45364</v>
      </c>
      <c r="E389" s="7" t="n">
        <v>45369</v>
      </c>
      <c r="F389" s="6" t="s">
        <v>60</v>
      </c>
      <c r="G389" s="6" t="s">
        <v>72</v>
      </c>
      <c r="H389" s="8" t="n">
        <v>16800.07</v>
      </c>
      <c r="I389" s="6" t="n">
        <v>431398</v>
      </c>
      <c r="J389" s="6" t="n">
        <v>4064</v>
      </c>
      <c r="K389" s="6" t="n">
        <v>227</v>
      </c>
      <c r="L389" s="8" t="n">
        <v>153799.85</v>
      </c>
      <c r="M389" s="9" t="n">
        <v>0.00942053509752016</v>
      </c>
      <c r="N389" s="8" t="n">
        <v>4.13387549212598</v>
      </c>
      <c r="O389" s="8" t="n">
        <v>74.0091189427313</v>
      </c>
      <c r="P389" s="10" t="n">
        <v>9.15471483154535</v>
      </c>
      <c r="Q389" s="9" t="n">
        <v>0.0558562992125984</v>
      </c>
    </row>
    <row r="390" customFormat="false" ht="15" hidden="false" customHeight="false" outlineLevel="0" collapsed="false">
      <c r="A390" s="6" t="n">
        <v>1070</v>
      </c>
      <c r="B390" s="6" t="s">
        <v>76</v>
      </c>
      <c r="C390" s="6" t="s">
        <v>59</v>
      </c>
      <c r="D390" s="7" t="n">
        <v>45369</v>
      </c>
      <c r="E390" s="7" t="n">
        <v>45388</v>
      </c>
      <c r="F390" s="6" t="s">
        <v>48</v>
      </c>
      <c r="G390" s="6" t="s">
        <v>57</v>
      </c>
      <c r="H390" s="8" t="n">
        <v>50169.08</v>
      </c>
      <c r="I390" s="6" t="n">
        <v>1544436</v>
      </c>
      <c r="J390" s="6" t="n">
        <v>44618</v>
      </c>
      <c r="K390" s="6" t="n">
        <v>2293</v>
      </c>
      <c r="L390" s="8" t="n">
        <v>1972705.1</v>
      </c>
      <c r="M390" s="9" t="n">
        <v>0.0288895104750213</v>
      </c>
      <c r="N390" s="8" t="n">
        <v>1.12441346541754</v>
      </c>
      <c r="O390" s="8" t="n">
        <v>21.8792324465765</v>
      </c>
      <c r="P390" s="10" t="n">
        <v>39.3211336544342</v>
      </c>
      <c r="Q390" s="9" t="n">
        <v>0.0513918149625712</v>
      </c>
    </row>
    <row r="391" customFormat="false" ht="15" hidden="false" customHeight="false" outlineLevel="0" collapsed="false">
      <c r="A391" s="6" t="n">
        <v>1403</v>
      </c>
      <c r="B391" s="6" t="s">
        <v>70</v>
      </c>
      <c r="C391" s="6" t="s">
        <v>63</v>
      </c>
      <c r="D391" s="7" t="n">
        <v>45429</v>
      </c>
      <c r="E391" s="7" t="n">
        <v>45435</v>
      </c>
      <c r="F391" s="6" t="s">
        <v>53</v>
      </c>
      <c r="G391" s="6" t="s">
        <v>57</v>
      </c>
      <c r="H391" s="8" t="n">
        <v>26452.24</v>
      </c>
      <c r="I391" s="6" t="n">
        <v>665985</v>
      </c>
      <c r="J391" s="6" t="n">
        <v>13003</v>
      </c>
      <c r="K391" s="6" t="n">
        <v>500</v>
      </c>
      <c r="L391" s="8" t="n">
        <v>344461.83</v>
      </c>
      <c r="M391" s="9" t="n">
        <v>0.0195244637641989</v>
      </c>
      <c r="N391" s="8" t="n">
        <v>2.03431823425363</v>
      </c>
      <c r="O391" s="8" t="n">
        <v>52.90448</v>
      </c>
      <c r="P391" s="10" t="n">
        <v>13.022028758245</v>
      </c>
      <c r="Q391" s="9" t="n">
        <v>0.0384526647696685</v>
      </c>
    </row>
    <row r="392" customFormat="false" ht="15" hidden="false" customHeight="false" outlineLevel="0" collapsed="false">
      <c r="A392" s="6" t="n">
        <v>1626</v>
      </c>
      <c r="B392" s="6" t="s">
        <v>77</v>
      </c>
      <c r="C392" s="6" t="s">
        <v>63</v>
      </c>
      <c r="D392" s="7" t="n">
        <v>45384</v>
      </c>
      <c r="E392" s="7" t="n">
        <v>45410</v>
      </c>
      <c r="F392" s="6" t="s">
        <v>60</v>
      </c>
      <c r="G392" s="6" t="s">
        <v>72</v>
      </c>
      <c r="H392" s="8" t="n">
        <v>17997.89</v>
      </c>
      <c r="I392" s="6" t="n">
        <v>453179</v>
      </c>
      <c r="J392" s="6" t="n">
        <v>2520</v>
      </c>
      <c r="K392" s="6" t="n">
        <v>98</v>
      </c>
      <c r="L392" s="8" t="n">
        <v>52739.88</v>
      </c>
      <c r="M392" s="9" t="n">
        <v>0.00556071662632205</v>
      </c>
      <c r="N392" s="8" t="n">
        <v>7.14201984126984</v>
      </c>
      <c r="O392" s="8" t="n">
        <v>183.65193877551</v>
      </c>
      <c r="P392" s="10" t="n">
        <v>2.93033683392887</v>
      </c>
      <c r="Q392" s="9" t="n">
        <v>0.0388888888888889</v>
      </c>
    </row>
    <row r="393" customFormat="false" ht="15" hidden="false" customHeight="false" outlineLevel="0" collapsed="false">
      <c r="A393" s="6" t="n">
        <v>1428</v>
      </c>
      <c r="B393" s="6" t="s">
        <v>77</v>
      </c>
      <c r="C393" s="6" t="s">
        <v>59</v>
      </c>
      <c r="D393" s="7" t="n">
        <v>45498</v>
      </c>
      <c r="E393" s="7" t="n">
        <v>45527</v>
      </c>
      <c r="F393" s="6" t="s">
        <v>60</v>
      </c>
      <c r="G393" s="6" t="s">
        <v>72</v>
      </c>
      <c r="H393" s="8" t="n">
        <v>55320.3</v>
      </c>
      <c r="I393" s="6" t="n">
        <v>1280774</v>
      </c>
      <c r="J393" s="6" t="n">
        <v>7296</v>
      </c>
      <c r="K393" s="6" t="n">
        <v>474</v>
      </c>
      <c r="L393" s="8" t="n">
        <v>799689.7</v>
      </c>
      <c r="M393" s="9" t="n">
        <v>0.00569655536417822</v>
      </c>
      <c r="N393" s="8" t="n">
        <v>7.58227796052632</v>
      </c>
      <c r="O393" s="8" t="n">
        <v>116.709493670886</v>
      </c>
      <c r="P393" s="10" t="n">
        <v>14.4556284040397</v>
      </c>
      <c r="Q393" s="9" t="n">
        <v>0.0649671052631579</v>
      </c>
    </row>
    <row r="394" customFormat="false" ht="15" hidden="false" customHeight="false" outlineLevel="0" collapsed="false">
      <c r="A394" s="6" t="n">
        <v>1548</v>
      </c>
      <c r="B394" s="6" t="s">
        <v>46</v>
      </c>
      <c r="C394" s="6" t="s">
        <v>59</v>
      </c>
      <c r="D394" s="7" t="n">
        <v>45335</v>
      </c>
      <c r="E394" s="7" t="n">
        <v>45349</v>
      </c>
      <c r="F394" s="6" t="s">
        <v>67</v>
      </c>
      <c r="G394" s="6" t="s">
        <v>49</v>
      </c>
      <c r="H394" s="8" t="n">
        <v>84533.9</v>
      </c>
      <c r="I394" s="6" t="n">
        <v>2242587</v>
      </c>
      <c r="J394" s="6" t="n">
        <v>23549</v>
      </c>
      <c r="K394" s="6" t="n">
        <v>1525</v>
      </c>
      <c r="L394" s="8" t="n">
        <v>2377606</v>
      </c>
      <c r="M394" s="9" t="n">
        <v>0.0105008189202916</v>
      </c>
      <c r="N394" s="8" t="n">
        <v>3.58970232281626</v>
      </c>
      <c r="O394" s="8" t="n">
        <v>55.4320655737705</v>
      </c>
      <c r="P394" s="10" t="n">
        <v>28.1260654009811</v>
      </c>
      <c r="Q394" s="9" t="n">
        <v>0.0647585884750945</v>
      </c>
    </row>
    <row r="395" customFormat="false" ht="15" hidden="false" customHeight="false" outlineLevel="0" collapsed="false">
      <c r="A395" s="6" t="n">
        <v>1610</v>
      </c>
      <c r="B395" s="6" t="s">
        <v>52</v>
      </c>
      <c r="C395" s="6" t="s">
        <v>71</v>
      </c>
      <c r="D395" s="7" t="n">
        <v>45527</v>
      </c>
      <c r="E395" s="7" t="n">
        <v>45534</v>
      </c>
      <c r="F395" s="6" t="s">
        <v>48</v>
      </c>
      <c r="G395" s="6" t="s">
        <v>61</v>
      </c>
      <c r="H395" s="8" t="n">
        <v>57048.34</v>
      </c>
      <c r="I395" s="6" t="n">
        <v>1294686</v>
      </c>
      <c r="J395" s="6" t="n">
        <v>32919</v>
      </c>
      <c r="K395" s="6" t="n">
        <v>2501</v>
      </c>
      <c r="L395" s="8" t="n">
        <v>4010727.56</v>
      </c>
      <c r="M395" s="9" t="n">
        <v>0.0254262423475654</v>
      </c>
      <c r="N395" s="8" t="n">
        <v>1.73299128163067</v>
      </c>
      <c r="O395" s="8" t="n">
        <v>22.8102119152339</v>
      </c>
      <c r="P395" s="10" t="n">
        <v>70.304018662068</v>
      </c>
      <c r="Q395" s="9" t="n">
        <v>0.0759743613110969</v>
      </c>
    </row>
    <row r="396" customFormat="false" ht="15" hidden="false" customHeight="false" outlineLevel="0" collapsed="false">
      <c r="A396" s="6" t="n">
        <v>1483</v>
      </c>
      <c r="B396" s="6" t="s">
        <v>52</v>
      </c>
      <c r="C396" s="6" t="s">
        <v>63</v>
      </c>
      <c r="D396" s="7" t="n">
        <v>45478</v>
      </c>
      <c r="E396" s="7" t="n">
        <v>45491</v>
      </c>
      <c r="F396" s="6" t="s">
        <v>67</v>
      </c>
      <c r="G396" s="6" t="s">
        <v>49</v>
      </c>
      <c r="H396" s="8" t="n">
        <v>37309.77</v>
      </c>
      <c r="I396" s="6" t="n">
        <v>790005</v>
      </c>
      <c r="J396" s="6" t="n">
        <v>25164</v>
      </c>
      <c r="K396" s="6" t="n">
        <v>571</v>
      </c>
      <c r="L396" s="8" t="n">
        <v>200293.72</v>
      </c>
      <c r="M396" s="9" t="n">
        <v>0.0318529629559307</v>
      </c>
      <c r="N396" s="8" t="n">
        <v>1.48266452074392</v>
      </c>
      <c r="O396" s="8" t="n">
        <v>65.3411033274956</v>
      </c>
      <c r="P396" s="10" t="n">
        <v>5.36839867948797</v>
      </c>
      <c r="Q396" s="9" t="n">
        <v>0.022691146081704</v>
      </c>
    </row>
    <row r="397" customFormat="false" ht="15" hidden="false" customHeight="false" outlineLevel="0" collapsed="false">
      <c r="A397" s="6" t="n">
        <v>1754</v>
      </c>
      <c r="B397" s="6" t="s">
        <v>79</v>
      </c>
      <c r="C397" s="6" t="s">
        <v>47</v>
      </c>
      <c r="D397" s="7" t="n">
        <v>45306</v>
      </c>
      <c r="E397" s="7" t="n">
        <v>45317</v>
      </c>
      <c r="F397" s="6" t="s">
        <v>60</v>
      </c>
      <c r="G397" s="6" t="s">
        <v>49</v>
      </c>
      <c r="H397" s="8" t="n">
        <v>6085.47</v>
      </c>
      <c r="I397" s="6" t="n">
        <v>148132</v>
      </c>
      <c r="J397" s="6" t="n">
        <v>2739</v>
      </c>
      <c r="K397" s="6" t="n">
        <v>187</v>
      </c>
      <c r="L397" s="8" t="n">
        <v>126383.11</v>
      </c>
      <c r="M397" s="9" t="n">
        <v>0.0184902654389328</v>
      </c>
      <c r="N397" s="8" t="n">
        <v>2.22178532311062</v>
      </c>
      <c r="O397" s="8" t="n">
        <v>32.5426203208556</v>
      </c>
      <c r="P397" s="10" t="n">
        <v>20.7680113450563</v>
      </c>
      <c r="Q397" s="9" t="n">
        <v>0.0682730923694779</v>
      </c>
    </row>
    <row r="398" customFormat="false" ht="15" hidden="false" customHeight="false" outlineLevel="0" collapsed="false">
      <c r="A398" s="6" t="n">
        <v>1176</v>
      </c>
      <c r="B398" s="6" t="s">
        <v>64</v>
      </c>
      <c r="C398" s="6" t="s">
        <v>71</v>
      </c>
      <c r="D398" s="7" t="n">
        <v>45611</v>
      </c>
      <c r="E398" s="7" t="n">
        <v>45634</v>
      </c>
      <c r="F398" s="6" t="s">
        <v>69</v>
      </c>
      <c r="G398" s="6" t="s">
        <v>72</v>
      </c>
      <c r="H398" s="8" t="n">
        <v>48647.65</v>
      </c>
      <c r="I398" s="6" t="n">
        <v>866559</v>
      </c>
      <c r="J398" s="6" t="n">
        <v>8223</v>
      </c>
      <c r="K398" s="6" t="n">
        <v>408</v>
      </c>
      <c r="L398" s="8" t="n">
        <v>487511.76</v>
      </c>
      <c r="M398" s="9" t="n">
        <v>0.00948925578062198</v>
      </c>
      <c r="N398" s="8" t="n">
        <v>5.91604645506506</v>
      </c>
      <c r="O398" s="8" t="n">
        <v>119.23443627451</v>
      </c>
      <c r="P398" s="10" t="n">
        <v>10.0212807812916</v>
      </c>
      <c r="Q398" s="9" t="n">
        <v>0.0496169281284203</v>
      </c>
    </row>
    <row r="399" customFormat="false" ht="15" hidden="false" customHeight="false" outlineLevel="0" collapsed="false">
      <c r="A399" s="6" t="n">
        <v>1100</v>
      </c>
      <c r="B399" s="6" t="s">
        <v>46</v>
      </c>
      <c r="C399" s="6" t="s">
        <v>59</v>
      </c>
      <c r="D399" s="7" t="n">
        <v>45434</v>
      </c>
      <c r="E399" s="7" t="n">
        <v>45456</v>
      </c>
      <c r="F399" s="6" t="s">
        <v>65</v>
      </c>
      <c r="G399" s="6" t="s">
        <v>72</v>
      </c>
      <c r="H399" s="8" t="n">
        <v>31865.03</v>
      </c>
      <c r="I399" s="6" t="n">
        <v>1253021</v>
      </c>
      <c r="J399" s="6" t="n">
        <v>17452</v>
      </c>
      <c r="K399" s="6" t="n">
        <v>527</v>
      </c>
      <c r="L399" s="8" t="n">
        <v>342841.33</v>
      </c>
      <c r="M399" s="9" t="n">
        <v>0.0139279389571284</v>
      </c>
      <c r="N399" s="8" t="n">
        <v>1.82586694934678</v>
      </c>
      <c r="O399" s="8" t="n">
        <v>60.4649525616698</v>
      </c>
      <c r="P399" s="10" t="n">
        <v>10.7591717315188</v>
      </c>
      <c r="Q399" s="9" t="n">
        <v>0.0301971120788448</v>
      </c>
    </row>
    <row r="400" customFormat="false" ht="15" hidden="false" customHeight="false" outlineLevel="0" collapsed="false">
      <c r="A400" s="6" t="n">
        <v>1467</v>
      </c>
      <c r="B400" s="6" t="s">
        <v>68</v>
      </c>
      <c r="C400" s="6" t="s">
        <v>63</v>
      </c>
      <c r="D400" s="7" t="n">
        <v>45570</v>
      </c>
      <c r="E400" s="7" t="n">
        <v>45580</v>
      </c>
      <c r="F400" s="6" t="s">
        <v>48</v>
      </c>
      <c r="G400" s="6" t="s">
        <v>54</v>
      </c>
      <c r="H400" s="8" t="n">
        <v>48992.54</v>
      </c>
      <c r="I400" s="6" t="n">
        <v>1541010</v>
      </c>
      <c r="J400" s="6" t="n">
        <v>19185</v>
      </c>
      <c r="K400" s="6" t="n">
        <v>253</v>
      </c>
      <c r="L400" s="8" t="n">
        <v>435514.75</v>
      </c>
      <c r="M400" s="9" t="n">
        <v>0.0124496271925555</v>
      </c>
      <c r="N400" s="8" t="n">
        <v>2.55368986187125</v>
      </c>
      <c r="O400" s="8" t="n">
        <v>193.646403162055</v>
      </c>
      <c r="P400" s="10" t="n">
        <v>8.88940948968966</v>
      </c>
      <c r="Q400" s="9" t="n">
        <v>0.0131873859786291</v>
      </c>
    </row>
    <row r="401" customFormat="false" ht="15" hidden="false" customHeight="false" outlineLevel="0" collapsed="false">
      <c r="A401" s="6" t="n">
        <v>1230</v>
      </c>
      <c r="B401" s="6" t="s">
        <v>70</v>
      </c>
      <c r="C401" s="6" t="s">
        <v>59</v>
      </c>
      <c r="D401" s="7" t="n">
        <v>45343</v>
      </c>
      <c r="E401" s="7" t="n">
        <v>45354</v>
      </c>
      <c r="F401" s="6" t="s">
        <v>56</v>
      </c>
      <c r="G401" s="6" t="s">
        <v>54</v>
      </c>
      <c r="H401" s="8" t="n">
        <v>45042.07</v>
      </c>
      <c r="I401" s="6" t="n">
        <v>1056729</v>
      </c>
      <c r="J401" s="6" t="n">
        <v>22737</v>
      </c>
      <c r="K401" s="6" t="n">
        <v>1336</v>
      </c>
      <c r="L401" s="8" t="n">
        <v>1836793.46</v>
      </c>
      <c r="M401" s="9" t="n">
        <v>0.0215163963513824</v>
      </c>
      <c r="N401" s="8" t="n">
        <v>1.98100321062585</v>
      </c>
      <c r="O401" s="8" t="n">
        <v>33.714124251497</v>
      </c>
      <c r="P401" s="10" t="n">
        <v>40.7795081353943</v>
      </c>
      <c r="Q401" s="9" t="n">
        <v>0.0587588512116814</v>
      </c>
    </row>
    <row r="402" customFormat="false" ht="15" hidden="false" customHeight="false" outlineLevel="0" collapsed="false">
      <c r="A402" s="6" t="n">
        <v>1545</v>
      </c>
      <c r="B402" s="6" t="s">
        <v>70</v>
      </c>
      <c r="C402" s="6" t="s">
        <v>47</v>
      </c>
      <c r="D402" s="7" t="n">
        <v>45530</v>
      </c>
      <c r="E402" s="7" t="n">
        <v>45556</v>
      </c>
      <c r="F402" s="6" t="s">
        <v>56</v>
      </c>
      <c r="G402" s="6" t="s">
        <v>54</v>
      </c>
      <c r="H402" s="8" t="n">
        <v>4662.3</v>
      </c>
      <c r="I402" s="6" t="n">
        <v>103710</v>
      </c>
      <c r="J402" s="6" t="n">
        <v>2255</v>
      </c>
      <c r="K402" s="6" t="n">
        <v>48</v>
      </c>
      <c r="L402" s="8" t="n">
        <v>50683.01</v>
      </c>
      <c r="M402" s="9" t="n">
        <v>0.0217433227268344</v>
      </c>
      <c r="N402" s="8" t="n">
        <v>2.06753880266075</v>
      </c>
      <c r="O402" s="8" t="n">
        <v>97.13125</v>
      </c>
      <c r="P402" s="10" t="n">
        <v>10.8708169787444</v>
      </c>
      <c r="Q402" s="9" t="n">
        <v>0.0212860310421286</v>
      </c>
    </row>
    <row r="403" customFormat="false" ht="15" hidden="false" customHeight="false" outlineLevel="0" collapsed="false">
      <c r="A403" s="6" t="n">
        <v>1775</v>
      </c>
      <c r="B403" s="6" t="s">
        <v>55</v>
      </c>
      <c r="C403" s="6" t="s">
        <v>71</v>
      </c>
      <c r="D403" s="7" t="n">
        <v>45304</v>
      </c>
      <c r="E403" s="7" t="n">
        <v>45323</v>
      </c>
      <c r="F403" s="6" t="s">
        <v>48</v>
      </c>
      <c r="G403" s="6" t="s">
        <v>54</v>
      </c>
      <c r="H403" s="8" t="n">
        <v>25370.13</v>
      </c>
      <c r="I403" s="6" t="n">
        <v>769302</v>
      </c>
      <c r="J403" s="6" t="n">
        <v>11853</v>
      </c>
      <c r="K403" s="6" t="n">
        <v>389</v>
      </c>
      <c r="L403" s="8" t="n">
        <v>343702.09</v>
      </c>
      <c r="M403" s="9" t="n">
        <v>0.0154074732679754</v>
      </c>
      <c r="N403" s="8" t="n">
        <v>2.140397367755</v>
      </c>
      <c r="O403" s="8" t="n">
        <v>65.2188431876607</v>
      </c>
      <c r="P403" s="10" t="n">
        <v>13.5475100048758</v>
      </c>
      <c r="Q403" s="9" t="n">
        <v>0.0328186956888551</v>
      </c>
    </row>
    <row r="404" customFormat="false" ht="15" hidden="false" customHeight="false" outlineLevel="0" collapsed="false">
      <c r="A404" s="6" t="n">
        <v>1284</v>
      </c>
      <c r="B404" s="6" t="s">
        <v>55</v>
      </c>
      <c r="C404" s="6" t="s">
        <v>59</v>
      </c>
      <c r="D404" s="7" t="n">
        <v>45398</v>
      </c>
      <c r="E404" s="7" t="n">
        <v>45428</v>
      </c>
      <c r="F404" s="6" t="s">
        <v>53</v>
      </c>
      <c r="G404" s="6" t="s">
        <v>54</v>
      </c>
      <c r="H404" s="8" t="n">
        <v>89924.03</v>
      </c>
      <c r="I404" s="6" t="n">
        <v>2279666</v>
      </c>
      <c r="J404" s="6" t="n">
        <v>34226</v>
      </c>
      <c r="K404" s="6" t="n">
        <v>1684</v>
      </c>
      <c r="L404" s="8" t="n">
        <v>1458147.45</v>
      </c>
      <c r="M404" s="9" t="n">
        <v>0.0150136028698941</v>
      </c>
      <c r="N404" s="8" t="n">
        <v>2.62736019400456</v>
      </c>
      <c r="O404" s="8" t="n">
        <v>53.399067695962</v>
      </c>
      <c r="P404" s="10" t="n">
        <v>16.2153258700705</v>
      </c>
      <c r="Q404" s="9" t="n">
        <v>0.0492023607783556</v>
      </c>
    </row>
    <row r="405" customFormat="false" ht="15" hidden="false" customHeight="false" outlineLevel="0" collapsed="false">
      <c r="A405" s="6" t="n">
        <v>1156</v>
      </c>
      <c r="B405" s="6" t="s">
        <v>79</v>
      </c>
      <c r="C405" s="6" t="s">
        <v>50</v>
      </c>
      <c r="D405" s="7" t="n">
        <v>45435</v>
      </c>
      <c r="E405" s="7" t="n">
        <v>45442</v>
      </c>
      <c r="F405" s="6" t="s">
        <v>56</v>
      </c>
      <c r="G405" s="6" t="s">
        <v>49</v>
      </c>
      <c r="H405" s="8" t="n">
        <v>74489.21</v>
      </c>
      <c r="I405" s="6" t="n">
        <v>2788294</v>
      </c>
      <c r="J405" s="6" t="n">
        <v>57418</v>
      </c>
      <c r="K405" s="6" t="n">
        <v>3391</v>
      </c>
      <c r="L405" s="8" t="n">
        <v>3018374.41</v>
      </c>
      <c r="M405" s="9" t="n">
        <v>0.0205925200140301</v>
      </c>
      <c r="N405" s="8" t="n">
        <v>1.29731460517608</v>
      </c>
      <c r="O405" s="8" t="n">
        <v>21.9667384252433</v>
      </c>
      <c r="P405" s="10" t="n">
        <v>40.5209614922752</v>
      </c>
      <c r="Q405" s="9" t="n">
        <v>0.0590581350795918</v>
      </c>
    </row>
    <row r="406" customFormat="false" ht="15" hidden="false" customHeight="false" outlineLevel="0" collapsed="false">
      <c r="A406" s="6" t="n">
        <v>1124</v>
      </c>
      <c r="B406" s="6" t="s">
        <v>55</v>
      </c>
      <c r="C406" s="6" t="s">
        <v>71</v>
      </c>
      <c r="D406" s="7" t="n">
        <v>45601</v>
      </c>
      <c r="E406" s="7" t="n">
        <v>45630</v>
      </c>
      <c r="F406" s="6" t="s">
        <v>48</v>
      </c>
      <c r="G406" s="6" t="s">
        <v>49</v>
      </c>
      <c r="H406" s="8" t="n">
        <v>57652.64</v>
      </c>
      <c r="I406" s="6" t="n">
        <v>1436564</v>
      </c>
      <c r="J406" s="6" t="n">
        <v>40520</v>
      </c>
      <c r="K406" s="6" t="n">
        <v>489</v>
      </c>
      <c r="L406" s="8" t="n">
        <v>364952.53</v>
      </c>
      <c r="M406" s="9" t="n">
        <v>0.0282061919970151</v>
      </c>
      <c r="N406" s="8" t="n">
        <v>1.42281934846989</v>
      </c>
      <c r="O406" s="8" t="n">
        <v>117.899059304703</v>
      </c>
      <c r="P406" s="10" t="n">
        <v>6.3301963275229</v>
      </c>
      <c r="Q406" s="9" t="n">
        <v>0.0120681145113524</v>
      </c>
    </row>
    <row r="407" customFormat="false" ht="15" hidden="false" customHeight="false" outlineLevel="0" collapsed="false">
      <c r="A407" s="6" t="n">
        <v>1471</v>
      </c>
      <c r="B407" s="6" t="s">
        <v>78</v>
      </c>
      <c r="C407" s="6" t="s">
        <v>63</v>
      </c>
      <c r="D407" s="7" t="n">
        <v>45381</v>
      </c>
      <c r="E407" s="7" t="n">
        <v>45402</v>
      </c>
      <c r="F407" s="6" t="s">
        <v>53</v>
      </c>
      <c r="G407" s="6" t="s">
        <v>61</v>
      </c>
      <c r="H407" s="8" t="n">
        <v>44522.52</v>
      </c>
      <c r="I407" s="6" t="n">
        <v>1323239</v>
      </c>
      <c r="J407" s="6" t="n">
        <v>38643</v>
      </c>
      <c r="K407" s="6" t="n">
        <v>644</v>
      </c>
      <c r="L407" s="8" t="n">
        <v>551203.02</v>
      </c>
      <c r="M407" s="9" t="n">
        <v>0.0292033411953547</v>
      </c>
      <c r="N407" s="8" t="n">
        <v>1.15214967782004</v>
      </c>
      <c r="O407" s="8" t="n">
        <v>69.134347826087</v>
      </c>
      <c r="P407" s="10" t="n">
        <v>12.3803194428348</v>
      </c>
      <c r="Q407" s="9" t="n">
        <v>0.0166653727712652</v>
      </c>
    </row>
    <row r="408" customFormat="false" ht="15" hidden="false" customHeight="false" outlineLevel="0" collapsed="false">
      <c r="A408" s="6" t="n">
        <v>1021</v>
      </c>
      <c r="B408" s="6" t="s">
        <v>58</v>
      </c>
      <c r="C408" s="6" t="s">
        <v>50</v>
      </c>
      <c r="D408" s="7" t="n">
        <v>45515</v>
      </c>
      <c r="E408" s="7" t="n">
        <v>45539</v>
      </c>
      <c r="F408" s="6" t="s">
        <v>48</v>
      </c>
      <c r="G408" s="6" t="s">
        <v>54</v>
      </c>
      <c r="H408" s="8" t="n">
        <v>18095.2</v>
      </c>
      <c r="I408" s="6" t="n">
        <v>678345</v>
      </c>
      <c r="J408" s="6" t="n">
        <v>7259</v>
      </c>
      <c r="K408" s="6" t="n">
        <v>95</v>
      </c>
      <c r="L408" s="8" t="n">
        <v>93316.92</v>
      </c>
      <c r="M408" s="9" t="n">
        <v>0.0107010444537809</v>
      </c>
      <c r="N408" s="8" t="n">
        <v>2.49279515084722</v>
      </c>
      <c r="O408" s="8" t="n">
        <v>190.475789473684</v>
      </c>
      <c r="P408" s="10" t="n">
        <v>5.15699854104956</v>
      </c>
      <c r="Q408" s="9" t="n">
        <v>0.0130872020939523</v>
      </c>
    </row>
    <row r="409" customFormat="false" ht="15" hidden="false" customHeight="false" outlineLevel="0" collapsed="false">
      <c r="A409" s="6" t="n">
        <v>1384</v>
      </c>
      <c r="B409" s="6" t="s">
        <v>55</v>
      </c>
      <c r="C409" s="6" t="s">
        <v>50</v>
      </c>
      <c r="D409" s="7" t="n">
        <v>45551</v>
      </c>
      <c r="E409" s="7" t="n">
        <v>45563</v>
      </c>
      <c r="F409" s="6" t="s">
        <v>65</v>
      </c>
      <c r="G409" s="6" t="s">
        <v>61</v>
      </c>
      <c r="H409" s="8" t="n">
        <v>73634.91</v>
      </c>
      <c r="I409" s="6" t="n">
        <v>1728861</v>
      </c>
      <c r="J409" s="6" t="n">
        <v>39872</v>
      </c>
      <c r="K409" s="6" t="n">
        <v>2750</v>
      </c>
      <c r="L409" s="8" t="n">
        <v>3582120.57</v>
      </c>
      <c r="M409" s="9" t="n">
        <v>0.0230625828218694</v>
      </c>
      <c r="N409" s="8" t="n">
        <v>1.84678245385233</v>
      </c>
      <c r="O409" s="8" t="n">
        <v>26.7763309090909</v>
      </c>
      <c r="P409" s="10" t="n">
        <v>48.6470421434616</v>
      </c>
      <c r="Q409" s="9" t="n">
        <v>0.0689707062600321</v>
      </c>
    </row>
    <row r="410" customFormat="false" ht="15" hidden="false" customHeight="false" outlineLevel="0" collapsed="false">
      <c r="A410" s="6" t="n">
        <v>1149</v>
      </c>
      <c r="B410" s="6" t="s">
        <v>52</v>
      </c>
      <c r="C410" s="6" t="s">
        <v>59</v>
      </c>
      <c r="D410" s="7" t="n">
        <v>45299</v>
      </c>
      <c r="E410" s="7" t="n">
        <v>45312</v>
      </c>
      <c r="F410" s="6" t="s">
        <v>53</v>
      </c>
      <c r="G410" s="6" t="s">
        <v>75</v>
      </c>
      <c r="H410" s="8" t="n">
        <v>17987.01</v>
      </c>
      <c r="I410" s="6" t="n">
        <v>296996</v>
      </c>
      <c r="J410" s="6" t="n">
        <v>8517</v>
      </c>
      <c r="K410" s="6" t="n">
        <v>387</v>
      </c>
      <c r="L410" s="8" t="n">
        <v>488172.45</v>
      </c>
      <c r="M410" s="9" t="n">
        <v>0.0286771539010626</v>
      </c>
      <c r="N410" s="8" t="n">
        <v>2.11189503346249</v>
      </c>
      <c r="O410" s="8" t="n">
        <v>46.4780620155039</v>
      </c>
      <c r="P410" s="10" t="n">
        <v>27.1402779005516</v>
      </c>
      <c r="Q410" s="9" t="n">
        <v>0.0454385346953153</v>
      </c>
    </row>
    <row r="411" customFormat="false" ht="15" hidden="false" customHeight="false" outlineLevel="0" collapsed="false">
      <c r="A411" s="6" t="n">
        <v>1136</v>
      </c>
      <c r="B411" s="6" t="s">
        <v>74</v>
      </c>
      <c r="C411" s="6" t="s">
        <v>50</v>
      </c>
      <c r="D411" s="7" t="n">
        <v>45452</v>
      </c>
      <c r="E411" s="7" t="n">
        <v>45460</v>
      </c>
      <c r="F411" s="6" t="s">
        <v>56</v>
      </c>
      <c r="G411" s="6" t="s">
        <v>72</v>
      </c>
      <c r="H411" s="8" t="n">
        <v>31376.6</v>
      </c>
      <c r="I411" s="6" t="n">
        <v>614231</v>
      </c>
      <c r="J411" s="6" t="n">
        <v>15849</v>
      </c>
      <c r="K411" s="6" t="n">
        <v>725</v>
      </c>
      <c r="L411" s="8" t="n">
        <v>693423.86</v>
      </c>
      <c r="M411" s="9" t="n">
        <v>0.0258029959412664</v>
      </c>
      <c r="N411" s="8" t="n">
        <v>1.97972111805161</v>
      </c>
      <c r="O411" s="8" t="n">
        <v>43.2780689655172</v>
      </c>
      <c r="P411" s="10" t="n">
        <v>22.1000318708847</v>
      </c>
      <c r="Q411" s="9" t="n">
        <v>0.0457442109912297</v>
      </c>
    </row>
    <row r="412" customFormat="false" ht="15" hidden="false" customHeight="false" outlineLevel="0" collapsed="false">
      <c r="A412" s="6" t="n">
        <v>1269</v>
      </c>
      <c r="B412" s="6" t="s">
        <v>55</v>
      </c>
      <c r="C412" s="6" t="s">
        <v>47</v>
      </c>
      <c r="D412" s="7" t="n">
        <v>45548</v>
      </c>
      <c r="E412" s="7" t="n">
        <v>45567</v>
      </c>
      <c r="F412" s="6" t="s">
        <v>65</v>
      </c>
      <c r="G412" s="6" t="s">
        <v>57</v>
      </c>
      <c r="H412" s="8" t="n">
        <v>7484.45</v>
      </c>
      <c r="I412" s="6" t="n">
        <v>116287</v>
      </c>
      <c r="J412" s="6" t="n">
        <v>1444</v>
      </c>
      <c r="K412" s="6" t="n">
        <v>67</v>
      </c>
      <c r="L412" s="8" t="n">
        <v>55856.29</v>
      </c>
      <c r="M412" s="9" t="n">
        <v>0.012417553122877</v>
      </c>
      <c r="N412" s="8" t="n">
        <v>5.18313711911357</v>
      </c>
      <c r="O412" s="8" t="n">
        <v>111.708208955224</v>
      </c>
      <c r="P412" s="10" t="n">
        <v>7.46297857558004</v>
      </c>
      <c r="Q412" s="9" t="n">
        <v>0.046398891966759</v>
      </c>
    </row>
    <row r="413" customFormat="false" ht="15" hidden="false" customHeight="false" outlineLevel="0" collapsed="false">
      <c r="A413" s="6" t="n">
        <v>1108</v>
      </c>
      <c r="B413" s="6" t="s">
        <v>74</v>
      </c>
      <c r="C413" s="6" t="s">
        <v>63</v>
      </c>
      <c r="D413" s="7" t="n">
        <v>45323</v>
      </c>
      <c r="E413" s="7" t="n">
        <v>45345</v>
      </c>
      <c r="F413" s="6" t="s">
        <v>53</v>
      </c>
      <c r="G413" s="6" t="s">
        <v>57</v>
      </c>
      <c r="H413" s="8" t="n">
        <v>14894.9</v>
      </c>
      <c r="I413" s="6" t="n">
        <v>423260</v>
      </c>
      <c r="J413" s="6" t="n">
        <v>4205</v>
      </c>
      <c r="K413" s="6" t="n">
        <v>293</v>
      </c>
      <c r="L413" s="8" t="n">
        <v>290265.96</v>
      </c>
      <c r="M413" s="9" t="n">
        <v>0.00993479185370694</v>
      </c>
      <c r="N413" s="8" t="n">
        <v>3.54218787158145</v>
      </c>
      <c r="O413" s="8" t="n">
        <v>50.8358361774744</v>
      </c>
      <c r="P413" s="10" t="n">
        <v>19.487607167554</v>
      </c>
      <c r="Q413" s="9" t="n">
        <v>0.069678953626635</v>
      </c>
    </row>
    <row r="414" customFormat="false" ht="15" hidden="false" customHeight="false" outlineLevel="0" collapsed="false">
      <c r="A414" s="6" t="n">
        <v>1533</v>
      </c>
      <c r="B414" s="6" t="s">
        <v>52</v>
      </c>
      <c r="C414" s="6" t="s">
        <v>63</v>
      </c>
      <c r="D414" s="7" t="n">
        <v>45567</v>
      </c>
      <c r="E414" s="7" t="n">
        <v>45572</v>
      </c>
      <c r="F414" s="6" t="s">
        <v>48</v>
      </c>
      <c r="G414" s="6" t="s">
        <v>61</v>
      </c>
      <c r="H414" s="8" t="n">
        <v>44192.65</v>
      </c>
      <c r="I414" s="6" t="n">
        <v>949796</v>
      </c>
      <c r="J414" s="6" t="n">
        <v>27115</v>
      </c>
      <c r="K414" s="6" t="n">
        <v>481</v>
      </c>
      <c r="L414" s="8" t="n">
        <v>828936.18</v>
      </c>
      <c r="M414" s="9" t="n">
        <v>0.0285482356211229</v>
      </c>
      <c r="N414" s="8" t="n">
        <v>1.62982297621243</v>
      </c>
      <c r="O414" s="8" t="n">
        <v>91.8766112266112</v>
      </c>
      <c r="P414" s="10" t="n">
        <v>18.7573313661887</v>
      </c>
      <c r="Q414" s="9" t="n">
        <v>0.0177392587128895</v>
      </c>
    </row>
    <row r="415" customFormat="false" ht="15" hidden="false" customHeight="false" outlineLevel="0" collapsed="false">
      <c r="A415" s="6" t="n">
        <v>1074</v>
      </c>
      <c r="B415" s="6" t="s">
        <v>46</v>
      </c>
      <c r="C415" s="6" t="s">
        <v>59</v>
      </c>
      <c r="D415" s="7" t="n">
        <v>45552</v>
      </c>
      <c r="E415" s="7" t="n">
        <v>45568</v>
      </c>
      <c r="F415" s="6" t="s">
        <v>60</v>
      </c>
      <c r="G415" s="6" t="s">
        <v>57</v>
      </c>
      <c r="H415" s="8" t="n">
        <v>42194.83</v>
      </c>
      <c r="I415" s="6" t="n">
        <v>823076</v>
      </c>
      <c r="J415" s="6" t="n">
        <v>9404</v>
      </c>
      <c r="K415" s="6" t="n">
        <v>717</v>
      </c>
      <c r="L415" s="8" t="n">
        <v>756501.56</v>
      </c>
      <c r="M415" s="9" t="n">
        <v>0.0114254333743178</v>
      </c>
      <c r="N415" s="8" t="n">
        <v>4.48690238196512</v>
      </c>
      <c r="O415" s="8" t="n">
        <v>58.8491352859135</v>
      </c>
      <c r="P415" s="10" t="n">
        <v>17.928773738394</v>
      </c>
      <c r="Q415" s="9" t="n">
        <v>0.0762441514249256</v>
      </c>
    </row>
    <row r="416" customFormat="false" ht="15" hidden="false" customHeight="false" outlineLevel="0" collapsed="false">
      <c r="A416" s="6" t="n">
        <v>1750</v>
      </c>
      <c r="B416" s="6" t="s">
        <v>78</v>
      </c>
      <c r="C416" s="6" t="s">
        <v>59</v>
      </c>
      <c r="D416" s="7" t="n">
        <v>45617</v>
      </c>
      <c r="E416" s="7" t="n">
        <v>45639</v>
      </c>
      <c r="F416" s="6" t="s">
        <v>48</v>
      </c>
      <c r="G416" s="6" t="s">
        <v>49</v>
      </c>
      <c r="H416" s="8" t="n">
        <v>46396.84</v>
      </c>
      <c r="I416" s="6" t="n">
        <v>734852</v>
      </c>
      <c r="J416" s="6" t="n">
        <v>13292</v>
      </c>
      <c r="K416" s="6" t="n">
        <v>786</v>
      </c>
      <c r="L416" s="8" t="n">
        <v>351389.87</v>
      </c>
      <c r="M416" s="9" t="n">
        <v>0.0180879959502049</v>
      </c>
      <c r="N416" s="8" t="n">
        <v>3.49058380981041</v>
      </c>
      <c r="O416" s="8" t="n">
        <v>59.029058524173</v>
      </c>
      <c r="P416" s="10" t="n">
        <v>7.57357332956296</v>
      </c>
      <c r="Q416" s="9" t="n">
        <v>0.0591333132711405</v>
      </c>
    </row>
    <row r="417" customFormat="false" ht="15" hidden="false" customHeight="false" outlineLevel="0" collapsed="false">
      <c r="A417" s="6" t="n">
        <v>1288</v>
      </c>
      <c r="B417" s="6" t="s">
        <v>79</v>
      </c>
      <c r="C417" s="6" t="s">
        <v>47</v>
      </c>
      <c r="D417" s="7" t="n">
        <v>45519</v>
      </c>
      <c r="E417" s="7" t="n">
        <v>45540</v>
      </c>
      <c r="F417" s="6" t="s">
        <v>53</v>
      </c>
      <c r="G417" s="6" t="s">
        <v>72</v>
      </c>
      <c r="H417" s="8" t="n">
        <v>6593.18</v>
      </c>
      <c r="I417" s="6" t="n">
        <v>248061</v>
      </c>
      <c r="J417" s="6" t="n">
        <v>2386</v>
      </c>
      <c r="K417" s="6" t="n">
        <v>80</v>
      </c>
      <c r="L417" s="8" t="n">
        <v>84082.75</v>
      </c>
      <c r="M417" s="9" t="n">
        <v>0.00961860187615143</v>
      </c>
      <c r="N417" s="8" t="n">
        <v>2.76327745180218</v>
      </c>
      <c r="O417" s="8" t="n">
        <v>82.41475</v>
      </c>
      <c r="P417" s="10" t="n">
        <v>12.7529886943781</v>
      </c>
      <c r="Q417" s="9" t="n">
        <v>0.0335289186923722</v>
      </c>
    </row>
    <row r="418" customFormat="false" ht="15" hidden="false" customHeight="false" outlineLevel="0" collapsed="false">
      <c r="A418" s="6" t="n">
        <v>1449</v>
      </c>
      <c r="B418" s="6" t="s">
        <v>73</v>
      </c>
      <c r="C418" s="6" t="s">
        <v>71</v>
      </c>
      <c r="D418" s="7" t="n">
        <v>45592</v>
      </c>
      <c r="E418" s="7" t="n">
        <v>45606</v>
      </c>
      <c r="F418" s="6" t="s">
        <v>60</v>
      </c>
      <c r="G418" s="6" t="s">
        <v>49</v>
      </c>
      <c r="H418" s="8" t="n">
        <v>29403.67</v>
      </c>
      <c r="I418" s="6" t="n">
        <v>1085289</v>
      </c>
      <c r="J418" s="6" t="n">
        <v>29117</v>
      </c>
      <c r="K418" s="6" t="n">
        <v>472</v>
      </c>
      <c r="L418" s="8" t="n">
        <v>600601.76</v>
      </c>
      <c r="M418" s="9" t="n">
        <v>0.0268287985965029</v>
      </c>
      <c r="N418" s="8" t="n">
        <v>1.00984545111103</v>
      </c>
      <c r="O418" s="8" t="n">
        <v>62.2959110169492</v>
      </c>
      <c r="P418" s="10" t="n">
        <v>20.4260815061521</v>
      </c>
      <c r="Q418" s="9" t="n">
        <v>0.0162104612425731</v>
      </c>
    </row>
    <row r="419" customFormat="false" ht="15" hidden="false" customHeight="false" outlineLevel="0" collapsed="false">
      <c r="A419" s="6" t="n">
        <v>1218</v>
      </c>
      <c r="B419" s="6" t="s">
        <v>76</v>
      </c>
      <c r="C419" s="6" t="s">
        <v>47</v>
      </c>
      <c r="D419" s="7" t="n">
        <v>45435</v>
      </c>
      <c r="E419" s="7" t="n">
        <v>45444</v>
      </c>
      <c r="F419" s="6" t="s">
        <v>53</v>
      </c>
      <c r="G419" s="6" t="s">
        <v>57</v>
      </c>
      <c r="H419" s="8" t="n">
        <v>2375.02</v>
      </c>
      <c r="I419" s="6" t="n">
        <v>79179</v>
      </c>
      <c r="J419" s="6" t="n">
        <v>1884</v>
      </c>
      <c r="K419" s="6" t="n">
        <v>114</v>
      </c>
      <c r="L419" s="8" t="n">
        <v>187364.99</v>
      </c>
      <c r="M419" s="9" t="n">
        <v>0.0237941878528398</v>
      </c>
      <c r="N419" s="8" t="n">
        <v>1.26062632696391</v>
      </c>
      <c r="O419" s="8" t="n">
        <v>20.8335087719298</v>
      </c>
      <c r="P419" s="10" t="n">
        <v>78.8898577696188</v>
      </c>
      <c r="Q419" s="9" t="n">
        <v>0.0605095541401274</v>
      </c>
    </row>
    <row r="420" customFormat="false" ht="15" hidden="false" customHeight="false" outlineLevel="0" collapsed="false">
      <c r="A420" s="6" t="n">
        <v>1755</v>
      </c>
      <c r="B420" s="6" t="s">
        <v>46</v>
      </c>
      <c r="C420" s="6" t="s">
        <v>59</v>
      </c>
      <c r="D420" s="7" t="n">
        <v>45330</v>
      </c>
      <c r="E420" s="7" t="n">
        <v>45348</v>
      </c>
      <c r="F420" s="6" t="s">
        <v>51</v>
      </c>
      <c r="G420" s="6" t="s">
        <v>61</v>
      </c>
      <c r="H420" s="8" t="n">
        <v>17318.55</v>
      </c>
      <c r="I420" s="6" t="n">
        <v>288498</v>
      </c>
      <c r="J420" s="6" t="n">
        <v>2176</v>
      </c>
      <c r="K420" s="6" t="n">
        <v>157</v>
      </c>
      <c r="L420" s="8" t="n">
        <v>88087.6</v>
      </c>
      <c r="M420" s="9" t="n">
        <v>0.00754251329298643</v>
      </c>
      <c r="N420" s="8" t="n">
        <v>7.95889246323529</v>
      </c>
      <c r="O420" s="8" t="n">
        <v>110.30923566879</v>
      </c>
      <c r="P420" s="10" t="n">
        <v>5.08631496285775</v>
      </c>
      <c r="Q420" s="9" t="n">
        <v>0.0721507352941176</v>
      </c>
    </row>
    <row r="421" customFormat="false" ht="15" hidden="false" customHeight="false" outlineLevel="0" collapsed="false">
      <c r="A421" s="6" t="n">
        <v>1818</v>
      </c>
      <c r="B421" s="6" t="s">
        <v>79</v>
      </c>
      <c r="C421" s="6" t="s">
        <v>63</v>
      </c>
      <c r="D421" s="7" t="n">
        <v>45356</v>
      </c>
      <c r="E421" s="7" t="n">
        <v>45362</v>
      </c>
      <c r="F421" s="6" t="s">
        <v>53</v>
      </c>
      <c r="G421" s="6" t="s">
        <v>57</v>
      </c>
      <c r="H421" s="8" t="n">
        <v>38428.16</v>
      </c>
      <c r="I421" s="6" t="n">
        <v>1088999</v>
      </c>
      <c r="J421" s="6" t="n">
        <v>33448</v>
      </c>
      <c r="K421" s="6" t="n">
        <v>1645</v>
      </c>
      <c r="L421" s="8" t="n">
        <v>1516986.47</v>
      </c>
      <c r="M421" s="9" t="n">
        <v>0.0307144451005006</v>
      </c>
      <c r="N421" s="8" t="n">
        <v>1.14889260942358</v>
      </c>
      <c r="O421" s="8" t="n">
        <v>23.3605835866261</v>
      </c>
      <c r="P421" s="10" t="n">
        <v>39.4759069911232</v>
      </c>
      <c r="Q421" s="9" t="n">
        <v>0.0491808179861277</v>
      </c>
    </row>
    <row r="422" customFormat="false" ht="15" hidden="false" customHeight="false" outlineLevel="0" collapsed="false">
      <c r="A422" s="6" t="n">
        <v>1672</v>
      </c>
      <c r="B422" s="6" t="s">
        <v>78</v>
      </c>
      <c r="C422" s="6" t="s">
        <v>50</v>
      </c>
      <c r="D422" s="7" t="n">
        <v>45541</v>
      </c>
      <c r="E422" s="7" t="n">
        <v>45570</v>
      </c>
      <c r="F422" s="6" t="s">
        <v>56</v>
      </c>
      <c r="G422" s="6" t="s">
        <v>54</v>
      </c>
      <c r="H422" s="8" t="n">
        <v>25724.34</v>
      </c>
      <c r="I422" s="6" t="n">
        <v>452137</v>
      </c>
      <c r="J422" s="6" t="n">
        <v>15792</v>
      </c>
      <c r="K422" s="6" t="n">
        <v>824</v>
      </c>
      <c r="L422" s="8" t="n">
        <v>1004141.33</v>
      </c>
      <c r="M422" s="9" t="n">
        <v>0.0349274666749238</v>
      </c>
      <c r="N422" s="8" t="n">
        <v>1.62894756838906</v>
      </c>
      <c r="O422" s="8" t="n">
        <v>31.218859223301</v>
      </c>
      <c r="P422" s="10" t="n">
        <v>39.0346780519928</v>
      </c>
      <c r="Q422" s="9" t="n">
        <v>0.0521783181357649</v>
      </c>
    </row>
    <row r="423" customFormat="false" ht="15" hidden="false" customHeight="false" outlineLevel="0" collapsed="false">
      <c r="A423" s="6" t="n">
        <v>1056</v>
      </c>
      <c r="B423" s="6" t="s">
        <v>73</v>
      </c>
      <c r="C423" s="6" t="s">
        <v>71</v>
      </c>
      <c r="D423" s="7" t="n">
        <v>45504</v>
      </c>
      <c r="E423" s="7" t="n">
        <v>45529</v>
      </c>
      <c r="F423" s="6" t="s">
        <v>56</v>
      </c>
      <c r="G423" s="6" t="s">
        <v>72</v>
      </c>
      <c r="H423" s="8" t="n">
        <v>51352.04</v>
      </c>
      <c r="I423" s="6" t="n">
        <v>1560655</v>
      </c>
      <c r="J423" s="6" t="n">
        <v>51769</v>
      </c>
      <c r="K423" s="6" t="n">
        <v>1531</v>
      </c>
      <c r="L423" s="8" t="n">
        <v>2068238.56</v>
      </c>
      <c r="M423" s="9" t="n">
        <v>0.0331713287049348</v>
      </c>
      <c r="N423" s="8" t="n">
        <v>0.991945759044988</v>
      </c>
      <c r="O423" s="8" t="n">
        <v>33.5415022860875</v>
      </c>
      <c r="P423" s="10" t="n">
        <v>40.2756844713472</v>
      </c>
      <c r="Q423" s="9" t="n">
        <v>0.029573683092198</v>
      </c>
    </row>
    <row r="424" customFormat="false" ht="15" hidden="false" customHeight="false" outlineLevel="0" collapsed="false">
      <c r="A424" s="6" t="n">
        <v>1293</v>
      </c>
      <c r="B424" s="6" t="s">
        <v>74</v>
      </c>
      <c r="C424" s="6" t="s">
        <v>63</v>
      </c>
      <c r="D424" s="7" t="n">
        <v>45458</v>
      </c>
      <c r="E424" s="7" t="n">
        <v>45477</v>
      </c>
      <c r="F424" s="6" t="s">
        <v>48</v>
      </c>
      <c r="G424" s="6" t="s">
        <v>72</v>
      </c>
      <c r="H424" s="8" t="n">
        <v>7331.62</v>
      </c>
      <c r="I424" s="6" t="n">
        <v>197098</v>
      </c>
      <c r="J424" s="6" t="n">
        <v>3063</v>
      </c>
      <c r="K424" s="6" t="n">
        <v>129</v>
      </c>
      <c r="L424" s="8" t="n">
        <v>77098.43</v>
      </c>
      <c r="M424" s="9" t="n">
        <v>0.0155404925468549</v>
      </c>
      <c r="N424" s="8" t="n">
        <v>2.39360757427359</v>
      </c>
      <c r="O424" s="8" t="n">
        <v>56.8342635658915</v>
      </c>
      <c r="P424" s="10" t="n">
        <v>10.5158791644957</v>
      </c>
      <c r="Q424" s="9" t="n">
        <v>0.0421155729676788</v>
      </c>
    </row>
    <row r="425" customFormat="false" ht="15" hidden="false" customHeight="false" outlineLevel="0" collapsed="false">
      <c r="A425" s="6" t="n">
        <v>1224</v>
      </c>
      <c r="B425" s="6" t="s">
        <v>79</v>
      </c>
      <c r="C425" s="6" t="s">
        <v>47</v>
      </c>
      <c r="D425" s="7" t="n">
        <v>45585</v>
      </c>
      <c r="E425" s="7" t="n">
        <v>45594</v>
      </c>
      <c r="F425" s="6" t="s">
        <v>69</v>
      </c>
      <c r="G425" s="6" t="s">
        <v>61</v>
      </c>
      <c r="H425" s="8" t="n">
        <v>2164.39</v>
      </c>
      <c r="I425" s="6" t="n">
        <v>82379</v>
      </c>
      <c r="J425" s="6" t="n">
        <v>1688</v>
      </c>
      <c r="K425" s="6" t="n">
        <v>64</v>
      </c>
      <c r="L425" s="8" t="n">
        <v>112345.81</v>
      </c>
      <c r="M425" s="9" t="n">
        <v>0.0204906590271793</v>
      </c>
      <c r="N425" s="8" t="n">
        <v>1.28222156398104</v>
      </c>
      <c r="O425" s="8" t="n">
        <v>33.81859375</v>
      </c>
      <c r="P425" s="10" t="n">
        <v>51.9064540124469</v>
      </c>
      <c r="Q425" s="9" t="n">
        <v>0.037914691943128</v>
      </c>
    </row>
    <row r="426" customFormat="false" ht="15" hidden="false" customHeight="false" outlineLevel="0" collapsed="false">
      <c r="A426" s="6" t="n">
        <v>1585</v>
      </c>
      <c r="B426" s="6" t="s">
        <v>55</v>
      </c>
      <c r="C426" s="6" t="s">
        <v>59</v>
      </c>
      <c r="D426" s="7" t="n">
        <v>45519</v>
      </c>
      <c r="E426" s="7" t="n">
        <v>45537</v>
      </c>
      <c r="F426" s="6" t="s">
        <v>53</v>
      </c>
      <c r="G426" s="6" t="s">
        <v>49</v>
      </c>
      <c r="H426" s="8" t="n">
        <v>34729.24</v>
      </c>
      <c r="I426" s="6" t="n">
        <v>1271526</v>
      </c>
      <c r="J426" s="6" t="n">
        <v>44239</v>
      </c>
      <c r="K426" s="6" t="n">
        <v>2708</v>
      </c>
      <c r="L426" s="8" t="n">
        <v>1405102.2</v>
      </c>
      <c r="M426" s="9" t="n">
        <v>0.0347920530134657</v>
      </c>
      <c r="N426" s="8" t="n">
        <v>0.785036732295034</v>
      </c>
      <c r="O426" s="8" t="n">
        <v>12.824682422452</v>
      </c>
      <c r="P426" s="10" t="n">
        <v>40.4587661578543</v>
      </c>
      <c r="Q426" s="9" t="n">
        <v>0.061212956893239</v>
      </c>
    </row>
    <row r="427" customFormat="false" ht="15" hidden="false" customHeight="false" outlineLevel="0" collapsed="false">
      <c r="A427" s="6" t="n">
        <v>1763</v>
      </c>
      <c r="B427" s="6" t="s">
        <v>74</v>
      </c>
      <c r="C427" s="6" t="s">
        <v>71</v>
      </c>
      <c r="D427" s="7" t="n">
        <v>45435</v>
      </c>
      <c r="E427" s="7" t="n">
        <v>45443</v>
      </c>
      <c r="F427" s="6" t="s">
        <v>65</v>
      </c>
      <c r="G427" s="6" t="s">
        <v>57</v>
      </c>
      <c r="H427" s="8" t="n">
        <v>20416.08</v>
      </c>
      <c r="I427" s="6" t="n">
        <v>463697</v>
      </c>
      <c r="J427" s="6" t="n">
        <v>10381</v>
      </c>
      <c r="K427" s="6" t="n">
        <v>539</v>
      </c>
      <c r="L427" s="8" t="n">
        <v>490877.96</v>
      </c>
      <c r="M427" s="9" t="n">
        <v>0.0223874642277177</v>
      </c>
      <c r="N427" s="8" t="n">
        <v>1.96667758404778</v>
      </c>
      <c r="O427" s="8" t="n">
        <v>37.8776994434137</v>
      </c>
      <c r="P427" s="10" t="n">
        <v>24.0436930106073</v>
      </c>
      <c r="Q427" s="9" t="n">
        <v>0.0519217801753203</v>
      </c>
    </row>
    <row r="428" customFormat="false" ht="15" hidden="false" customHeight="false" outlineLevel="0" collapsed="false">
      <c r="A428" s="6" t="n">
        <v>1261</v>
      </c>
      <c r="B428" s="6" t="s">
        <v>74</v>
      </c>
      <c r="C428" s="6" t="s">
        <v>63</v>
      </c>
      <c r="D428" s="7" t="n">
        <v>45340</v>
      </c>
      <c r="E428" s="7" t="n">
        <v>45346</v>
      </c>
      <c r="F428" s="6" t="s">
        <v>56</v>
      </c>
      <c r="G428" s="6" t="s">
        <v>72</v>
      </c>
      <c r="H428" s="8" t="n">
        <v>21648.85</v>
      </c>
      <c r="I428" s="6" t="n">
        <v>399642</v>
      </c>
      <c r="J428" s="6" t="n">
        <v>6399</v>
      </c>
      <c r="K428" s="6" t="n">
        <v>324</v>
      </c>
      <c r="L428" s="8" t="n">
        <v>222860.65</v>
      </c>
      <c r="M428" s="9" t="n">
        <v>0.0160118305883766</v>
      </c>
      <c r="N428" s="8" t="n">
        <v>3.38316143147367</v>
      </c>
      <c r="O428" s="8" t="n">
        <v>66.8174382716049</v>
      </c>
      <c r="P428" s="10" t="n">
        <v>10.2943412698596</v>
      </c>
      <c r="Q428" s="9" t="n">
        <v>0.0506329113924051</v>
      </c>
    </row>
    <row r="429" customFormat="false" ht="15" hidden="false" customHeight="false" outlineLevel="0" collapsed="false">
      <c r="A429" s="6" t="n">
        <v>1516</v>
      </c>
      <c r="B429" s="6" t="s">
        <v>52</v>
      </c>
      <c r="C429" s="6" t="s">
        <v>47</v>
      </c>
      <c r="D429" s="7" t="n">
        <v>45300</v>
      </c>
      <c r="E429" s="7" t="n">
        <v>45314</v>
      </c>
      <c r="F429" s="6" t="s">
        <v>48</v>
      </c>
      <c r="G429" s="6" t="s">
        <v>57</v>
      </c>
      <c r="H429" s="8" t="n">
        <v>4514.6</v>
      </c>
      <c r="I429" s="6" t="n">
        <v>165658</v>
      </c>
      <c r="J429" s="6" t="n">
        <v>4303</v>
      </c>
      <c r="K429" s="6" t="n">
        <v>238</v>
      </c>
      <c r="L429" s="8" t="n">
        <v>240664.73</v>
      </c>
      <c r="M429" s="9" t="n">
        <v>0.0259752019220321</v>
      </c>
      <c r="N429" s="8" t="n">
        <v>1.0491749941901</v>
      </c>
      <c r="O429" s="8" t="n">
        <v>18.9689075630252</v>
      </c>
      <c r="P429" s="10" t="n">
        <v>53.3080959553449</v>
      </c>
      <c r="Q429" s="9" t="n">
        <v>0.055310248663723</v>
      </c>
    </row>
    <row r="430" customFormat="false" ht="15" hidden="false" customHeight="false" outlineLevel="0" collapsed="false">
      <c r="A430" s="6" t="n">
        <v>1451</v>
      </c>
      <c r="B430" s="6" t="s">
        <v>62</v>
      </c>
      <c r="C430" s="6" t="s">
        <v>59</v>
      </c>
      <c r="D430" s="7" t="n">
        <v>45517</v>
      </c>
      <c r="E430" s="7" t="n">
        <v>45542</v>
      </c>
      <c r="F430" s="6" t="s">
        <v>60</v>
      </c>
      <c r="G430" s="6" t="s">
        <v>61</v>
      </c>
      <c r="H430" s="8" t="n">
        <v>23189.66</v>
      </c>
      <c r="I430" s="6" t="n">
        <v>716811</v>
      </c>
      <c r="J430" s="6" t="n">
        <v>5300</v>
      </c>
      <c r="K430" s="6" t="n">
        <v>84</v>
      </c>
      <c r="L430" s="8" t="n">
        <v>44586.22</v>
      </c>
      <c r="M430" s="9" t="n">
        <v>0.00739385974824605</v>
      </c>
      <c r="N430" s="8" t="n">
        <v>4.37540754716981</v>
      </c>
      <c r="O430" s="8" t="n">
        <v>276.067380952381</v>
      </c>
      <c r="P430" s="10" t="n">
        <v>1.92267674472157</v>
      </c>
      <c r="Q430" s="9" t="n">
        <v>0.0158490566037736</v>
      </c>
    </row>
    <row r="431" customFormat="false" ht="15" hidden="false" customHeight="false" outlineLevel="0" collapsed="false">
      <c r="A431" s="6" t="n">
        <v>1779</v>
      </c>
      <c r="B431" s="6" t="s">
        <v>62</v>
      </c>
      <c r="C431" s="6" t="s">
        <v>50</v>
      </c>
      <c r="D431" s="7" t="n">
        <v>45407</v>
      </c>
      <c r="E431" s="7" t="n">
        <v>45412</v>
      </c>
      <c r="F431" s="6" t="s">
        <v>65</v>
      </c>
      <c r="G431" s="6" t="s">
        <v>57</v>
      </c>
      <c r="H431" s="8" t="n">
        <v>43837.72</v>
      </c>
      <c r="I431" s="6" t="n">
        <v>1017203</v>
      </c>
      <c r="J431" s="6" t="n">
        <v>20613</v>
      </c>
      <c r="K431" s="6" t="n">
        <v>925</v>
      </c>
      <c r="L431" s="8" t="n">
        <v>1295186.24</v>
      </c>
      <c r="M431" s="9" t="n">
        <v>0.0202643916700993</v>
      </c>
      <c r="N431" s="8" t="n">
        <v>2.12670256634163</v>
      </c>
      <c r="O431" s="8" t="n">
        <v>47.3921297297297</v>
      </c>
      <c r="P431" s="10" t="n">
        <v>29.5450183084339</v>
      </c>
      <c r="Q431" s="9" t="n">
        <v>0.044874593703003</v>
      </c>
    </row>
    <row r="432" customFormat="false" ht="15" hidden="false" customHeight="false" outlineLevel="0" collapsed="false">
      <c r="A432" s="6" t="n">
        <v>1621</v>
      </c>
      <c r="B432" s="6" t="s">
        <v>64</v>
      </c>
      <c r="C432" s="6" t="s">
        <v>47</v>
      </c>
      <c r="D432" s="7" t="n">
        <v>45549</v>
      </c>
      <c r="E432" s="7" t="n">
        <v>45565</v>
      </c>
      <c r="F432" s="6" t="s">
        <v>51</v>
      </c>
      <c r="G432" s="6" t="s">
        <v>72</v>
      </c>
      <c r="H432" s="8" t="n">
        <v>5984.16</v>
      </c>
      <c r="I432" s="6" t="n">
        <v>216053</v>
      </c>
      <c r="J432" s="6" t="n">
        <v>7378</v>
      </c>
      <c r="K432" s="6" t="n">
        <v>131</v>
      </c>
      <c r="L432" s="8" t="n">
        <v>79820.58</v>
      </c>
      <c r="M432" s="9" t="n">
        <v>0.0341490282476985</v>
      </c>
      <c r="N432" s="8" t="n">
        <v>0.811081593927894</v>
      </c>
      <c r="O432" s="8" t="n">
        <v>45.6806106870229</v>
      </c>
      <c r="P432" s="10" t="n">
        <v>13.3386440202134</v>
      </c>
      <c r="Q432" s="9" t="n">
        <v>0.0177554892924912</v>
      </c>
    </row>
    <row r="433" customFormat="false" ht="15" hidden="false" customHeight="false" outlineLevel="0" collapsed="false">
      <c r="A433" s="6" t="n">
        <v>1728</v>
      </c>
      <c r="B433" s="6" t="s">
        <v>76</v>
      </c>
      <c r="C433" s="6" t="s">
        <v>50</v>
      </c>
      <c r="D433" s="7" t="n">
        <v>45622</v>
      </c>
      <c r="E433" s="7" t="n">
        <v>45637</v>
      </c>
      <c r="F433" s="6" t="s">
        <v>60</v>
      </c>
      <c r="G433" s="6" t="s">
        <v>75</v>
      </c>
      <c r="H433" s="8" t="n">
        <v>22459.89</v>
      </c>
      <c r="I433" s="6" t="n">
        <v>681142</v>
      </c>
      <c r="J433" s="6" t="n">
        <v>18946</v>
      </c>
      <c r="K433" s="6" t="n">
        <v>1043</v>
      </c>
      <c r="L433" s="8" t="n">
        <v>855072.82</v>
      </c>
      <c r="M433" s="9" t="n">
        <v>0.027815051780686</v>
      </c>
      <c r="N433" s="8" t="n">
        <v>1.18546870051726</v>
      </c>
      <c r="O433" s="8" t="n">
        <v>21.5339309683605</v>
      </c>
      <c r="P433" s="10" t="n">
        <v>38.0711045334594</v>
      </c>
      <c r="Q433" s="9" t="n">
        <v>0.055051198142088</v>
      </c>
    </row>
    <row r="434" customFormat="false" ht="15" hidden="false" customHeight="false" outlineLevel="0" collapsed="false">
      <c r="A434" s="6" t="n">
        <v>1583</v>
      </c>
      <c r="B434" s="6" t="s">
        <v>52</v>
      </c>
      <c r="C434" s="6" t="s">
        <v>47</v>
      </c>
      <c r="D434" s="7" t="n">
        <v>45512</v>
      </c>
      <c r="E434" s="7" t="n">
        <v>45533</v>
      </c>
      <c r="F434" s="6" t="s">
        <v>65</v>
      </c>
      <c r="G434" s="6" t="s">
        <v>61</v>
      </c>
      <c r="H434" s="8" t="n">
        <v>5025.96</v>
      </c>
      <c r="I434" s="6" t="n">
        <v>152723</v>
      </c>
      <c r="J434" s="6" t="n">
        <v>1219</v>
      </c>
      <c r="K434" s="6" t="n">
        <v>36</v>
      </c>
      <c r="L434" s="8" t="n">
        <v>18788.37</v>
      </c>
      <c r="M434" s="9" t="n">
        <v>0.00798177091859117</v>
      </c>
      <c r="N434" s="8" t="n">
        <v>4.12301886792453</v>
      </c>
      <c r="O434" s="8" t="n">
        <v>139.61</v>
      </c>
      <c r="P434" s="10" t="n">
        <v>3.73826492849127</v>
      </c>
      <c r="Q434" s="9" t="n">
        <v>0.029532403609516</v>
      </c>
    </row>
    <row r="435" customFormat="false" ht="15" hidden="false" customHeight="false" outlineLevel="0" collapsed="false">
      <c r="A435" s="6" t="n">
        <v>1697</v>
      </c>
      <c r="B435" s="6" t="s">
        <v>68</v>
      </c>
      <c r="C435" s="6" t="s">
        <v>47</v>
      </c>
      <c r="D435" s="7" t="n">
        <v>45395</v>
      </c>
      <c r="E435" s="7" t="n">
        <v>45402</v>
      </c>
      <c r="F435" s="6" t="s">
        <v>60</v>
      </c>
      <c r="G435" s="6" t="s">
        <v>72</v>
      </c>
      <c r="H435" s="8" t="n">
        <v>6925.18</v>
      </c>
      <c r="I435" s="6" t="n">
        <v>138640</v>
      </c>
      <c r="J435" s="6" t="n">
        <v>2848</v>
      </c>
      <c r="K435" s="6" t="n">
        <v>35</v>
      </c>
      <c r="L435" s="8" t="n">
        <v>36550.1</v>
      </c>
      <c r="M435" s="9" t="n">
        <v>0.0205424120023081</v>
      </c>
      <c r="N435" s="8" t="n">
        <v>2.4315941011236</v>
      </c>
      <c r="O435" s="8" t="n">
        <v>197.862285714286</v>
      </c>
      <c r="P435" s="10" t="n">
        <v>5.27785559364522</v>
      </c>
      <c r="Q435" s="9" t="n">
        <v>0.0122893258426966</v>
      </c>
    </row>
    <row r="436" customFormat="false" ht="15" hidden="false" customHeight="false" outlineLevel="0" collapsed="false">
      <c r="A436" s="6" t="n">
        <v>1394</v>
      </c>
      <c r="B436" s="6" t="s">
        <v>76</v>
      </c>
      <c r="C436" s="6" t="s">
        <v>59</v>
      </c>
      <c r="D436" s="7" t="n">
        <v>45471</v>
      </c>
      <c r="E436" s="7" t="n">
        <v>45485</v>
      </c>
      <c r="F436" s="6" t="s">
        <v>65</v>
      </c>
      <c r="G436" s="6" t="s">
        <v>57</v>
      </c>
      <c r="H436" s="8" t="n">
        <v>65019.18</v>
      </c>
      <c r="I436" s="6" t="n">
        <v>2300182</v>
      </c>
      <c r="J436" s="6" t="n">
        <v>51024</v>
      </c>
      <c r="K436" s="6" t="n">
        <v>1010</v>
      </c>
      <c r="L436" s="8" t="n">
        <v>906591.45</v>
      </c>
      <c r="M436" s="9" t="n">
        <v>0.0221825925078972</v>
      </c>
      <c r="N436" s="8" t="n">
        <v>1.27428621825024</v>
      </c>
      <c r="O436" s="8" t="n">
        <v>64.3754257425743</v>
      </c>
      <c r="P436" s="10" t="n">
        <v>13.9434463799759</v>
      </c>
      <c r="Q436" s="9" t="n">
        <v>0.0197946064597052</v>
      </c>
    </row>
    <row r="437" customFormat="false" ht="15" hidden="false" customHeight="false" outlineLevel="0" collapsed="false">
      <c r="A437" s="6" t="n">
        <v>1090</v>
      </c>
      <c r="B437" s="6" t="s">
        <v>68</v>
      </c>
      <c r="C437" s="6" t="s">
        <v>63</v>
      </c>
      <c r="D437" s="7" t="n">
        <v>45374</v>
      </c>
      <c r="E437" s="7" t="n">
        <v>45389</v>
      </c>
      <c r="F437" s="6" t="s">
        <v>56</v>
      </c>
      <c r="G437" s="6" t="s">
        <v>54</v>
      </c>
      <c r="H437" s="8" t="n">
        <v>15920.69</v>
      </c>
      <c r="I437" s="6" t="n">
        <v>615924</v>
      </c>
      <c r="J437" s="6" t="n">
        <v>12667</v>
      </c>
      <c r="K437" s="6" t="n">
        <v>378</v>
      </c>
      <c r="L437" s="8" t="n">
        <v>175523.11</v>
      </c>
      <c r="M437" s="9" t="n">
        <v>0.0205658490333223</v>
      </c>
      <c r="N437" s="8" t="n">
        <v>1.25686350359201</v>
      </c>
      <c r="O437" s="8" t="n">
        <v>42.1182275132275</v>
      </c>
      <c r="P437" s="10" t="n">
        <v>11.0248431443612</v>
      </c>
      <c r="Q437" s="9" t="n">
        <v>0.0298413199652641</v>
      </c>
    </row>
    <row r="438" customFormat="false" ht="15" hidden="false" customHeight="false" outlineLevel="0" collapsed="false">
      <c r="A438" s="6" t="n">
        <v>1052</v>
      </c>
      <c r="B438" s="6" t="s">
        <v>55</v>
      </c>
      <c r="C438" s="6" t="s">
        <v>71</v>
      </c>
      <c r="D438" s="7" t="n">
        <v>45404</v>
      </c>
      <c r="E438" s="7" t="n">
        <v>45429</v>
      </c>
      <c r="F438" s="6" t="s">
        <v>48</v>
      </c>
      <c r="G438" s="6" t="s">
        <v>72</v>
      </c>
      <c r="H438" s="8" t="n">
        <v>40286.34</v>
      </c>
      <c r="I438" s="6" t="n">
        <v>1286911</v>
      </c>
      <c r="J438" s="6" t="n">
        <v>34267</v>
      </c>
      <c r="K438" s="6" t="n">
        <v>1923</v>
      </c>
      <c r="L438" s="8" t="n">
        <v>3010627.3</v>
      </c>
      <c r="M438" s="9" t="n">
        <v>0.0266273269868701</v>
      </c>
      <c r="N438" s="8" t="n">
        <v>1.17565996439723</v>
      </c>
      <c r="O438" s="8" t="n">
        <v>20.9497347893916</v>
      </c>
      <c r="P438" s="10" t="n">
        <v>74.7307226221096</v>
      </c>
      <c r="Q438" s="9" t="n">
        <v>0.0561181311465842</v>
      </c>
    </row>
    <row r="439" customFormat="false" ht="15" hidden="false" customHeight="false" outlineLevel="0" collapsed="false">
      <c r="A439" s="6" t="n">
        <v>1109</v>
      </c>
      <c r="B439" s="6" t="s">
        <v>70</v>
      </c>
      <c r="C439" s="6" t="s">
        <v>59</v>
      </c>
      <c r="D439" s="7" t="n">
        <v>45449</v>
      </c>
      <c r="E439" s="7" t="n">
        <v>45477</v>
      </c>
      <c r="F439" s="6" t="s">
        <v>51</v>
      </c>
      <c r="G439" s="6" t="s">
        <v>49</v>
      </c>
      <c r="H439" s="8" t="n">
        <v>44696.15</v>
      </c>
      <c r="I439" s="6" t="n">
        <v>1582750</v>
      </c>
      <c r="J439" s="6" t="n">
        <v>43326</v>
      </c>
      <c r="K439" s="6" t="n">
        <v>2187</v>
      </c>
      <c r="L439" s="8" t="n">
        <v>909070.76</v>
      </c>
      <c r="M439" s="9" t="n">
        <v>0.0273738745853736</v>
      </c>
      <c r="N439" s="8" t="n">
        <v>1.03162419794119</v>
      </c>
      <c r="O439" s="8" t="n">
        <v>20.4371970736168</v>
      </c>
      <c r="P439" s="10" t="n">
        <v>20.3389052524658</v>
      </c>
      <c r="Q439" s="9" t="n">
        <v>0.050477773161612</v>
      </c>
    </row>
    <row r="440" customFormat="false" ht="15" hidden="false" customHeight="false" outlineLevel="0" collapsed="false">
      <c r="A440" s="6" t="n">
        <v>1501</v>
      </c>
      <c r="B440" s="6" t="s">
        <v>55</v>
      </c>
      <c r="C440" s="6" t="s">
        <v>63</v>
      </c>
      <c r="D440" s="7" t="n">
        <v>45438</v>
      </c>
      <c r="E440" s="7" t="n">
        <v>45446</v>
      </c>
      <c r="F440" s="6" t="s">
        <v>69</v>
      </c>
      <c r="G440" s="6" t="s">
        <v>72</v>
      </c>
      <c r="H440" s="8" t="n">
        <v>8640.04</v>
      </c>
      <c r="I440" s="6" t="n">
        <v>268371</v>
      </c>
      <c r="J440" s="6" t="n">
        <v>6206</v>
      </c>
      <c r="K440" s="6" t="n">
        <v>137</v>
      </c>
      <c r="L440" s="8" t="n">
        <v>79803.29</v>
      </c>
      <c r="M440" s="9" t="n">
        <v>0.023124704234064</v>
      </c>
      <c r="N440" s="8" t="n">
        <v>1.39220754108927</v>
      </c>
      <c r="O440" s="8" t="n">
        <v>63.0659854014599</v>
      </c>
      <c r="P440" s="10" t="n">
        <v>9.23644913680955</v>
      </c>
      <c r="Q440" s="9" t="n">
        <v>0.0220754108926845</v>
      </c>
    </row>
    <row r="441" customFormat="false" ht="15" hidden="false" customHeight="false" outlineLevel="0" collapsed="false">
      <c r="A441" s="6" t="n">
        <v>1165</v>
      </c>
      <c r="B441" s="6" t="s">
        <v>76</v>
      </c>
      <c r="C441" s="6" t="s">
        <v>50</v>
      </c>
      <c r="D441" s="7" t="n">
        <v>45292</v>
      </c>
      <c r="E441" s="7" t="n">
        <v>45307</v>
      </c>
      <c r="F441" s="6" t="s">
        <v>51</v>
      </c>
      <c r="G441" s="6" t="s">
        <v>75</v>
      </c>
      <c r="H441" s="8" t="n">
        <v>24102.51</v>
      </c>
      <c r="I441" s="6" t="n">
        <v>440165</v>
      </c>
      <c r="J441" s="6" t="n">
        <v>11667</v>
      </c>
      <c r="K441" s="6" t="n">
        <v>867</v>
      </c>
      <c r="L441" s="8" t="n">
        <v>1364841.74</v>
      </c>
      <c r="M441" s="9" t="n">
        <v>0.0265059693524019</v>
      </c>
      <c r="N441" s="8" t="n">
        <v>2.06587040370275</v>
      </c>
      <c r="O441" s="8" t="n">
        <v>27.7998961937716</v>
      </c>
      <c r="P441" s="10" t="n">
        <v>56.6265397255307</v>
      </c>
      <c r="Q441" s="9" t="n">
        <v>0.0743121625096426</v>
      </c>
    </row>
    <row r="442" customFormat="false" ht="15" hidden="false" customHeight="false" outlineLevel="0" collapsed="false">
      <c r="A442" s="6" t="n">
        <v>1038</v>
      </c>
      <c r="B442" s="6" t="s">
        <v>58</v>
      </c>
      <c r="C442" s="6" t="s">
        <v>47</v>
      </c>
      <c r="D442" s="7" t="n">
        <v>45419</v>
      </c>
      <c r="E442" s="7" t="n">
        <v>45427</v>
      </c>
      <c r="F442" s="6" t="s">
        <v>53</v>
      </c>
      <c r="G442" s="6" t="s">
        <v>61</v>
      </c>
      <c r="H442" s="8" t="n">
        <v>6351.1</v>
      </c>
      <c r="I442" s="6" t="n">
        <v>191536</v>
      </c>
      <c r="J442" s="6" t="n">
        <v>5501</v>
      </c>
      <c r="K442" s="6" t="n">
        <v>141</v>
      </c>
      <c r="L442" s="8" t="n">
        <v>156189.95</v>
      </c>
      <c r="M442" s="9" t="n">
        <v>0.0287204494194303</v>
      </c>
      <c r="N442" s="8" t="n">
        <v>1.15453553899291</v>
      </c>
      <c r="O442" s="8" t="n">
        <v>45.0432624113475</v>
      </c>
      <c r="P442" s="10" t="n">
        <v>24.592582387303</v>
      </c>
      <c r="Q442" s="9" t="n">
        <v>0.0256317033266679</v>
      </c>
    </row>
    <row r="443" customFormat="false" ht="15" hidden="false" customHeight="false" outlineLevel="0" collapsed="false">
      <c r="A443" s="6" t="n">
        <v>1751</v>
      </c>
      <c r="B443" s="6" t="s">
        <v>68</v>
      </c>
      <c r="C443" s="6" t="s">
        <v>47</v>
      </c>
      <c r="D443" s="7" t="n">
        <v>45584</v>
      </c>
      <c r="E443" s="7" t="n">
        <v>45594</v>
      </c>
      <c r="F443" s="6" t="s">
        <v>53</v>
      </c>
      <c r="G443" s="6" t="s">
        <v>75</v>
      </c>
      <c r="H443" s="8" t="n">
        <v>2375.62</v>
      </c>
      <c r="I443" s="6" t="n">
        <v>74823</v>
      </c>
      <c r="J443" s="6" t="n">
        <v>1599</v>
      </c>
      <c r="K443" s="6" t="n">
        <v>78</v>
      </c>
      <c r="L443" s="8" t="n">
        <v>81348.2</v>
      </c>
      <c r="M443" s="9" t="n">
        <v>0.0213704342247705</v>
      </c>
      <c r="N443" s="8" t="n">
        <v>1.48569105691057</v>
      </c>
      <c r="O443" s="8" t="n">
        <v>30.4566666666667</v>
      </c>
      <c r="P443" s="10" t="n">
        <v>34.2429344760526</v>
      </c>
      <c r="Q443" s="9" t="n">
        <v>0.0487804878048781</v>
      </c>
    </row>
    <row r="444" customFormat="false" ht="15" hidden="false" customHeight="false" outlineLevel="0" collapsed="false">
      <c r="A444" s="6" t="n">
        <v>1351</v>
      </c>
      <c r="B444" s="6" t="s">
        <v>64</v>
      </c>
      <c r="C444" s="6" t="s">
        <v>63</v>
      </c>
      <c r="D444" s="7" t="n">
        <v>45575</v>
      </c>
      <c r="E444" s="7" t="n">
        <v>45601</v>
      </c>
      <c r="F444" s="6" t="s">
        <v>51</v>
      </c>
      <c r="G444" s="6" t="s">
        <v>49</v>
      </c>
      <c r="H444" s="8" t="n">
        <v>31177.25</v>
      </c>
      <c r="I444" s="6" t="n">
        <v>838598</v>
      </c>
      <c r="J444" s="6" t="n">
        <v>25686</v>
      </c>
      <c r="K444" s="6" t="n">
        <v>1167</v>
      </c>
      <c r="L444" s="8" t="n">
        <v>1070731.82</v>
      </c>
      <c r="M444" s="9" t="n">
        <v>0.0306296938461575</v>
      </c>
      <c r="N444" s="8" t="n">
        <v>1.2137837732617</v>
      </c>
      <c r="O444" s="8" t="n">
        <v>26.7157240788346</v>
      </c>
      <c r="P444" s="10" t="n">
        <v>34.3433696044391</v>
      </c>
      <c r="Q444" s="9" t="n">
        <v>0.0454333099743051</v>
      </c>
    </row>
    <row r="445" customFormat="false" ht="15" hidden="false" customHeight="false" outlineLevel="0" collapsed="false">
      <c r="A445" s="6" t="n">
        <v>1534</v>
      </c>
      <c r="B445" s="6" t="s">
        <v>55</v>
      </c>
      <c r="C445" s="6" t="s">
        <v>47</v>
      </c>
      <c r="D445" s="7" t="n">
        <v>45591</v>
      </c>
      <c r="E445" s="7" t="n">
        <v>45609</v>
      </c>
      <c r="F445" s="6" t="s">
        <v>56</v>
      </c>
      <c r="G445" s="6" t="s">
        <v>49</v>
      </c>
      <c r="H445" s="8" t="n">
        <v>4127.46</v>
      </c>
      <c r="I445" s="6" t="n">
        <v>74539</v>
      </c>
      <c r="J445" s="6" t="n">
        <v>1552</v>
      </c>
      <c r="K445" s="6" t="n">
        <v>78</v>
      </c>
      <c r="L445" s="8" t="n">
        <v>102089.52</v>
      </c>
      <c r="M445" s="9" t="n">
        <v>0.0208213150163002</v>
      </c>
      <c r="N445" s="8" t="n">
        <v>2.65944587628866</v>
      </c>
      <c r="O445" s="8" t="n">
        <v>52.9161538461539</v>
      </c>
      <c r="P445" s="10" t="n">
        <v>24.7342239537149</v>
      </c>
      <c r="Q445" s="9" t="n">
        <v>0.0502577319587629</v>
      </c>
    </row>
    <row r="446" customFormat="false" ht="15" hidden="false" customHeight="false" outlineLevel="0" collapsed="false">
      <c r="A446" s="6" t="n">
        <v>1198</v>
      </c>
      <c r="B446" s="6" t="s">
        <v>78</v>
      </c>
      <c r="C446" s="6" t="s">
        <v>59</v>
      </c>
      <c r="D446" s="7" t="n">
        <v>45330</v>
      </c>
      <c r="E446" s="7" t="n">
        <v>45359</v>
      </c>
      <c r="F446" s="6" t="s">
        <v>56</v>
      </c>
      <c r="G446" s="6" t="s">
        <v>57</v>
      </c>
      <c r="H446" s="8" t="n">
        <v>39047.54</v>
      </c>
      <c r="I446" s="6" t="n">
        <v>908728</v>
      </c>
      <c r="J446" s="6" t="n">
        <v>12126</v>
      </c>
      <c r="K446" s="6" t="n">
        <v>551</v>
      </c>
      <c r="L446" s="8" t="n">
        <v>632668.44</v>
      </c>
      <c r="M446" s="9" t="n">
        <v>0.0133439268956167</v>
      </c>
      <c r="N446" s="8" t="n">
        <v>3.22015009071417</v>
      </c>
      <c r="O446" s="8" t="n">
        <v>70.8666787658802</v>
      </c>
      <c r="P446" s="10" t="n">
        <v>16.2025172392422</v>
      </c>
      <c r="Q446" s="9" t="n">
        <v>0.045439551377206</v>
      </c>
    </row>
    <row r="447" customFormat="false" ht="15" hidden="false" customHeight="false" outlineLevel="0" collapsed="false">
      <c r="A447" s="6" t="n">
        <v>1551</v>
      </c>
      <c r="B447" s="6" t="s">
        <v>55</v>
      </c>
      <c r="C447" s="6" t="s">
        <v>59</v>
      </c>
      <c r="D447" s="7" t="n">
        <v>45446</v>
      </c>
      <c r="E447" s="7" t="n">
        <v>45471</v>
      </c>
      <c r="F447" s="6" t="s">
        <v>56</v>
      </c>
      <c r="G447" s="6" t="s">
        <v>49</v>
      </c>
      <c r="H447" s="8" t="n">
        <v>68935.65</v>
      </c>
      <c r="I447" s="6" t="n">
        <v>2648044</v>
      </c>
      <c r="J447" s="6" t="n">
        <v>77239</v>
      </c>
      <c r="K447" s="6" t="n">
        <v>4144</v>
      </c>
      <c r="L447" s="8" t="n">
        <v>2656365.4</v>
      </c>
      <c r="M447" s="9" t="n">
        <v>0.029168321976523</v>
      </c>
      <c r="N447" s="8" t="n">
        <v>0.892497960874688</v>
      </c>
      <c r="O447" s="8" t="n">
        <v>16.6350506756757</v>
      </c>
      <c r="P447" s="10" t="n">
        <v>38.5339864061629</v>
      </c>
      <c r="Q447" s="9" t="n">
        <v>0.0536516526625151</v>
      </c>
    </row>
    <row r="448" customFormat="false" ht="15" hidden="false" customHeight="false" outlineLevel="0" collapsed="false">
      <c r="A448" s="6" t="n">
        <v>1391</v>
      </c>
      <c r="B448" s="6" t="s">
        <v>64</v>
      </c>
      <c r="C448" s="6" t="s">
        <v>59</v>
      </c>
      <c r="D448" s="7" t="n">
        <v>45468</v>
      </c>
      <c r="E448" s="7" t="n">
        <v>45473</v>
      </c>
      <c r="F448" s="6" t="s">
        <v>48</v>
      </c>
      <c r="G448" s="6" t="s">
        <v>57</v>
      </c>
      <c r="H448" s="8" t="n">
        <v>82515.64</v>
      </c>
      <c r="I448" s="6" t="n">
        <v>2496925</v>
      </c>
      <c r="J448" s="6" t="n">
        <v>23485</v>
      </c>
      <c r="K448" s="6" t="n">
        <v>898</v>
      </c>
      <c r="L448" s="8" t="n">
        <v>1152695.3</v>
      </c>
      <c r="M448" s="9" t="n">
        <v>0.00940556884968511</v>
      </c>
      <c r="N448" s="8" t="n">
        <v>3.51354651905472</v>
      </c>
      <c r="O448" s="8" t="n">
        <v>91.8882405345212</v>
      </c>
      <c r="P448" s="10" t="n">
        <v>13.969415979807</v>
      </c>
      <c r="Q448" s="9" t="n">
        <v>0.0382371726634022</v>
      </c>
    </row>
    <row r="449" customFormat="false" ht="15" hidden="false" customHeight="false" outlineLevel="0" collapsed="false">
      <c r="A449" s="6" t="n">
        <v>1447</v>
      </c>
      <c r="B449" s="6" t="s">
        <v>73</v>
      </c>
      <c r="C449" s="6" t="s">
        <v>71</v>
      </c>
      <c r="D449" s="7" t="n">
        <v>45552</v>
      </c>
      <c r="E449" s="7" t="n">
        <v>45579</v>
      </c>
      <c r="F449" s="6" t="s">
        <v>48</v>
      </c>
      <c r="G449" s="6" t="s">
        <v>49</v>
      </c>
      <c r="H449" s="8" t="n">
        <v>41018.95</v>
      </c>
      <c r="I449" s="6" t="n">
        <v>992843</v>
      </c>
      <c r="J449" s="6" t="n">
        <v>6682</v>
      </c>
      <c r="K449" s="6" t="n">
        <v>247</v>
      </c>
      <c r="L449" s="8" t="n">
        <v>238320.05</v>
      </c>
      <c r="M449" s="9" t="n">
        <v>0.0067301678110235</v>
      </c>
      <c r="N449" s="8" t="n">
        <v>6.13872343609698</v>
      </c>
      <c r="O449" s="8" t="n">
        <v>166.068623481781</v>
      </c>
      <c r="P449" s="10" t="n">
        <v>5.80999879324069</v>
      </c>
      <c r="Q449" s="9" t="n">
        <v>0.0369649805447471</v>
      </c>
    </row>
    <row r="450" customFormat="false" ht="15" hidden="false" customHeight="false" outlineLevel="0" collapsed="false">
      <c r="A450" s="6" t="n">
        <v>1419</v>
      </c>
      <c r="B450" s="6" t="s">
        <v>79</v>
      </c>
      <c r="C450" s="6" t="s">
        <v>47</v>
      </c>
      <c r="D450" s="7" t="n">
        <v>45295</v>
      </c>
      <c r="E450" s="7" t="n">
        <v>45311</v>
      </c>
      <c r="F450" s="6" t="s">
        <v>56</v>
      </c>
      <c r="G450" s="6" t="s">
        <v>72</v>
      </c>
      <c r="H450" s="8" t="n">
        <v>1516.12</v>
      </c>
      <c r="I450" s="6" t="n">
        <v>23879</v>
      </c>
      <c r="J450" s="6" t="n">
        <v>201</v>
      </c>
      <c r="K450" s="6" t="n">
        <v>6</v>
      </c>
      <c r="L450" s="8" t="n">
        <v>3791.31</v>
      </c>
      <c r="M450" s="9" t="n">
        <v>0.00841743791616064</v>
      </c>
      <c r="N450" s="8" t="n">
        <v>7.5428855721393</v>
      </c>
      <c r="O450" s="8" t="n">
        <v>252.686666666667</v>
      </c>
      <c r="P450" s="10" t="n">
        <v>2.50066617418146</v>
      </c>
      <c r="Q450" s="9" t="n">
        <v>0.0298507462686567</v>
      </c>
    </row>
    <row r="451" customFormat="false" ht="15" hidden="false" customHeight="false" outlineLevel="0" collapsed="false">
      <c r="A451" s="6" t="n">
        <v>1778</v>
      </c>
      <c r="B451" s="6" t="s">
        <v>73</v>
      </c>
      <c r="C451" s="6" t="s">
        <v>63</v>
      </c>
      <c r="D451" s="7" t="n">
        <v>45467</v>
      </c>
      <c r="E451" s="7" t="n">
        <v>45491</v>
      </c>
      <c r="F451" s="6" t="s">
        <v>51</v>
      </c>
      <c r="G451" s="6" t="s">
        <v>49</v>
      </c>
      <c r="H451" s="8" t="n">
        <v>49096.16</v>
      </c>
      <c r="I451" s="6" t="n">
        <v>1780464</v>
      </c>
      <c r="J451" s="6" t="n">
        <v>59948</v>
      </c>
      <c r="K451" s="6" t="n">
        <v>1682</v>
      </c>
      <c r="L451" s="8" t="n">
        <v>1950992.92</v>
      </c>
      <c r="M451" s="9" t="n">
        <v>0.0336698748191483</v>
      </c>
      <c r="N451" s="8" t="n">
        <v>0.818979115233202</v>
      </c>
      <c r="O451" s="8" t="n">
        <v>29.1891557669441</v>
      </c>
      <c r="P451" s="10" t="n">
        <v>39.738197854985</v>
      </c>
      <c r="Q451" s="9" t="n">
        <v>0.0280576499633015</v>
      </c>
    </row>
    <row r="452" customFormat="false" ht="15" hidden="false" customHeight="false" outlineLevel="0" collapsed="false">
      <c r="A452" s="6" t="n">
        <v>1312</v>
      </c>
      <c r="B452" s="6" t="s">
        <v>52</v>
      </c>
      <c r="C452" s="6" t="s">
        <v>71</v>
      </c>
      <c r="D452" s="7" t="n">
        <v>45623</v>
      </c>
      <c r="E452" s="7" t="n">
        <v>45634</v>
      </c>
      <c r="F452" s="6" t="s">
        <v>67</v>
      </c>
      <c r="G452" s="6" t="s">
        <v>54</v>
      </c>
      <c r="H452" s="8" t="n">
        <v>36832.72</v>
      </c>
      <c r="I452" s="6" t="n">
        <v>1443394</v>
      </c>
      <c r="J452" s="6" t="n">
        <v>35827</v>
      </c>
      <c r="K452" s="6" t="n">
        <v>1107</v>
      </c>
      <c r="L452" s="8" t="n">
        <v>1013626.6</v>
      </c>
      <c r="M452" s="9" t="n">
        <v>0.0248213585479779</v>
      </c>
      <c r="N452" s="8" t="n">
        <v>1.02807156613727</v>
      </c>
      <c r="O452" s="8" t="n">
        <v>33.2725564588979</v>
      </c>
      <c r="P452" s="10" t="n">
        <v>27.5197324552735</v>
      </c>
      <c r="Q452" s="9" t="n">
        <v>0.0308984843832863</v>
      </c>
    </row>
    <row r="453" customFormat="false" ht="15" hidden="false" customHeight="false" outlineLevel="0" collapsed="false">
      <c r="A453" s="6" t="n">
        <v>1453</v>
      </c>
      <c r="B453" s="6" t="s">
        <v>46</v>
      </c>
      <c r="C453" s="6" t="s">
        <v>50</v>
      </c>
      <c r="D453" s="7" t="n">
        <v>45604</v>
      </c>
      <c r="E453" s="7" t="n">
        <v>45610</v>
      </c>
      <c r="F453" s="6" t="s">
        <v>60</v>
      </c>
      <c r="G453" s="6" t="s">
        <v>61</v>
      </c>
      <c r="H453" s="8" t="n">
        <v>71115.42</v>
      </c>
      <c r="I453" s="6" t="n">
        <v>2500187</v>
      </c>
      <c r="J453" s="6" t="n">
        <v>12732</v>
      </c>
      <c r="K453" s="6" t="n">
        <v>903</v>
      </c>
      <c r="L453" s="8" t="n">
        <v>842157.77</v>
      </c>
      <c r="M453" s="9" t="n">
        <v>0.00509241908705229</v>
      </c>
      <c r="N453" s="8" t="n">
        <v>5.58556550424128</v>
      </c>
      <c r="O453" s="8" t="n">
        <v>78.7546179401993</v>
      </c>
      <c r="P453" s="10" t="n">
        <v>11.8421260817977</v>
      </c>
      <c r="Q453" s="9" t="n">
        <v>0.070923656927427</v>
      </c>
    </row>
    <row r="454" customFormat="false" ht="15" hidden="false" customHeight="false" outlineLevel="0" collapsed="false">
      <c r="A454" s="6" t="n">
        <v>1587</v>
      </c>
      <c r="B454" s="6" t="s">
        <v>62</v>
      </c>
      <c r="C454" s="6" t="s">
        <v>71</v>
      </c>
      <c r="D454" s="7" t="n">
        <v>45540</v>
      </c>
      <c r="E454" s="7" t="n">
        <v>45550</v>
      </c>
      <c r="F454" s="6" t="s">
        <v>56</v>
      </c>
      <c r="G454" s="6" t="s">
        <v>61</v>
      </c>
      <c r="H454" s="8" t="n">
        <v>33829.77</v>
      </c>
      <c r="I454" s="6" t="n">
        <v>618908</v>
      </c>
      <c r="J454" s="6" t="n">
        <v>14880</v>
      </c>
      <c r="K454" s="6" t="n">
        <v>241</v>
      </c>
      <c r="L454" s="8" t="n">
        <v>264773.21</v>
      </c>
      <c r="M454" s="9" t="n">
        <v>0.0240423455505503</v>
      </c>
      <c r="N454" s="8" t="n">
        <v>2.2735060483871</v>
      </c>
      <c r="O454" s="8" t="n">
        <v>140.372489626556</v>
      </c>
      <c r="P454" s="10" t="n">
        <v>7.82663346514032</v>
      </c>
      <c r="Q454" s="9" t="n">
        <v>0.0161962365591398</v>
      </c>
    </row>
    <row r="455" customFormat="false" ht="15" hidden="false" customHeight="false" outlineLevel="0" collapsed="false">
      <c r="A455" s="6" t="n">
        <v>1519</v>
      </c>
      <c r="B455" s="6" t="s">
        <v>52</v>
      </c>
      <c r="C455" s="6" t="s">
        <v>47</v>
      </c>
      <c r="D455" s="7" t="n">
        <v>45406</v>
      </c>
      <c r="E455" s="7" t="n">
        <v>45427</v>
      </c>
      <c r="F455" s="6" t="s">
        <v>48</v>
      </c>
      <c r="G455" s="6" t="s">
        <v>75</v>
      </c>
      <c r="H455" s="8" t="n">
        <v>4621.06</v>
      </c>
      <c r="I455" s="6" t="n">
        <v>90413</v>
      </c>
      <c r="J455" s="6" t="n">
        <v>1285</v>
      </c>
      <c r="K455" s="6" t="n">
        <v>94</v>
      </c>
      <c r="L455" s="8" t="n">
        <v>156842.73</v>
      </c>
      <c r="M455" s="9" t="n">
        <v>0.0142125579286165</v>
      </c>
      <c r="N455" s="8" t="n">
        <v>3.59615564202335</v>
      </c>
      <c r="O455" s="8" t="n">
        <v>49.1602127659575</v>
      </c>
      <c r="P455" s="10" t="n">
        <v>33.9408555612782</v>
      </c>
      <c r="Q455" s="9" t="n">
        <v>0.0731517509727627</v>
      </c>
    </row>
    <row r="456" customFormat="false" ht="15" hidden="false" customHeight="false" outlineLevel="0" collapsed="false">
      <c r="A456" s="6" t="n">
        <v>1185</v>
      </c>
      <c r="B456" s="6" t="s">
        <v>46</v>
      </c>
      <c r="C456" s="6" t="s">
        <v>63</v>
      </c>
      <c r="D456" s="7" t="n">
        <v>45577</v>
      </c>
      <c r="E456" s="7" t="n">
        <v>45587</v>
      </c>
      <c r="F456" s="6" t="s">
        <v>56</v>
      </c>
      <c r="G456" s="6" t="s">
        <v>72</v>
      </c>
      <c r="H456" s="8" t="n">
        <v>10294.53</v>
      </c>
      <c r="I456" s="6" t="n">
        <v>187346</v>
      </c>
      <c r="J456" s="6" t="n">
        <v>2390</v>
      </c>
      <c r="K456" s="6" t="n">
        <v>159</v>
      </c>
      <c r="L456" s="8" t="n">
        <v>231540.8</v>
      </c>
      <c r="M456" s="9" t="n">
        <v>0.0127571445347112</v>
      </c>
      <c r="N456" s="8" t="n">
        <v>4.30733472803347</v>
      </c>
      <c r="O456" s="8" t="n">
        <v>64.7454716981132</v>
      </c>
      <c r="P456" s="10" t="n">
        <v>22.4916339065504</v>
      </c>
      <c r="Q456" s="9" t="n">
        <v>0.0665271966527197</v>
      </c>
    </row>
    <row r="457" customFormat="false" ht="15" hidden="false" customHeight="false" outlineLevel="0" collapsed="false">
      <c r="A457" s="6" t="n">
        <v>1596</v>
      </c>
      <c r="B457" s="6" t="s">
        <v>76</v>
      </c>
      <c r="C457" s="6" t="s">
        <v>47</v>
      </c>
      <c r="D457" s="7" t="n">
        <v>45340</v>
      </c>
      <c r="E457" s="7" t="n">
        <v>45362</v>
      </c>
      <c r="F457" s="6" t="s">
        <v>53</v>
      </c>
      <c r="G457" s="6" t="s">
        <v>72</v>
      </c>
      <c r="H457" s="8" t="n">
        <v>2453.77</v>
      </c>
      <c r="I457" s="6" t="n">
        <v>94598</v>
      </c>
      <c r="J457" s="6" t="n">
        <v>2157</v>
      </c>
      <c r="K457" s="6" t="n">
        <v>34</v>
      </c>
      <c r="L457" s="8" t="n">
        <v>31777.52</v>
      </c>
      <c r="M457" s="9" t="n">
        <v>0.0228017505655511</v>
      </c>
      <c r="N457" s="8" t="n">
        <v>1.1375846082522</v>
      </c>
      <c r="O457" s="8" t="n">
        <v>72.1697058823529</v>
      </c>
      <c r="P457" s="10" t="n">
        <v>12.9504884320861</v>
      </c>
      <c r="Q457" s="9" t="n">
        <v>0.0157626332869727</v>
      </c>
    </row>
    <row r="458" customFormat="false" ht="15" hidden="false" customHeight="false" outlineLevel="0" collapsed="false">
      <c r="A458" s="6" t="n">
        <v>1454</v>
      </c>
      <c r="B458" s="6" t="s">
        <v>77</v>
      </c>
      <c r="C458" s="6" t="s">
        <v>71</v>
      </c>
      <c r="D458" s="7" t="n">
        <v>45555</v>
      </c>
      <c r="E458" s="7" t="n">
        <v>45573</v>
      </c>
      <c r="F458" s="6" t="s">
        <v>51</v>
      </c>
      <c r="G458" s="6" t="s">
        <v>61</v>
      </c>
      <c r="H458" s="8" t="n">
        <v>17772.62</v>
      </c>
      <c r="I458" s="6" t="n">
        <v>704764</v>
      </c>
      <c r="J458" s="6" t="n">
        <v>23769</v>
      </c>
      <c r="K458" s="6" t="n">
        <v>1589</v>
      </c>
      <c r="L458" s="8" t="n">
        <v>594467.05</v>
      </c>
      <c r="M458" s="9" t="n">
        <v>0.0337261835167517</v>
      </c>
      <c r="N458" s="8" t="n">
        <v>0.747722663974084</v>
      </c>
      <c r="O458" s="8" t="n">
        <v>11.1847828823159</v>
      </c>
      <c r="P458" s="10" t="n">
        <v>33.4484758015419</v>
      </c>
      <c r="Q458" s="9" t="n">
        <v>0.0668517817325087</v>
      </c>
    </row>
    <row r="459" customFormat="false" ht="15" hidden="false" customHeight="false" outlineLevel="0" collapsed="false">
      <c r="A459" s="6" t="n">
        <v>1496</v>
      </c>
      <c r="B459" s="6" t="s">
        <v>74</v>
      </c>
      <c r="C459" s="6" t="s">
        <v>50</v>
      </c>
      <c r="D459" s="7" t="n">
        <v>45331</v>
      </c>
      <c r="E459" s="7" t="n">
        <v>45361</v>
      </c>
      <c r="F459" s="6" t="s">
        <v>67</v>
      </c>
      <c r="G459" s="6" t="s">
        <v>72</v>
      </c>
      <c r="H459" s="8" t="n">
        <v>70319.98</v>
      </c>
      <c r="I459" s="6" t="n">
        <v>2774210</v>
      </c>
      <c r="J459" s="6" t="n">
        <v>78603</v>
      </c>
      <c r="K459" s="6" t="n">
        <v>1592</v>
      </c>
      <c r="L459" s="8" t="n">
        <v>898335.77</v>
      </c>
      <c r="M459" s="9" t="n">
        <v>0.0283334715108085</v>
      </c>
      <c r="N459" s="8" t="n">
        <v>0.894622088215462</v>
      </c>
      <c r="O459" s="8" t="n">
        <v>44.1708417085427</v>
      </c>
      <c r="P459" s="10" t="n">
        <v>12.7749719212093</v>
      </c>
      <c r="Q459" s="9" t="n">
        <v>0.0202536798849917</v>
      </c>
    </row>
    <row r="460" customFormat="false" ht="15" hidden="false" customHeight="false" outlineLevel="0" collapsed="false">
      <c r="A460" s="6" t="n">
        <v>1029</v>
      </c>
      <c r="B460" s="6" t="s">
        <v>78</v>
      </c>
      <c r="C460" s="6" t="s">
        <v>59</v>
      </c>
      <c r="D460" s="7" t="n">
        <v>45528</v>
      </c>
      <c r="E460" s="7" t="n">
        <v>45538</v>
      </c>
      <c r="F460" s="6" t="s">
        <v>56</v>
      </c>
      <c r="G460" s="6" t="s">
        <v>54</v>
      </c>
      <c r="H460" s="8" t="n">
        <v>34511.72</v>
      </c>
      <c r="I460" s="6" t="n">
        <v>800113</v>
      </c>
      <c r="J460" s="6" t="n">
        <v>14914</v>
      </c>
      <c r="K460" s="6" t="n">
        <v>501</v>
      </c>
      <c r="L460" s="8" t="n">
        <v>814364.47</v>
      </c>
      <c r="M460" s="9" t="n">
        <v>0.0186398671187695</v>
      </c>
      <c r="N460" s="8" t="n">
        <v>2.31404854499128</v>
      </c>
      <c r="O460" s="8" t="n">
        <v>68.8856686626747</v>
      </c>
      <c r="P460" s="10" t="n">
        <v>23.59675119061</v>
      </c>
      <c r="Q460" s="9" t="n">
        <v>0.0335925975593402</v>
      </c>
    </row>
    <row r="461" customFormat="false" ht="15" hidden="false" customHeight="false" outlineLevel="0" collapsed="false">
      <c r="A461" s="6" t="n">
        <v>1448</v>
      </c>
      <c r="B461" s="6" t="s">
        <v>55</v>
      </c>
      <c r="C461" s="6" t="s">
        <v>50</v>
      </c>
      <c r="D461" s="7" t="n">
        <v>45422</v>
      </c>
      <c r="E461" s="7" t="n">
        <v>45434</v>
      </c>
      <c r="F461" s="6" t="s">
        <v>56</v>
      </c>
      <c r="G461" s="6" t="s">
        <v>57</v>
      </c>
      <c r="H461" s="8" t="n">
        <v>50483.93</v>
      </c>
      <c r="I461" s="6" t="n">
        <v>1593531</v>
      </c>
      <c r="J461" s="6" t="n">
        <v>15684</v>
      </c>
      <c r="K461" s="6" t="n">
        <v>284</v>
      </c>
      <c r="L461" s="8" t="n">
        <v>137411.53</v>
      </c>
      <c r="M461" s="9" t="n">
        <v>0.00984229362340613</v>
      </c>
      <c r="N461" s="8" t="n">
        <v>3.21881726600357</v>
      </c>
      <c r="O461" s="8" t="n">
        <v>177.760316901408</v>
      </c>
      <c r="P461" s="10" t="n">
        <v>2.72188654884832</v>
      </c>
      <c r="Q461" s="9" t="n">
        <v>0.0181076256057128</v>
      </c>
    </row>
    <row r="462" customFormat="false" ht="15" hidden="false" customHeight="false" outlineLevel="0" collapsed="false">
      <c r="A462" s="6" t="n">
        <v>1099</v>
      </c>
      <c r="B462" s="6" t="s">
        <v>78</v>
      </c>
      <c r="C462" s="6" t="s">
        <v>71</v>
      </c>
      <c r="D462" s="7" t="n">
        <v>45323</v>
      </c>
      <c r="E462" s="7" t="n">
        <v>45350</v>
      </c>
      <c r="F462" s="6" t="s">
        <v>51</v>
      </c>
      <c r="G462" s="6" t="s">
        <v>49</v>
      </c>
      <c r="H462" s="8" t="n">
        <v>34971.53</v>
      </c>
      <c r="I462" s="6" t="n">
        <v>1014949</v>
      </c>
      <c r="J462" s="6" t="n">
        <v>35466</v>
      </c>
      <c r="K462" s="6" t="n">
        <v>1542</v>
      </c>
      <c r="L462" s="8" t="n">
        <v>1382242.52</v>
      </c>
      <c r="M462" s="9" t="n">
        <v>0.0349436277093726</v>
      </c>
      <c r="N462" s="8" t="n">
        <v>0.986057914622455</v>
      </c>
      <c r="O462" s="8" t="n">
        <v>22.6793320363165</v>
      </c>
      <c r="P462" s="10" t="n">
        <v>39.5247940253115</v>
      </c>
      <c r="Q462" s="9" t="n">
        <v>0.0434782608695652</v>
      </c>
    </row>
    <row r="463" customFormat="false" ht="15" hidden="false" customHeight="false" outlineLevel="0" collapsed="false">
      <c r="A463" s="6" t="n">
        <v>1491</v>
      </c>
      <c r="B463" s="6" t="s">
        <v>79</v>
      </c>
      <c r="C463" s="6" t="s">
        <v>63</v>
      </c>
      <c r="D463" s="7" t="n">
        <v>45527</v>
      </c>
      <c r="E463" s="7" t="n">
        <v>45537</v>
      </c>
      <c r="F463" s="6" t="s">
        <v>56</v>
      </c>
      <c r="G463" s="6" t="s">
        <v>61</v>
      </c>
      <c r="H463" s="8" t="n">
        <v>14309.84</v>
      </c>
      <c r="I463" s="6" t="n">
        <v>390128</v>
      </c>
      <c r="J463" s="6" t="n">
        <v>10488</v>
      </c>
      <c r="K463" s="6" t="n">
        <v>580</v>
      </c>
      <c r="L463" s="8" t="n">
        <v>220700.78</v>
      </c>
      <c r="M463" s="9" t="n">
        <v>0.0268834843948653</v>
      </c>
      <c r="N463" s="8" t="n">
        <v>1.36440122044241</v>
      </c>
      <c r="O463" s="8" t="n">
        <v>24.6721379310345</v>
      </c>
      <c r="P463" s="10" t="n">
        <v>15.4230082237118</v>
      </c>
      <c r="Q463" s="9" t="n">
        <v>0.055301296720061</v>
      </c>
    </row>
    <row r="464" customFormat="false" ht="15" hidden="false" customHeight="false" outlineLevel="0" collapsed="false">
      <c r="A464" s="6" t="n">
        <v>1010</v>
      </c>
      <c r="B464" s="6" t="s">
        <v>68</v>
      </c>
      <c r="C464" s="6" t="s">
        <v>50</v>
      </c>
      <c r="D464" s="7" t="n">
        <v>45416</v>
      </c>
      <c r="E464" s="7" t="n">
        <v>45446</v>
      </c>
      <c r="F464" s="6" t="s">
        <v>51</v>
      </c>
      <c r="G464" s="6" t="s">
        <v>61</v>
      </c>
      <c r="H464" s="8" t="n">
        <v>66524.79</v>
      </c>
      <c r="I464" s="6" t="n">
        <v>1314546</v>
      </c>
      <c r="J464" s="6" t="n">
        <v>10395</v>
      </c>
      <c r="K464" s="6" t="n">
        <v>417</v>
      </c>
      <c r="L464" s="8" t="n">
        <v>402066.81</v>
      </c>
      <c r="M464" s="9" t="n">
        <v>0.00790767306735557</v>
      </c>
      <c r="N464" s="8" t="n">
        <v>6.3996911976912</v>
      </c>
      <c r="O464" s="8" t="n">
        <v>159.531870503597</v>
      </c>
      <c r="P464" s="10" t="n">
        <v>6.04386440002291</v>
      </c>
      <c r="Q464" s="9" t="n">
        <v>0.0401154401154401</v>
      </c>
    </row>
    <row r="465" customFormat="false" ht="15" hidden="false" customHeight="false" outlineLevel="0" collapsed="false">
      <c r="A465" s="6" t="n">
        <v>1434</v>
      </c>
      <c r="B465" s="6" t="s">
        <v>64</v>
      </c>
      <c r="C465" s="6" t="s">
        <v>63</v>
      </c>
      <c r="D465" s="7" t="n">
        <v>45501</v>
      </c>
      <c r="E465" s="7" t="n">
        <v>45520</v>
      </c>
      <c r="F465" s="6" t="s">
        <v>48</v>
      </c>
      <c r="G465" s="6" t="s">
        <v>72</v>
      </c>
      <c r="H465" s="8" t="n">
        <v>17121.73</v>
      </c>
      <c r="I465" s="6" t="n">
        <v>473443</v>
      </c>
      <c r="J465" s="6" t="n">
        <v>8931</v>
      </c>
      <c r="K465" s="6" t="n">
        <v>135</v>
      </c>
      <c r="L465" s="8" t="n">
        <v>183195.58</v>
      </c>
      <c r="M465" s="9" t="n">
        <v>0.0188639392704085</v>
      </c>
      <c r="N465" s="8" t="n">
        <v>1.91711230545292</v>
      </c>
      <c r="O465" s="8" t="n">
        <v>126.82762962963</v>
      </c>
      <c r="P465" s="10" t="n">
        <v>10.6995951927755</v>
      </c>
      <c r="Q465" s="9" t="n">
        <v>0.0151158884783339</v>
      </c>
    </row>
    <row r="466" customFormat="false" ht="15" hidden="false" customHeight="false" outlineLevel="0" collapsed="false">
      <c r="A466" s="6" t="n">
        <v>1656</v>
      </c>
      <c r="B466" s="6" t="s">
        <v>73</v>
      </c>
      <c r="C466" s="6" t="s">
        <v>50</v>
      </c>
      <c r="D466" s="7" t="n">
        <v>45411</v>
      </c>
      <c r="E466" s="7" t="n">
        <v>45422</v>
      </c>
      <c r="F466" s="6" t="s">
        <v>67</v>
      </c>
      <c r="G466" s="6" t="s">
        <v>72</v>
      </c>
      <c r="H466" s="8" t="n">
        <v>11910.75</v>
      </c>
      <c r="I466" s="6" t="n">
        <v>439994</v>
      </c>
      <c r="J466" s="6" t="n">
        <v>14665</v>
      </c>
      <c r="K466" s="6" t="n">
        <v>273</v>
      </c>
      <c r="L466" s="8" t="n">
        <v>1193969.55</v>
      </c>
      <c r="M466" s="9" t="n">
        <v>0.0333299999545448</v>
      </c>
      <c r="N466" s="8" t="n">
        <v>0.81218888510058</v>
      </c>
      <c r="O466" s="8" t="n">
        <v>43.6291208791209</v>
      </c>
      <c r="P466" s="10" t="n">
        <v>100.24301996096</v>
      </c>
      <c r="Q466" s="9" t="n">
        <v>0.0186157517899761</v>
      </c>
    </row>
    <row r="467" customFormat="false" ht="15" hidden="false" customHeight="false" outlineLevel="0" collapsed="false">
      <c r="A467" s="6" t="n">
        <v>1540</v>
      </c>
      <c r="B467" s="6" t="s">
        <v>46</v>
      </c>
      <c r="C467" s="6" t="s">
        <v>63</v>
      </c>
      <c r="D467" s="7" t="n">
        <v>45448</v>
      </c>
      <c r="E467" s="7" t="n">
        <v>45475</v>
      </c>
      <c r="F467" s="6" t="s">
        <v>51</v>
      </c>
      <c r="G467" s="6" t="s">
        <v>54</v>
      </c>
      <c r="H467" s="8" t="n">
        <v>13490.23</v>
      </c>
      <c r="I467" s="6" t="n">
        <v>432173</v>
      </c>
      <c r="J467" s="6" t="n">
        <v>4321</v>
      </c>
      <c r="K467" s="6" t="n">
        <v>143</v>
      </c>
      <c r="L467" s="8" t="n">
        <v>144439.1</v>
      </c>
      <c r="M467" s="9" t="n">
        <v>0.00999831086162254</v>
      </c>
      <c r="N467" s="8" t="n">
        <v>3.12201573709789</v>
      </c>
      <c r="O467" s="8" t="n">
        <v>94.3372727272727</v>
      </c>
      <c r="P467" s="10" t="n">
        <v>10.7069412456274</v>
      </c>
      <c r="Q467" s="9" t="n">
        <v>0.0330941911594538</v>
      </c>
    </row>
    <row r="468" customFormat="false" ht="15" hidden="false" customHeight="false" outlineLevel="0" collapsed="false">
      <c r="A468" s="6" t="n">
        <v>1691</v>
      </c>
      <c r="B468" s="6" t="s">
        <v>74</v>
      </c>
      <c r="C468" s="6" t="s">
        <v>59</v>
      </c>
      <c r="D468" s="7" t="n">
        <v>45571</v>
      </c>
      <c r="E468" s="7" t="n">
        <v>45596</v>
      </c>
      <c r="F468" s="6" t="s">
        <v>60</v>
      </c>
      <c r="G468" s="6" t="s">
        <v>72</v>
      </c>
      <c r="H468" s="8" t="n">
        <v>36192.12</v>
      </c>
      <c r="I468" s="6" t="n">
        <v>665460</v>
      </c>
      <c r="J468" s="6" t="n">
        <v>18570</v>
      </c>
      <c r="K468" s="6" t="n">
        <v>566</v>
      </c>
      <c r="L468" s="8" t="n">
        <v>712136.64</v>
      </c>
      <c r="M468" s="9" t="n">
        <v>0.0279055089712379</v>
      </c>
      <c r="N468" s="8" t="n">
        <v>1.9489563812601</v>
      </c>
      <c r="O468" s="8" t="n">
        <v>63.9436749116608</v>
      </c>
      <c r="P468" s="10" t="n">
        <v>19.6765660591311</v>
      </c>
      <c r="Q468" s="9" t="n">
        <v>0.030479267635972</v>
      </c>
    </row>
    <row r="469" customFormat="false" ht="15" hidden="false" customHeight="false" outlineLevel="0" collapsed="false">
      <c r="A469" s="6" t="n">
        <v>1492</v>
      </c>
      <c r="B469" s="6" t="s">
        <v>66</v>
      </c>
      <c r="C469" s="6" t="s">
        <v>59</v>
      </c>
      <c r="D469" s="7" t="n">
        <v>45298</v>
      </c>
      <c r="E469" s="7" t="n">
        <v>45322</v>
      </c>
      <c r="F469" s="6" t="s">
        <v>56</v>
      </c>
      <c r="G469" s="6" t="s">
        <v>49</v>
      </c>
      <c r="H469" s="8" t="n">
        <v>43340.63</v>
      </c>
      <c r="I469" s="6" t="n">
        <v>672555</v>
      </c>
      <c r="J469" s="6" t="n">
        <v>20040</v>
      </c>
      <c r="K469" s="6" t="n">
        <v>1271</v>
      </c>
      <c r="L469" s="8" t="n">
        <v>1632598.31</v>
      </c>
      <c r="M469" s="9" t="n">
        <v>0.0297968195909628</v>
      </c>
      <c r="N469" s="8" t="n">
        <v>2.16270608782435</v>
      </c>
      <c r="O469" s="8" t="n">
        <v>34.0996302124312</v>
      </c>
      <c r="P469" s="10" t="n">
        <v>37.6690027348472</v>
      </c>
      <c r="Q469" s="9" t="n">
        <v>0.0634231536926148</v>
      </c>
    </row>
    <row r="470" customFormat="false" ht="15" hidden="false" customHeight="false" outlineLevel="0" collapsed="false">
      <c r="A470" s="6" t="n">
        <v>1680</v>
      </c>
      <c r="B470" s="6" t="s">
        <v>79</v>
      </c>
      <c r="C470" s="6" t="s">
        <v>47</v>
      </c>
      <c r="D470" s="7" t="n">
        <v>45417</v>
      </c>
      <c r="E470" s="7" t="n">
        <v>45429</v>
      </c>
      <c r="F470" s="6" t="s">
        <v>65</v>
      </c>
      <c r="G470" s="6" t="s">
        <v>72</v>
      </c>
      <c r="H470" s="8" t="n">
        <v>5535.27</v>
      </c>
      <c r="I470" s="6" t="n">
        <v>112915</v>
      </c>
      <c r="J470" s="6" t="n">
        <v>606</v>
      </c>
      <c r="K470" s="6" t="n">
        <v>16</v>
      </c>
      <c r="L470" s="8" t="n">
        <v>6081.96</v>
      </c>
      <c r="M470" s="9" t="n">
        <v>0.00536686888367356</v>
      </c>
      <c r="N470" s="8" t="n">
        <v>9.13410891089109</v>
      </c>
      <c r="O470" s="8" t="n">
        <v>345.954375</v>
      </c>
      <c r="P470" s="10" t="n">
        <v>1.0987648298999</v>
      </c>
      <c r="Q470" s="9" t="n">
        <v>0.0264026402640264</v>
      </c>
    </row>
    <row r="471" customFormat="false" ht="15" hidden="false" customHeight="false" outlineLevel="0" collapsed="false">
      <c r="A471" s="6" t="n">
        <v>1588</v>
      </c>
      <c r="B471" s="6" t="s">
        <v>58</v>
      </c>
      <c r="C471" s="6" t="s">
        <v>47</v>
      </c>
      <c r="D471" s="7" t="n">
        <v>45618</v>
      </c>
      <c r="E471" s="7" t="n">
        <v>45634</v>
      </c>
      <c r="F471" s="6" t="s">
        <v>65</v>
      </c>
      <c r="G471" s="6" t="s">
        <v>49</v>
      </c>
      <c r="H471" s="8" t="n">
        <v>4713.23</v>
      </c>
      <c r="I471" s="6" t="n">
        <v>183148</v>
      </c>
      <c r="J471" s="6" t="n">
        <v>5739</v>
      </c>
      <c r="K471" s="6" t="n">
        <v>395</v>
      </c>
      <c r="L471" s="8" t="n">
        <v>639428.63</v>
      </c>
      <c r="M471" s="9" t="n">
        <v>0.0313353135169371</v>
      </c>
      <c r="N471" s="8" t="n">
        <v>0.821263286286809</v>
      </c>
      <c r="O471" s="8" t="n">
        <v>11.9322278481013</v>
      </c>
      <c r="P471" s="10" t="n">
        <v>135.666757191989</v>
      </c>
      <c r="Q471" s="9" t="n">
        <v>0.068827321833072</v>
      </c>
    </row>
    <row r="472" customFormat="false" ht="15" hidden="false" customHeight="false" outlineLevel="0" collapsed="false">
      <c r="A472" s="6" t="n">
        <v>1356</v>
      </c>
      <c r="B472" s="6" t="s">
        <v>64</v>
      </c>
      <c r="C472" s="6" t="s">
        <v>63</v>
      </c>
      <c r="D472" s="7" t="n">
        <v>45587</v>
      </c>
      <c r="E472" s="7" t="n">
        <v>45607</v>
      </c>
      <c r="F472" s="6" t="s">
        <v>56</v>
      </c>
      <c r="G472" s="6" t="s">
        <v>57</v>
      </c>
      <c r="H472" s="8" t="n">
        <v>35075.47</v>
      </c>
      <c r="I472" s="6" t="n">
        <v>1248606</v>
      </c>
      <c r="J472" s="6" t="n">
        <v>41382</v>
      </c>
      <c r="K472" s="6" t="n">
        <v>1189</v>
      </c>
      <c r="L472" s="8" t="n">
        <v>1515966.94</v>
      </c>
      <c r="M472" s="9" t="n">
        <v>0.0331425605835628</v>
      </c>
      <c r="N472" s="8" t="n">
        <v>0.847602097530327</v>
      </c>
      <c r="O472" s="8" t="n">
        <v>29.4999747687132</v>
      </c>
      <c r="P472" s="10" t="n">
        <v>43.2201461591249</v>
      </c>
      <c r="Q472" s="9" t="n">
        <v>0.0287322990672273</v>
      </c>
    </row>
    <row r="473" customFormat="false" ht="15" hidden="false" customHeight="false" outlineLevel="0" collapsed="false">
      <c r="A473" s="6" t="n">
        <v>1266</v>
      </c>
      <c r="B473" s="6" t="s">
        <v>52</v>
      </c>
      <c r="C473" s="6" t="s">
        <v>50</v>
      </c>
      <c r="D473" s="7" t="n">
        <v>45411</v>
      </c>
      <c r="E473" s="7" t="n">
        <v>45422</v>
      </c>
      <c r="F473" s="6" t="s">
        <v>69</v>
      </c>
      <c r="G473" s="6" t="s">
        <v>49</v>
      </c>
      <c r="H473" s="8" t="n">
        <v>36167.46</v>
      </c>
      <c r="I473" s="6" t="n">
        <v>1227644</v>
      </c>
      <c r="J473" s="6" t="n">
        <v>37544</v>
      </c>
      <c r="K473" s="6" t="n">
        <v>670</v>
      </c>
      <c r="L473" s="8" t="n">
        <v>287483.68</v>
      </c>
      <c r="M473" s="9" t="n">
        <v>0.0305821557389602</v>
      </c>
      <c r="N473" s="8" t="n">
        <v>0.96333528659706</v>
      </c>
      <c r="O473" s="8" t="n">
        <v>53.9812835820896</v>
      </c>
      <c r="P473" s="10" t="n">
        <v>7.94868315330963</v>
      </c>
      <c r="Q473" s="9" t="n">
        <v>0.0178457276795227</v>
      </c>
    </row>
    <row r="474" customFormat="false" ht="15" hidden="false" customHeight="false" outlineLevel="0" collapsed="false">
      <c r="A474" s="6" t="n">
        <v>1729</v>
      </c>
      <c r="B474" s="6" t="s">
        <v>66</v>
      </c>
      <c r="C474" s="6" t="s">
        <v>63</v>
      </c>
      <c r="D474" s="7" t="n">
        <v>45339</v>
      </c>
      <c r="E474" s="7" t="n">
        <v>45368</v>
      </c>
      <c r="F474" s="6" t="s">
        <v>65</v>
      </c>
      <c r="G474" s="6" t="s">
        <v>54</v>
      </c>
      <c r="H474" s="8" t="n">
        <v>48782.06</v>
      </c>
      <c r="I474" s="6" t="n">
        <v>1144132</v>
      </c>
      <c r="J474" s="6" t="n">
        <v>19884</v>
      </c>
      <c r="K474" s="6" t="n">
        <v>1243</v>
      </c>
      <c r="L474" s="8" t="n">
        <v>1322627.53</v>
      </c>
      <c r="M474" s="9" t="n">
        <v>0.0173791135987806</v>
      </c>
      <c r="N474" s="8" t="n">
        <v>2.4533323274995</v>
      </c>
      <c r="O474" s="8" t="n">
        <v>39.2454223652454</v>
      </c>
      <c r="P474" s="10" t="n">
        <v>27.1129905133158</v>
      </c>
      <c r="Q474" s="9" t="n">
        <v>0.0625125729229531</v>
      </c>
    </row>
    <row r="475" customFormat="false" ht="15" hidden="false" customHeight="false" outlineLevel="0" collapsed="false">
      <c r="A475" s="6" t="n">
        <v>1599</v>
      </c>
      <c r="B475" s="6" t="s">
        <v>64</v>
      </c>
      <c r="C475" s="6" t="s">
        <v>59</v>
      </c>
      <c r="D475" s="7" t="n">
        <v>45580</v>
      </c>
      <c r="E475" s="7" t="n">
        <v>45605</v>
      </c>
      <c r="F475" s="6" t="s">
        <v>48</v>
      </c>
      <c r="G475" s="6" t="s">
        <v>72</v>
      </c>
      <c r="H475" s="8" t="n">
        <v>25613.82</v>
      </c>
      <c r="I475" s="6" t="n">
        <v>719268</v>
      </c>
      <c r="J475" s="6" t="n">
        <v>8008</v>
      </c>
      <c r="K475" s="6" t="n">
        <v>424</v>
      </c>
      <c r="L475" s="8" t="n">
        <v>587659.11</v>
      </c>
      <c r="M475" s="9" t="n">
        <v>0.0111335413225668</v>
      </c>
      <c r="N475" s="8" t="n">
        <v>3.19852897102897</v>
      </c>
      <c r="O475" s="8" t="n">
        <v>60.4099528301887</v>
      </c>
      <c r="P475" s="10" t="n">
        <v>22.9430483231318</v>
      </c>
      <c r="Q475" s="9" t="n">
        <v>0.0529470529470529</v>
      </c>
    </row>
    <row r="476" customFormat="false" ht="15" hidden="false" customHeight="false" outlineLevel="0" collapsed="false">
      <c r="A476" s="6" t="n">
        <v>1223</v>
      </c>
      <c r="B476" s="6" t="s">
        <v>62</v>
      </c>
      <c r="C476" s="6" t="s">
        <v>63</v>
      </c>
      <c r="D476" s="7" t="n">
        <v>45477</v>
      </c>
      <c r="E476" s="7" t="n">
        <v>45501</v>
      </c>
      <c r="F476" s="6" t="s">
        <v>56</v>
      </c>
      <c r="G476" s="6" t="s">
        <v>72</v>
      </c>
      <c r="H476" s="8" t="n">
        <v>41946.02</v>
      </c>
      <c r="I476" s="6" t="n">
        <v>1322463</v>
      </c>
      <c r="J476" s="6" t="n">
        <v>23061</v>
      </c>
      <c r="K476" s="6" t="n">
        <v>763</v>
      </c>
      <c r="L476" s="8" t="n">
        <v>392442.27</v>
      </c>
      <c r="M476" s="9" t="n">
        <v>0.0174379169776395</v>
      </c>
      <c r="N476" s="8" t="n">
        <v>1.81891591865054</v>
      </c>
      <c r="O476" s="8" t="n">
        <v>54.975124508519</v>
      </c>
      <c r="P476" s="10" t="n">
        <v>9.35588811524908</v>
      </c>
      <c r="Q476" s="9" t="n">
        <v>0.0330861627856554</v>
      </c>
    </row>
    <row r="477" customFormat="false" ht="15" hidden="false" customHeight="false" outlineLevel="0" collapsed="false">
      <c r="A477" s="6" t="n">
        <v>1666</v>
      </c>
      <c r="B477" s="6" t="s">
        <v>76</v>
      </c>
      <c r="C477" s="6" t="s">
        <v>47</v>
      </c>
      <c r="D477" s="7" t="n">
        <v>45510</v>
      </c>
      <c r="E477" s="7" t="n">
        <v>45535</v>
      </c>
      <c r="F477" s="6" t="s">
        <v>48</v>
      </c>
      <c r="G477" s="6" t="s">
        <v>72</v>
      </c>
      <c r="H477" s="8" t="n">
        <v>7753.27</v>
      </c>
      <c r="I477" s="6" t="n">
        <v>140766</v>
      </c>
      <c r="J477" s="6" t="n">
        <v>1662</v>
      </c>
      <c r="K477" s="6" t="n">
        <v>69</v>
      </c>
      <c r="L477" s="8" t="n">
        <v>35269.25</v>
      </c>
      <c r="M477" s="9" t="n">
        <v>0.0118068283534376</v>
      </c>
      <c r="N477" s="8" t="n">
        <v>4.66502406738869</v>
      </c>
      <c r="O477" s="8" t="n">
        <v>112.366231884058</v>
      </c>
      <c r="P477" s="10" t="n">
        <v>4.54895160364595</v>
      </c>
      <c r="Q477" s="9" t="n">
        <v>0.0415162454873646</v>
      </c>
    </row>
    <row r="478" customFormat="false" ht="15" hidden="false" customHeight="false" outlineLevel="0" collapsed="false">
      <c r="A478" s="6" t="n">
        <v>1584</v>
      </c>
      <c r="B478" s="6" t="s">
        <v>58</v>
      </c>
      <c r="C478" s="6" t="s">
        <v>50</v>
      </c>
      <c r="D478" s="7" t="n">
        <v>45306</v>
      </c>
      <c r="E478" s="7" t="n">
        <v>45330</v>
      </c>
      <c r="F478" s="6" t="s">
        <v>56</v>
      </c>
      <c r="G478" s="6" t="s">
        <v>72</v>
      </c>
      <c r="H478" s="8" t="n">
        <v>77189.97</v>
      </c>
      <c r="I478" s="6" t="n">
        <v>2199585</v>
      </c>
      <c r="J478" s="6" t="n">
        <v>63721</v>
      </c>
      <c r="K478" s="6" t="n">
        <v>666</v>
      </c>
      <c r="L478" s="8" t="n">
        <v>1193969.55</v>
      </c>
      <c r="M478" s="9" t="n">
        <v>0.0289695556207194</v>
      </c>
      <c r="N478" s="8" t="n">
        <v>1.21137411528382</v>
      </c>
      <c r="O478" s="8" t="n">
        <v>115.900855855856</v>
      </c>
      <c r="P478" s="10" t="n">
        <v>15.4679364430379</v>
      </c>
      <c r="Q478" s="9" t="n">
        <v>0.010451813373927</v>
      </c>
    </row>
    <row r="479" customFormat="false" ht="15" hidden="false" customHeight="false" outlineLevel="0" collapsed="false">
      <c r="A479" s="6" t="n">
        <v>1480</v>
      </c>
      <c r="B479" s="6" t="s">
        <v>76</v>
      </c>
      <c r="C479" s="6" t="s">
        <v>47</v>
      </c>
      <c r="D479" s="7" t="n">
        <v>45359</v>
      </c>
      <c r="E479" s="7" t="n">
        <v>45367</v>
      </c>
      <c r="F479" s="6" t="s">
        <v>60</v>
      </c>
      <c r="G479" s="6" t="s">
        <v>72</v>
      </c>
      <c r="H479" s="8" t="n">
        <v>6548.99</v>
      </c>
      <c r="I479" s="6" t="n">
        <v>118884</v>
      </c>
      <c r="J479" s="6" t="n">
        <v>1821</v>
      </c>
      <c r="K479" s="6" t="n">
        <v>19</v>
      </c>
      <c r="L479" s="8" t="n">
        <v>25506.26</v>
      </c>
      <c r="M479" s="9" t="n">
        <v>0.01531745230645</v>
      </c>
      <c r="N479" s="8" t="n">
        <v>3.59637012630423</v>
      </c>
      <c r="O479" s="8" t="n">
        <v>344.683684210526</v>
      </c>
      <c r="P479" s="10" t="n">
        <v>3.89468605082616</v>
      </c>
      <c r="Q479" s="9" t="n">
        <v>0.0104338275672707</v>
      </c>
    </row>
    <row r="480" customFormat="false" ht="15" hidden="false" customHeight="false" outlineLevel="0" collapsed="false">
      <c r="A480" s="6" t="n">
        <v>1253</v>
      </c>
      <c r="B480" s="6" t="s">
        <v>52</v>
      </c>
      <c r="C480" s="6" t="s">
        <v>71</v>
      </c>
      <c r="D480" s="7" t="n">
        <v>45577</v>
      </c>
      <c r="E480" s="7" t="n">
        <v>45607</v>
      </c>
      <c r="F480" s="6" t="s">
        <v>48</v>
      </c>
      <c r="G480" s="6" t="s">
        <v>54</v>
      </c>
      <c r="H480" s="8" t="n">
        <v>47348.27</v>
      </c>
      <c r="I480" s="6" t="n">
        <v>1663729</v>
      </c>
      <c r="J480" s="6" t="n">
        <v>30215</v>
      </c>
      <c r="K480" s="6" t="n">
        <v>710</v>
      </c>
      <c r="L480" s="8" t="n">
        <v>958082.85</v>
      </c>
      <c r="M480" s="9" t="n">
        <v>0.0181610105972788</v>
      </c>
      <c r="N480" s="8" t="n">
        <v>1.56704517623697</v>
      </c>
      <c r="O480" s="8" t="n">
        <v>66.6877042253521</v>
      </c>
      <c r="P480" s="10" t="n">
        <v>20.2348016094358</v>
      </c>
      <c r="Q480" s="9" t="n">
        <v>0.0234982624524243</v>
      </c>
    </row>
    <row r="481" customFormat="false" ht="15" hidden="false" customHeight="false" outlineLevel="0" collapsed="false">
      <c r="A481" s="6" t="n">
        <v>1122</v>
      </c>
      <c r="B481" s="6" t="s">
        <v>76</v>
      </c>
      <c r="C481" s="6" t="s">
        <v>63</v>
      </c>
      <c r="D481" s="7" t="n">
        <v>45562</v>
      </c>
      <c r="E481" s="7" t="n">
        <v>45568</v>
      </c>
      <c r="F481" s="6" t="s">
        <v>53</v>
      </c>
      <c r="G481" s="6" t="s">
        <v>72</v>
      </c>
      <c r="H481" s="8" t="n">
        <v>15302.35</v>
      </c>
      <c r="I481" s="6" t="n">
        <v>561640</v>
      </c>
      <c r="J481" s="6" t="n">
        <v>17762</v>
      </c>
      <c r="K481" s="6" t="n">
        <v>768</v>
      </c>
      <c r="L481" s="8" t="n">
        <v>320651.41</v>
      </c>
      <c r="M481" s="9" t="n">
        <v>0.0316252403674952</v>
      </c>
      <c r="N481" s="8" t="n">
        <v>0.861521788086927</v>
      </c>
      <c r="O481" s="8" t="n">
        <v>19.9249348958333</v>
      </c>
      <c r="P481" s="10" t="n">
        <v>20.9543900119916</v>
      </c>
      <c r="Q481" s="9" t="n">
        <v>0.0432383740569756</v>
      </c>
    </row>
    <row r="482" customFormat="false" ht="15" hidden="false" customHeight="false" outlineLevel="0" collapsed="false">
      <c r="A482" s="6" t="n">
        <v>1571</v>
      </c>
      <c r="B482" s="6" t="s">
        <v>70</v>
      </c>
      <c r="C482" s="6" t="s">
        <v>71</v>
      </c>
      <c r="D482" s="7" t="n">
        <v>45311</v>
      </c>
      <c r="E482" s="7" t="n">
        <v>45335</v>
      </c>
      <c r="F482" s="6" t="s">
        <v>60</v>
      </c>
      <c r="G482" s="6" t="s">
        <v>61</v>
      </c>
      <c r="H482" s="8" t="n">
        <v>26808.13</v>
      </c>
      <c r="I482" s="6" t="n">
        <v>843940</v>
      </c>
      <c r="J482" s="6" t="n">
        <v>24029</v>
      </c>
      <c r="K482" s="6" t="n">
        <v>1603</v>
      </c>
      <c r="L482" s="8" t="n">
        <v>1974252.88</v>
      </c>
      <c r="M482" s="9" t="n">
        <v>0.028472403251416</v>
      </c>
      <c r="N482" s="8" t="n">
        <v>1.11565733072537</v>
      </c>
      <c r="O482" s="8" t="n">
        <v>16.7237242669994</v>
      </c>
      <c r="P482" s="10" t="n">
        <v>73.6438117839626</v>
      </c>
      <c r="Q482" s="9" t="n">
        <v>0.0667110574722211</v>
      </c>
    </row>
    <row r="483" customFormat="false" ht="15" hidden="false" customHeight="false" outlineLevel="0" collapsed="false">
      <c r="A483" s="6" t="n">
        <v>1406</v>
      </c>
      <c r="B483" s="6" t="s">
        <v>77</v>
      </c>
      <c r="C483" s="6" t="s">
        <v>59</v>
      </c>
      <c r="D483" s="7" t="n">
        <v>45399</v>
      </c>
      <c r="E483" s="7" t="n">
        <v>45423</v>
      </c>
      <c r="F483" s="6" t="s">
        <v>60</v>
      </c>
      <c r="G483" s="6" t="s">
        <v>61</v>
      </c>
      <c r="H483" s="8" t="n">
        <v>86806.29</v>
      </c>
      <c r="I483" s="6" t="n">
        <v>1992863</v>
      </c>
      <c r="J483" s="6" t="n">
        <v>50744</v>
      </c>
      <c r="K483" s="6" t="n">
        <v>1724</v>
      </c>
      <c r="L483" s="8" t="n">
        <v>1256749.06</v>
      </c>
      <c r="M483" s="9" t="n">
        <v>0.0254628642310084</v>
      </c>
      <c r="N483" s="8" t="n">
        <v>1.71067101529245</v>
      </c>
      <c r="O483" s="8" t="n">
        <v>50.3516763341067</v>
      </c>
      <c r="P483" s="10" t="n">
        <v>14.4776266788962</v>
      </c>
      <c r="Q483" s="9" t="n">
        <v>0.0339744600346839</v>
      </c>
    </row>
    <row r="484" customFormat="false" ht="15" hidden="false" customHeight="false" outlineLevel="0" collapsed="false">
      <c r="A484" s="6" t="n">
        <v>1569</v>
      </c>
      <c r="B484" s="6" t="s">
        <v>79</v>
      </c>
      <c r="C484" s="6" t="s">
        <v>71</v>
      </c>
      <c r="D484" s="7" t="n">
        <v>45569</v>
      </c>
      <c r="E484" s="7" t="n">
        <v>45598</v>
      </c>
      <c r="F484" s="6" t="s">
        <v>69</v>
      </c>
      <c r="G484" s="6" t="s">
        <v>57</v>
      </c>
      <c r="H484" s="8" t="n">
        <v>56735.64</v>
      </c>
      <c r="I484" s="6" t="n">
        <v>2141847</v>
      </c>
      <c r="J484" s="6" t="n">
        <v>59188</v>
      </c>
      <c r="K484" s="6" t="n">
        <v>1984</v>
      </c>
      <c r="L484" s="8" t="n">
        <v>3076843.69</v>
      </c>
      <c r="M484" s="9" t="n">
        <v>0.0276340933782852</v>
      </c>
      <c r="N484" s="8" t="n">
        <v>0.958566601338109</v>
      </c>
      <c r="O484" s="8" t="n">
        <v>28.5965927419355</v>
      </c>
      <c r="P484" s="10" t="n">
        <v>54.2312326079339</v>
      </c>
      <c r="Q484" s="9" t="n">
        <v>0.0335203081705751</v>
      </c>
    </row>
    <row r="485" customFormat="false" ht="15" hidden="false" customHeight="false" outlineLevel="0" collapsed="false">
      <c r="A485" s="6" t="n">
        <v>1562</v>
      </c>
      <c r="B485" s="6" t="s">
        <v>64</v>
      </c>
      <c r="C485" s="6" t="s">
        <v>71</v>
      </c>
      <c r="D485" s="7" t="n">
        <v>45323</v>
      </c>
      <c r="E485" s="7" t="n">
        <v>45335</v>
      </c>
      <c r="F485" s="6" t="s">
        <v>48</v>
      </c>
      <c r="G485" s="6" t="s">
        <v>54</v>
      </c>
      <c r="H485" s="8" t="n">
        <v>11791.42</v>
      </c>
      <c r="I485" s="6" t="n">
        <v>456327</v>
      </c>
      <c r="J485" s="6" t="n">
        <v>14661</v>
      </c>
      <c r="K485" s="6" t="n">
        <v>868</v>
      </c>
      <c r="L485" s="8" t="n">
        <v>956998.6</v>
      </c>
      <c r="M485" s="9" t="n">
        <v>0.0321282764333471</v>
      </c>
      <c r="N485" s="8" t="n">
        <v>0.804271195689244</v>
      </c>
      <c r="O485" s="8" t="n">
        <v>13.5845852534562</v>
      </c>
      <c r="P485" s="10" t="n">
        <v>81.1605896490838</v>
      </c>
      <c r="Q485" s="9" t="n">
        <v>0.0592046927221881</v>
      </c>
    </row>
    <row r="486" customFormat="false" ht="15" hidden="false" customHeight="false" outlineLevel="0" collapsed="false">
      <c r="A486" s="6" t="n">
        <v>1601</v>
      </c>
      <c r="B486" s="6" t="s">
        <v>73</v>
      </c>
      <c r="C486" s="6" t="s">
        <v>50</v>
      </c>
      <c r="D486" s="7" t="n">
        <v>45591</v>
      </c>
      <c r="E486" s="7" t="n">
        <v>45619</v>
      </c>
      <c r="F486" s="6" t="s">
        <v>60</v>
      </c>
      <c r="G486" s="6" t="s">
        <v>61</v>
      </c>
      <c r="H486" s="8" t="n">
        <v>35709.24</v>
      </c>
      <c r="I486" s="6" t="n">
        <v>1220353</v>
      </c>
      <c r="J486" s="6" t="n">
        <v>40307</v>
      </c>
      <c r="K486" s="6" t="n">
        <v>1986</v>
      </c>
      <c r="L486" s="8" t="n">
        <v>2542713.66</v>
      </c>
      <c r="M486" s="9" t="n">
        <v>0.0330289678478276</v>
      </c>
      <c r="N486" s="8" t="n">
        <v>0.885931475922296</v>
      </c>
      <c r="O486" s="8" t="n">
        <v>17.9804833836858</v>
      </c>
      <c r="P486" s="10" t="n">
        <v>71.2060424696801</v>
      </c>
      <c r="Q486" s="9" t="n">
        <v>0.0492718386384499</v>
      </c>
    </row>
    <row r="487" customFormat="false" ht="15" hidden="false" customHeight="false" outlineLevel="0" collapsed="false">
      <c r="A487" s="6" t="n">
        <v>1188</v>
      </c>
      <c r="B487" s="6" t="s">
        <v>70</v>
      </c>
      <c r="C487" s="6" t="s">
        <v>63</v>
      </c>
      <c r="D487" s="7" t="n">
        <v>45498</v>
      </c>
      <c r="E487" s="7" t="n">
        <v>45516</v>
      </c>
      <c r="F487" s="6" t="s">
        <v>60</v>
      </c>
      <c r="G487" s="6" t="s">
        <v>54</v>
      </c>
      <c r="H487" s="8" t="n">
        <v>22865.92</v>
      </c>
      <c r="I487" s="6" t="n">
        <v>364554</v>
      </c>
      <c r="J487" s="6" t="n">
        <v>4003</v>
      </c>
      <c r="K487" s="6" t="n">
        <v>144</v>
      </c>
      <c r="L487" s="8" t="n">
        <v>53339.3</v>
      </c>
      <c r="M487" s="9" t="n">
        <v>0.0109805406057813</v>
      </c>
      <c r="N487" s="8" t="n">
        <v>5.71219585311017</v>
      </c>
      <c r="O487" s="8" t="n">
        <v>158.791111111111</v>
      </c>
      <c r="P487" s="10" t="n">
        <v>2.33269861873041</v>
      </c>
      <c r="Q487" s="9" t="n">
        <v>0.0359730202348239</v>
      </c>
    </row>
    <row r="488" customFormat="false" ht="15" hidden="false" customHeight="false" outlineLevel="0" collapsed="false">
      <c r="A488" s="6" t="n">
        <v>1555</v>
      </c>
      <c r="B488" s="6" t="s">
        <v>74</v>
      </c>
      <c r="C488" s="6" t="s">
        <v>50</v>
      </c>
      <c r="D488" s="7" t="n">
        <v>45627</v>
      </c>
      <c r="E488" s="7" t="n">
        <v>45636</v>
      </c>
      <c r="F488" s="6" t="s">
        <v>56</v>
      </c>
      <c r="G488" s="6" t="s">
        <v>57</v>
      </c>
      <c r="H488" s="8" t="n">
        <v>55915.34</v>
      </c>
      <c r="I488" s="6" t="n">
        <v>1625945</v>
      </c>
      <c r="J488" s="6" t="n">
        <v>30542</v>
      </c>
      <c r="K488" s="6" t="n">
        <v>2141</v>
      </c>
      <c r="L488" s="8" t="n">
        <v>1184095</v>
      </c>
      <c r="M488" s="9" t="n">
        <v>0.0187841532155147</v>
      </c>
      <c r="N488" s="8" t="n">
        <v>1.83076877742126</v>
      </c>
      <c r="O488" s="8" t="n">
        <v>26.1164595983185</v>
      </c>
      <c r="P488" s="10" t="n">
        <v>21.1765680044153</v>
      </c>
      <c r="Q488" s="9" t="n">
        <v>0.0701001899024294</v>
      </c>
    </row>
    <row r="489" customFormat="false" ht="15" hidden="false" customHeight="false" outlineLevel="0" collapsed="false">
      <c r="A489" s="6" t="n">
        <v>1673</v>
      </c>
      <c r="B489" s="6" t="s">
        <v>78</v>
      </c>
      <c r="C489" s="6" t="s">
        <v>47</v>
      </c>
      <c r="D489" s="7" t="n">
        <v>45506</v>
      </c>
      <c r="E489" s="7" t="n">
        <v>45532</v>
      </c>
      <c r="F489" s="6" t="s">
        <v>48</v>
      </c>
      <c r="G489" s="6" t="s">
        <v>72</v>
      </c>
      <c r="H489" s="8" t="n">
        <v>7881.61</v>
      </c>
      <c r="I489" s="6" t="n">
        <v>134596</v>
      </c>
      <c r="J489" s="6" t="n">
        <v>1081</v>
      </c>
      <c r="K489" s="6" t="n">
        <v>71</v>
      </c>
      <c r="L489" s="8" t="n">
        <v>49840.52</v>
      </c>
      <c r="M489" s="9" t="n">
        <v>0.00803144224196856</v>
      </c>
      <c r="N489" s="8" t="n">
        <v>7.29103607770583</v>
      </c>
      <c r="O489" s="8" t="n">
        <v>111.008591549296</v>
      </c>
      <c r="P489" s="10" t="n">
        <v>6.32364707210836</v>
      </c>
      <c r="Q489" s="9" t="n">
        <v>0.0656799259944496</v>
      </c>
    </row>
    <row r="490" customFormat="false" ht="15" hidden="false" customHeight="false" outlineLevel="0" collapsed="false">
      <c r="A490" s="6" t="n">
        <v>1639</v>
      </c>
      <c r="B490" s="6" t="s">
        <v>58</v>
      </c>
      <c r="C490" s="6" t="s">
        <v>47</v>
      </c>
      <c r="D490" s="7" t="n">
        <v>45559</v>
      </c>
      <c r="E490" s="7" t="n">
        <v>45575</v>
      </c>
      <c r="F490" s="6" t="s">
        <v>48</v>
      </c>
      <c r="G490" s="6" t="s">
        <v>61</v>
      </c>
      <c r="H490" s="8" t="n">
        <v>4466.26</v>
      </c>
      <c r="I490" s="6" t="n">
        <v>191487</v>
      </c>
      <c r="J490" s="6" t="n">
        <v>1928</v>
      </c>
      <c r="K490" s="6" t="n">
        <v>90</v>
      </c>
      <c r="L490" s="8" t="n">
        <v>54388.05</v>
      </c>
      <c r="M490" s="9" t="n">
        <v>0.0100685686234575</v>
      </c>
      <c r="N490" s="8" t="n">
        <v>2.31652489626556</v>
      </c>
      <c r="O490" s="8" t="n">
        <v>49.6251111111111</v>
      </c>
      <c r="P490" s="10" t="n">
        <v>12.1775378056808</v>
      </c>
      <c r="Q490" s="9" t="n">
        <v>0.0466804979253112</v>
      </c>
    </row>
    <row r="491" customFormat="false" ht="15" hidden="false" customHeight="false" outlineLevel="0" collapsed="false">
      <c r="A491" s="6" t="n">
        <v>1209</v>
      </c>
      <c r="B491" s="6" t="s">
        <v>68</v>
      </c>
      <c r="C491" s="6" t="s">
        <v>47</v>
      </c>
      <c r="D491" s="7" t="n">
        <v>45558</v>
      </c>
      <c r="E491" s="7" t="n">
        <v>45565</v>
      </c>
      <c r="F491" s="6" t="s">
        <v>56</v>
      </c>
      <c r="G491" s="6" t="s">
        <v>72</v>
      </c>
      <c r="H491" s="8" t="n">
        <v>2115.59</v>
      </c>
      <c r="I491" s="6" t="n">
        <v>60457</v>
      </c>
      <c r="J491" s="6" t="n">
        <v>1033</v>
      </c>
      <c r="K491" s="6" t="n">
        <v>35</v>
      </c>
      <c r="L491" s="8" t="n">
        <v>57082.38</v>
      </c>
      <c r="M491" s="9" t="n">
        <v>0.0170865243065319</v>
      </c>
      <c r="N491" s="8" t="n">
        <v>2.04800580832527</v>
      </c>
      <c r="O491" s="8" t="n">
        <v>60.4454285714286</v>
      </c>
      <c r="P491" s="10" t="n">
        <v>26.981778132814</v>
      </c>
      <c r="Q491" s="9" t="n">
        <v>0.0338818973862536</v>
      </c>
    </row>
    <row r="492" customFormat="false" ht="15" hidden="false" customHeight="false" outlineLevel="0" collapsed="false">
      <c r="A492" s="6" t="n">
        <v>1816</v>
      </c>
      <c r="B492" s="6" t="s">
        <v>52</v>
      </c>
      <c r="C492" s="6" t="s">
        <v>71</v>
      </c>
      <c r="D492" s="7" t="n">
        <v>45373</v>
      </c>
      <c r="E492" s="7" t="n">
        <v>45393</v>
      </c>
      <c r="F492" s="6" t="s">
        <v>53</v>
      </c>
      <c r="G492" s="6" t="s">
        <v>72</v>
      </c>
      <c r="H492" s="8" t="n">
        <v>8396.39</v>
      </c>
      <c r="I492" s="6" t="n">
        <v>204564</v>
      </c>
      <c r="J492" s="6" t="n">
        <v>4293</v>
      </c>
      <c r="K492" s="6" t="n">
        <v>248</v>
      </c>
      <c r="L492" s="8" t="n">
        <v>407886.98</v>
      </c>
      <c r="M492" s="9" t="n">
        <v>0.020986097260515</v>
      </c>
      <c r="N492" s="8" t="n">
        <v>1.95583275098998</v>
      </c>
      <c r="O492" s="8" t="n">
        <v>33.8564112903226</v>
      </c>
      <c r="P492" s="10" t="n">
        <v>48.5788511491248</v>
      </c>
      <c r="Q492" s="9" t="n">
        <v>0.0577684602841836</v>
      </c>
    </row>
    <row r="493" customFormat="false" ht="15" hidden="false" customHeight="false" outlineLevel="0" collapsed="false">
      <c r="A493" s="6" t="n">
        <v>1267</v>
      </c>
      <c r="B493" s="6" t="s">
        <v>52</v>
      </c>
      <c r="C493" s="6" t="s">
        <v>50</v>
      </c>
      <c r="D493" s="7" t="n">
        <v>45567</v>
      </c>
      <c r="E493" s="7" t="n">
        <v>45578</v>
      </c>
      <c r="F493" s="6" t="s">
        <v>65</v>
      </c>
      <c r="G493" s="6" t="s">
        <v>75</v>
      </c>
      <c r="H493" s="8" t="n">
        <v>48249.69</v>
      </c>
      <c r="I493" s="6" t="n">
        <v>1628855</v>
      </c>
      <c r="J493" s="6" t="n">
        <v>34961</v>
      </c>
      <c r="K493" s="6" t="n">
        <v>1874</v>
      </c>
      <c r="L493" s="8" t="n">
        <v>3352282.57</v>
      </c>
      <c r="M493" s="9" t="n">
        <v>0.0214635434093274</v>
      </c>
      <c r="N493" s="8" t="n">
        <v>1.38010039758588</v>
      </c>
      <c r="O493" s="8" t="n">
        <v>25.7468996798292</v>
      </c>
      <c r="P493" s="10" t="n">
        <v>69.4778053496302</v>
      </c>
      <c r="Q493" s="9" t="n">
        <v>0.0536025857383942</v>
      </c>
    </row>
    <row r="494" customFormat="false" ht="15" hidden="false" customHeight="false" outlineLevel="0" collapsed="false">
      <c r="A494" s="6" t="n">
        <v>1718</v>
      </c>
      <c r="B494" s="6" t="s">
        <v>70</v>
      </c>
      <c r="C494" s="6" t="s">
        <v>50</v>
      </c>
      <c r="D494" s="7" t="n">
        <v>45522</v>
      </c>
      <c r="E494" s="7" t="n">
        <v>45538</v>
      </c>
      <c r="F494" s="6" t="s">
        <v>48</v>
      </c>
      <c r="G494" s="6" t="s">
        <v>57</v>
      </c>
      <c r="H494" s="8" t="n">
        <v>66767.58</v>
      </c>
      <c r="I494" s="6" t="n">
        <v>1619853</v>
      </c>
      <c r="J494" s="6" t="n">
        <v>22689</v>
      </c>
      <c r="K494" s="6" t="n">
        <v>1003</v>
      </c>
      <c r="L494" s="8" t="n">
        <v>1145004.24</v>
      </c>
      <c r="M494" s="9" t="n">
        <v>0.0140068265453717</v>
      </c>
      <c r="N494" s="8" t="n">
        <v>2.94272907576359</v>
      </c>
      <c r="O494" s="8" t="n">
        <v>66.5678763708873</v>
      </c>
      <c r="P494" s="10" t="n">
        <v>17.1491049997619</v>
      </c>
      <c r="Q494" s="9" t="n">
        <v>0.0442064436511085</v>
      </c>
    </row>
    <row r="495" customFormat="false" ht="15" hidden="false" customHeight="false" outlineLevel="0" collapsed="false">
      <c r="A495" s="6" t="n">
        <v>1151</v>
      </c>
      <c r="B495" s="6" t="s">
        <v>66</v>
      </c>
      <c r="C495" s="6" t="s">
        <v>71</v>
      </c>
      <c r="D495" s="7" t="n">
        <v>45353</v>
      </c>
      <c r="E495" s="7" t="n">
        <v>45358</v>
      </c>
      <c r="F495" s="6" t="s">
        <v>56</v>
      </c>
      <c r="G495" s="6" t="s">
        <v>57</v>
      </c>
      <c r="H495" s="8" t="n">
        <v>15135.01</v>
      </c>
      <c r="I495" s="6" t="n">
        <v>231319</v>
      </c>
      <c r="J495" s="6" t="n">
        <v>4601</v>
      </c>
      <c r="K495" s="6" t="n">
        <v>157</v>
      </c>
      <c r="L495" s="8" t="n">
        <v>172695.78</v>
      </c>
      <c r="M495" s="9" t="n">
        <v>0.0198902813863107</v>
      </c>
      <c r="N495" s="8" t="n">
        <v>3.28950445555314</v>
      </c>
      <c r="O495" s="8" t="n">
        <v>96.4013375796178</v>
      </c>
      <c r="P495" s="10" t="n">
        <v>11.4103512320111</v>
      </c>
      <c r="Q495" s="9" t="n">
        <v>0.0341230167354923</v>
      </c>
    </row>
    <row r="496" customFormat="false" ht="15" hidden="false" customHeight="false" outlineLevel="0" collapsed="false">
      <c r="A496" s="6" t="n">
        <v>1746</v>
      </c>
      <c r="B496" s="6" t="s">
        <v>55</v>
      </c>
      <c r="C496" s="6" t="s">
        <v>71</v>
      </c>
      <c r="D496" s="7" t="n">
        <v>45543</v>
      </c>
      <c r="E496" s="7" t="n">
        <v>45548</v>
      </c>
      <c r="F496" s="6" t="s">
        <v>48</v>
      </c>
      <c r="G496" s="6" t="s">
        <v>57</v>
      </c>
      <c r="H496" s="8" t="n">
        <v>10010.92</v>
      </c>
      <c r="I496" s="6" t="n">
        <v>272158</v>
      </c>
      <c r="J496" s="6" t="n">
        <v>8757</v>
      </c>
      <c r="K496" s="6" t="n">
        <v>378</v>
      </c>
      <c r="L496" s="8" t="n">
        <v>430321.13</v>
      </c>
      <c r="M496" s="9" t="n">
        <v>0.0321761623762667</v>
      </c>
      <c r="N496" s="8" t="n">
        <v>1.14319059038484</v>
      </c>
      <c r="O496" s="8" t="n">
        <v>26.4839153439153</v>
      </c>
      <c r="P496" s="10" t="n">
        <v>42.9851731908756</v>
      </c>
      <c r="Q496" s="9" t="n">
        <v>0.0431654676258993</v>
      </c>
    </row>
    <row r="497" customFormat="false" ht="15" hidden="false" customHeight="false" outlineLevel="0" collapsed="false">
      <c r="A497" s="6" t="n">
        <v>1439</v>
      </c>
      <c r="B497" s="6" t="s">
        <v>79</v>
      </c>
      <c r="C497" s="6" t="s">
        <v>63</v>
      </c>
      <c r="D497" s="7" t="n">
        <v>45502</v>
      </c>
      <c r="E497" s="7" t="n">
        <v>45516</v>
      </c>
      <c r="F497" s="6" t="s">
        <v>65</v>
      </c>
      <c r="G497" s="6" t="s">
        <v>75</v>
      </c>
      <c r="H497" s="8" t="n">
        <v>27981.35</v>
      </c>
      <c r="I497" s="6" t="n">
        <v>1112590</v>
      </c>
      <c r="J497" s="6" t="n">
        <v>29345</v>
      </c>
      <c r="K497" s="6" t="n">
        <v>1918</v>
      </c>
      <c r="L497" s="8" t="n">
        <v>3236096.91</v>
      </c>
      <c r="M497" s="9" t="n">
        <v>0.02637539435012</v>
      </c>
      <c r="N497" s="8" t="n">
        <v>0.953530414039871</v>
      </c>
      <c r="O497" s="8" t="n">
        <v>14.5888164754953</v>
      </c>
      <c r="P497" s="10" t="n">
        <v>115.651922083817</v>
      </c>
      <c r="Q497" s="9" t="n">
        <v>0.0653603680354404</v>
      </c>
    </row>
    <row r="498" customFormat="false" ht="15" hidden="false" customHeight="false" outlineLevel="0" collapsed="false">
      <c r="A498" s="6" t="n">
        <v>1382</v>
      </c>
      <c r="B498" s="6" t="s">
        <v>78</v>
      </c>
      <c r="C498" s="6" t="s">
        <v>47</v>
      </c>
      <c r="D498" s="7" t="n">
        <v>45591</v>
      </c>
      <c r="E498" s="7" t="n">
        <v>45603</v>
      </c>
      <c r="F498" s="6" t="s">
        <v>51</v>
      </c>
      <c r="G498" s="6" t="s">
        <v>49</v>
      </c>
      <c r="H498" s="8" t="n">
        <v>3063.82</v>
      </c>
      <c r="I498" s="6" t="n">
        <v>109489</v>
      </c>
      <c r="J498" s="6" t="n">
        <v>1834</v>
      </c>
      <c r="K498" s="6" t="n">
        <v>61</v>
      </c>
      <c r="L498" s="8" t="n">
        <v>30430.59</v>
      </c>
      <c r="M498" s="9" t="n">
        <v>0.0167505411502525</v>
      </c>
      <c r="N498" s="8" t="n">
        <v>1.67056706652127</v>
      </c>
      <c r="O498" s="8" t="n">
        <v>50.2265573770492</v>
      </c>
      <c r="P498" s="10" t="n">
        <v>9.93223818631643</v>
      </c>
      <c r="Q498" s="9" t="n">
        <v>0.0332606324972737</v>
      </c>
    </row>
    <row r="499" customFormat="false" ht="15" hidden="false" customHeight="false" outlineLevel="0" collapsed="false">
      <c r="A499" s="6" t="n">
        <v>1357</v>
      </c>
      <c r="B499" s="6" t="s">
        <v>68</v>
      </c>
      <c r="C499" s="6" t="s">
        <v>59</v>
      </c>
      <c r="D499" s="7" t="n">
        <v>45514</v>
      </c>
      <c r="E499" s="7" t="n">
        <v>45532</v>
      </c>
      <c r="F499" s="6" t="s">
        <v>67</v>
      </c>
      <c r="G499" s="6" t="s">
        <v>61</v>
      </c>
      <c r="H499" s="8" t="n">
        <v>79513.95</v>
      </c>
      <c r="I499" s="6" t="n">
        <v>3003913</v>
      </c>
      <c r="J499" s="6" t="n">
        <v>72147</v>
      </c>
      <c r="K499" s="6" t="n">
        <v>4993</v>
      </c>
      <c r="L499" s="8" t="n">
        <v>3680117.61</v>
      </c>
      <c r="M499" s="9" t="n">
        <v>0.0240176729485841</v>
      </c>
      <c r="N499" s="8" t="n">
        <v>1.1021102748555</v>
      </c>
      <c r="O499" s="8" t="n">
        <v>15.9250851191668</v>
      </c>
      <c r="P499" s="10" t="n">
        <v>46.2826662491299</v>
      </c>
      <c r="Q499" s="9" t="n">
        <v>0.0692059267883627</v>
      </c>
    </row>
    <row r="500" customFormat="false" ht="15" hidden="false" customHeight="false" outlineLevel="0" collapsed="false">
      <c r="A500" s="6" t="n">
        <v>1019</v>
      </c>
      <c r="B500" s="6" t="s">
        <v>74</v>
      </c>
      <c r="C500" s="6" t="s">
        <v>63</v>
      </c>
      <c r="D500" s="7" t="n">
        <v>45502</v>
      </c>
      <c r="E500" s="7" t="n">
        <v>45532</v>
      </c>
      <c r="F500" s="6" t="s">
        <v>48</v>
      </c>
      <c r="G500" s="6" t="s">
        <v>75</v>
      </c>
      <c r="H500" s="8" t="n">
        <v>44018.82</v>
      </c>
      <c r="I500" s="6" t="n">
        <v>1552488</v>
      </c>
      <c r="J500" s="6" t="n">
        <v>20188</v>
      </c>
      <c r="K500" s="6" t="n">
        <v>1314</v>
      </c>
      <c r="L500" s="8" t="n">
        <v>665854.6</v>
      </c>
      <c r="M500" s="9" t="n">
        <v>0.0130036431843596</v>
      </c>
      <c r="N500" s="8" t="n">
        <v>2.18044481870418</v>
      </c>
      <c r="O500" s="8" t="n">
        <v>33.4998630136986</v>
      </c>
      <c r="P500" s="10" t="n">
        <v>15.126589036235</v>
      </c>
      <c r="Q500" s="9" t="n">
        <v>0.0650881711908064</v>
      </c>
    </row>
    <row r="501" customFormat="false" ht="15" hidden="false" customHeight="false" outlineLevel="0" collapsed="false">
      <c r="A501" s="6" t="n">
        <v>1780</v>
      </c>
      <c r="B501" s="6" t="s">
        <v>74</v>
      </c>
      <c r="C501" s="6" t="s">
        <v>50</v>
      </c>
      <c r="D501" s="7" t="n">
        <v>45342</v>
      </c>
      <c r="E501" s="7" t="n">
        <v>45369</v>
      </c>
      <c r="F501" s="6" t="s">
        <v>56</v>
      </c>
      <c r="G501" s="6" t="s">
        <v>61</v>
      </c>
      <c r="H501" s="8" t="n">
        <v>45409.06</v>
      </c>
      <c r="I501" s="6" t="n">
        <v>1149581</v>
      </c>
      <c r="J501" s="6" t="n">
        <v>19537</v>
      </c>
      <c r="K501" s="6" t="n">
        <v>970</v>
      </c>
      <c r="L501" s="8" t="n">
        <v>760162.39</v>
      </c>
      <c r="M501" s="9" t="n">
        <v>0.0169948877025629</v>
      </c>
      <c r="N501" s="8" t="n">
        <v>2.32425960997082</v>
      </c>
      <c r="O501" s="8" t="n">
        <v>46.8134639175258</v>
      </c>
      <c r="P501" s="10" t="n">
        <v>16.7403242877082</v>
      </c>
      <c r="Q501" s="9" t="n">
        <v>0.0496493832215796</v>
      </c>
    </row>
    <row r="502" customFormat="false" ht="15" hidden="false" customHeight="false" outlineLevel="0" collapsed="false">
      <c r="A502" s="6" t="n">
        <v>1800</v>
      </c>
      <c r="B502" s="6" t="s">
        <v>52</v>
      </c>
      <c r="C502" s="6" t="s">
        <v>71</v>
      </c>
      <c r="D502" s="7" t="n">
        <v>45477</v>
      </c>
      <c r="E502" s="7" t="n">
        <v>45485</v>
      </c>
      <c r="F502" s="6" t="s">
        <v>53</v>
      </c>
      <c r="G502" s="6" t="s">
        <v>61</v>
      </c>
      <c r="H502" s="8" t="n">
        <v>58681.23</v>
      </c>
      <c r="I502" s="6" t="n">
        <v>2006896</v>
      </c>
      <c r="J502" s="6" t="n">
        <v>29199</v>
      </c>
      <c r="K502" s="6" t="n">
        <v>544</v>
      </c>
      <c r="L502" s="8" t="n">
        <v>645073.28</v>
      </c>
      <c r="M502" s="9" t="n">
        <v>0.0145493338967241</v>
      </c>
      <c r="N502" s="8" t="n">
        <v>2.00969998972568</v>
      </c>
      <c r="O502" s="8" t="n">
        <v>107.869908088235</v>
      </c>
      <c r="P502" s="10" t="n">
        <v>10.9928384255068</v>
      </c>
      <c r="Q502" s="9" t="n">
        <v>0.018630775026542</v>
      </c>
    </row>
    <row r="503" customFormat="false" ht="15" hidden="false" customHeight="false" outlineLevel="0" collapsed="false">
      <c r="A503" s="6" t="n">
        <v>1048</v>
      </c>
      <c r="B503" s="6" t="s">
        <v>66</v>
      </c>
      <c r="C503" s="6" t="s">
        <v>47</v>
      </c>
      <c r="D503" s="7" t="n">
        <v>45460</v>
      </c>
      <c r="E503" s="7" t="n">
        <v>45486</v>
      </c>
      <c r="F503" s="6" t="s">
        <v>53</v>
      </c>
      <c r="G503" s="6" t="s">
        <v>72</v>
      </c>
      <c r="H503" s="8" t="n">
        <v>3660.07</v>
      </c>
      <c r="I503" s="6" t="n">
        <v>83876</v>
      </c>
      <c r="J503" s="6" t="n">
        <v>2227</v>
      </c>
      <c r="K503" s="6" t="n">
        <v>140</v>
      </c>
      <c r="L503" s="8" t="n">
        <v>110861.2</v>
      </c>
      <c r="M503" s="9" t="n">
        <v>0.0265510992417378</v>
      </c>
      <c r="N503" s="8" t="n">
        <v>1.64349797934441</v>
      </c>
      <c r="O503" s="8" t="n">
        <v>26.1433571428571</v>
      </c>
      <c r="P503" s="10" t="n">
        <v>30.2893660503761</v>
      </c>
      <c r="Q503" s="9" t="n">
        <v>0.0628648405927256</v>
      </c>
    </row>
    <row r="504" customFormat="false" ht="15" hidden="false" customHeight="false" outlineLevel="0" collapsed="false">
      <c r="A504" s="6" t="n">
        <v>1040</v>
      </c>
      <c r="B504" s="6" t="s">
        <v>46</v>
      </c>
      <c r="C504" s="6" t="s">
        <v>47</v>
      </c>
      <c r="D504" s="7" t="n">
        <v>45623</v>
      </c>
      <c r="E504" s="7" t="n">
        <v>45632</v>
      </c>
      <c r="F504" s="6" t="s">
        <v>65</v>
      </c>
      <c r="G504" s="6" t="s">
        <v>57</v>
      </c>
      <c r="H504" s="8" t="n">
        <v>6786.42</v>
      </c>
      <c r="I504" s="6" t="n">
        <v>113911</v>
      </c>
      <c r="J504" s="6" t="n">
        <v>1136</v>
      </c>
      <c r="K504" s="6" t="n">
        <v>35</v>
      </c>
      <c r="L504" s="8" t="n">
        <v>50259.6</v>
      </c>
      <c r="M504" s="9" t="n">
        <v>0.00997269798351345</v>
      </c>
      <c r="N504" s="8" t="n">
        <v>5.97396126760563</v>
      </c>
      <c r="O504" s="8" t="n">
        <v>193.897714285714</v>
      </c>
      <c r="P504" s="10" t="n">
        <v>7.40590768033809</v>
      </c>
      <c r="Q504" s="9" t="n">
        <v>0.0308098591549296</v>
      </c>
    </row>
    <row r="505" customFormat="false" ht="15" hidden="false" customHeight="false" outlineLevel="0" collapsed="false">
      <c r="A505" s="6" t="n">
        <v>1215</v>
      </c>
      <c r="B505" s="6" t="s">
        <v>66</v>
      </c>
      <c r="C505" s="6" t="s">
        <v>59</v>
      </c>
      <c r="D505" s="7" t="n">
        <v>45448</v>
      </c>
      <c r="E505" s="7" t="n">
        <v>45459</v>
      </c>
      <c r="F505" s="6" t="s">
        <v>53</v>
      </c>
      <c r="G505" s="6" t="s">
        <v>49</v>
      </c>
      <c r="H505" s="8" t="n">
        <v>70607.29</v>
      </c>
      <c r="I505" s="6" t="n">
        <v>2340521</v>
      </c>
      <c r="J505" s="6" t="n">
        <v>26569</v>
      </c>
      <c r="K505" s="6" t="n">
        <v>1950</v>
      </c>
      <c r="L505" s="8" t="n">
        <v>3089999.9</v>
      </c>
      <c r="M505" s="9" t="n">
        <v>0.0113517460428682</v>
      </c>
      <c r="N505" s="8" t="n">
        <v>2.65750649252889</v>
      </c>
      <c r="O505" s="8" t="n">
        <v>36.2088666666667</v>
      </c>
      <c r="P505" s="10" t="n">
        <v>43.7631850762152</v>
      </c>
      <c r="Q505" s="9" t="n">
        <v>0.0733938048101171</v>
      </c>
    </row>
    <row r="506" customFormat="false" ht="15" hidden="false" customHeight="false" outlineLevel="0" collapsed="false">
      <c r="A506" s="6" t="n">
        <v>1173</v>
      </c>
      <c r="B506" s="6" t="s">
        <v>62</v>
      </c>
      <c r="C506" s="6" t="s">
        <v>59</v>
      </c>
      <c r="D506" s="7" t="n">
        <v>45530</v>
      </c>
      <c r="E506" s="7" t="n">
        <v>45543</v>
      </c>
      <c r="F506" s="6" t="s">
        <v>51</v>
      </c>
      <c r="G506" s="6" t="s">
        <v>75</v>
      </c>
      <c r="H506" s="8" t="n">
        <v>77780.91</v>
      </c>
      <c r="I506" s="6" t="n">
        <v>2263903</v>
      </c>
      <c r="J506" s="6" t="n">
        <v>21583</v>
      </c>
      <c r="K506" s="6" t="n">
        <v>1268</v>
      </c>
      <c r="L506" s="8" t="n">
        <v>621597.44</v>
      </c>
      <c r="M506" s="9" t="n">
        <v>0.00953353566826847</v>
      </c>
      <c r="N506" s="8" t="n">
        <v>3.60380438307928</v>
      </c>
      <c r="O506" s="8" t="n">
        <v>61.3414116719243</v>
      </c>
      <c r="P506" s="10" t="n">
        <v>7.9916452507434</v>
      </c>
      <c r="Q506" s="9" t="n">
        <v>0.0587499420840476</v>
      </c>
    </row>
    <row r="507" customFormat="false" ht="15" hidden="false" customHeight="false" outlineLevel="0" collapsed="false">
      <c r="A507" s="6" t="n">
        <v>1172</v>
      </c>
      <c r="B507" s="6" t="s">
        <v>52</v>
      </c>
      <c r="C507" s="6" t="s">
        <v>63</v>
      </c>
      <c r="D507" s="7" t="n">
        <v>45397</v>
      </c>
      <c r="E507" s="7" t="n">
        <v>45407</v>
      </c>
      <c r="F507" s="6" t="s">
        <v>69</v>
      </c>
      <c r="G507" s="6" t="s">
        <v>57</v>
      </c>
      <c r="H507" s="8" t="n">
        <v>18839.7</v>
      </c>
      <c r="I507" s="6" t="n">
        <v>321186</v>
      </c>
      <c r="J507" s="6" t="n">
        <v>9736</v>
      </c>
      <c r="K507" s="6" t="n">
        <v>307</v>
      </c>
      <c r="L507" s="8" t="n">
        <v>284382.59</v>
      </c>
      <c r="M507" s="9" t="n">
        <v>0.0303126537271238</v>
      </c>
      <c r="N507" s="8" t="n">
        <v>1.93505546425637</v>
      </c>
      <c r="O507" s="8" t="n">
        <v>61.3671009771987</v>
      </c>
      <c r="P507" s="10" t="n">
        <v>15.0948576675849</v>
      </c>
      <c r="Q507" s="9" t="n">
        <v>0.0315324568611339</v>
      </c>
    </row>
    <row r="508" customFormat="false" ht="15" hidden="false" customHeight="false" outlineLevel="0" collapsed="false">
      <c r="A508" s="6" t="n">
        <v>1141</v>
      </c>
      <c r="B508" s="6" t="s">
        <v>62</v>
      </c>
      <c r="C508" s="6" t="s">
        <v>59</v>
      </c>
      <c r="D508" s="7" t="n">
        <v>45359</v>
      </c>
      <c r="E508" s="7" t="n">
        <v>45371</v>
      </c>
      <c r="F508" s="6" t="s">
        <v>56</v>
      </c>
      <c r="G508" s="6" t="s">
        <v>54</v>
      </c>
      <c r="H508" s="8" t="n">
        <v>68354.61</v>
      </c>
      <c r="I508" s="6" t="n">
        <v>2441082</v>
      </c>
      <c r="J508" s="6" t="n">
        <v>67969</v>
      </c>
      <c r="K508" s="6" t="n">
        <v>3897</v>
      </c>
      <c r="L508" s="8" t="n">
        <v>4129709.95</v>
      </c>
      <c r="M508" s="9" t="n">
        <v>0.0278438004130955</v>
      </c>
      <c r="N508" s="8" t="n">
        <v>1.00567332166135</v>
      </c>
      <c r="O508" s="8" t="n">
        <v>17.5403156274057</v>
      </c>
      <c r="P508" s="10" t="n">
        <v>60.4159682865574</v>
      </c>
      <c r="Q508" s="9" t="n">
        <v>0.0573349615265783</v>
      </c>
    </row>
    <row r="509" customFormat="false" ht="15" hidden="false" customHeight="false" outlineLevel="0" collapsed="false">
      <c r="A509" s="6" t="n">
        <v>1463</v>
      </c>
      <c r="B509" s="6" t="s">
        <v>66</v>
      </c>
      <c r="C509" s="6" t="s">
        <v>50</v>
      </c>
      <c r="D509" s="7" t="n">
        <v>45378</v>
      </c>
      <c r="E509" s="7" t="n">
        <v>45384</v>
      </c>
      <c r="F509" s="6" t="s">
        <v>60</v>
      </c>
      <c r="G509" s="6" t="s">
        <v>61</v>
      </c>
      <c r="H509" s="8" t="n">
        <v>34890.87</v>
      </c>
      <c r="I509" s="6" t="n">
        <v>936711</v>
      </c>
      <c r="J509" s="6" t="n">
        <v>31241</v>
      </c>
      <c r="K509" s="6" t="n">
        <v>569</v>
      </c>
      <c r="L509" s="8" t="n">
        <v>624409.79</v>
      </c>
      <c r="M509" s="9" t="n">
        <v>0.0333518022100733</v>
      </c>
      <c r="N509" s="8" t="n">
        <v>1.11682948689223</v>
      </c>
      <c r="O509" s="8" t="n">
        <v>61.3196309314587</v>
      </c>
      <c r="P509" s="10" t="n">
        <v>17.8960796907615</v>
      </c>
      <c r="Q509" s="9" t="n">
        <v>0.0182132454146794</v>
      </c>
    </row>
    <row r="510" customFormat="false" ht="15" hidden="false" customHeight="false" outlineLevel="0" collapsed="false">
      <c r="A510" s="6" t="n">
        <v>1246</v>
      </c>
      <c r="B510" s="6" t="s">
        <v>77</v>
      </c>
      <c r="C510" s="6" t="s">
        <v>59</v>
      </c>
      <c r="D510" s="7" t="n">
        <v>45503</v>
      </c>
      <c r="E510" s="7" t="n">
        <v>45516</v>
      </c>
      <c r="F510" s="6" t="s">
        <v>48</v>
      </c>
      <c r="G510" s="6" t="s">
        <v>61</v>
      </c>
      <c r="H510" s="8" t="n">
        <v>50849.16</v>
      </c>
      <c r="I510" s="6" t="n">
        <v>566606</v>
      </c>
      <c r="J510" s="6" t="n">
        <v>16693</v>
      </c>
      <c r="K510" s="6" t="n">
        <v>1157</v>
      </c>
      <c r="L510" s="8" t="n">
        <v>981868.53</v>
      </c>
      <c r="M510" s="9" t="n">
        <v>0.0294613893958059</v>
      </c>
      <c r="N510" s="8" t="n">
        <v>3.04613670400767</v>
      </c>
      <c r="O510" s="8" t="n">
        <v>43.9491443388073</v>
      </c>
      <c r="P510" s="10" t="n">
        <v>19.3094346101293</v>
      </c>
      <c r="Q510" s="9" t="n">
        <v>0.0693104894267058</v>
      </c>
    </row>
    <row r="511" customFormat="false" ht="15" hidden="false" customHeight="false" outlineLevel="0" collapsed="false">
      <c r="A511" s="6" t="n">
        <v>1076</v>
      </c>
      <c r="B511" s="6" t="s">
        <v>58</v>
      </c>
      <c r="C511" s="6" t="s">
        <v>63</v>
      </c>
      <c r="D511" s="7" t="n">
        <v>45532</v>
      </c>
      <c r="E511" s="7" t="n">
        <v>45543</v>
      </c>
      <c r="F511" s="6" t="s">
        <v>67</v>
      </c>
      <c r="G511" s="6" t="s">
        <v>49</v>
      </c>
      <c r="H511" s="8" t="n">
        <v>35845.5</v>
      </c>
      <c r="I511" s="6" t="n">
        <v>1048856</v>
      </c>
      <c r="J511" s="6" t="n">
        <v>19107</v>
      </c>
      <c r="K511" s="6" t="n">
        <v>1220</v>
      </c>
      <c r="L511" s="8" t="n">
        <v>1803501.42</v>
      </c>
      <c r="M511" s="9" t="n">
        <v>0.0182169907022508</v>
      </c>
      <c r="N511" s="8" t="n">
        <v>1.87604019469304</v>
      </c>
      <c r="O511" s="8" t="n">
        <v>29.3815573770492</v>
      </c>
      <c r="P511" s="10" t="n">
        <v>50.3131891032347</v>
      </c>
      <c r="Q511" s="9" t="n">
        <v>0.0638509446799602</v>
      </c>
    </row>
    <row r="512" customFormat="false" ht="15" hidden="false" customHeight="false" outlineLevel="0" collapsed="false">
      <c r="A512" s="6" t="n">
        <v>1804</v>
      </c>
      <c r="B512" s="6" t="s">
        <v>74</v>
      </c>
      <c r="C512" s="6" t="s">
        <v>47</v>
      </c>
      <c r="D512" s="7" t="n">
        <v>45429</v>
      </c>
      <c r="E512" s="7" t="n">
        <v>45441</v>
      </c>
      <c r="F512" s="6" t="s">
        <v>67</v>
      </c>
      <c r="G512" s="6" t="s">
        <v>49</v>
      </c>
      <c r="H512" s="8" t="n">
        <v>6992.98</v>
      </c>
      <c r="I512" s="6" t="n">
        <v>126686</v>
      </c>
      <c r="J512" s="6" t="n">
        <v>2230</v>
      </c>
      <c r="K512" s="6" t="n">
        <v>123</v>
      </c>
      <c r="L512" s="8" t="n">
        <v>131810.74</v>
      </c>
      <c r="M512" s="9" t="n">
        <v>0.0176025764488578</v>
      </c>
      <c r="N512" s="8" t="n">
        <v>3.13586547085202</v>
      </c>
      <c r="O512" s="8" t="n">
        <v>56.8534959349594</v>
      </c>
      <c r="P512" s="10" t="n">
        <v>18.8490085771731</v>
      </c>
      <c r="Q512" s="9" t="n">
        <v>0.0551569506726457</v>
      </c>
    </row>
    <row r="513" customFormat="false" ht="15" hidden="false" customHeight="false" outlineLevel="0" collapsed="false">
      <c r="A513" s="6" t="n">
        <v>1221</v>
      </c>
      <c r="B513" s="6" t="s">
        <v>77</v>
      </c>
      <c r="C513" s="6" t="s">
        <v>63</v>
      </c>
      <c r="D513" s="7" t="n">
        <v>45490</v>
      </c>
      <c r="E513" s="7" t="n">
        <v>45510</v>
      </c>
      <c r="F513" s="6" t="s">
        <v>48</v>
      </c>
      <c r="G513" s="6" t="s">
        <v>61</v>
      </c>
      <c r="H513" s="8" t="n">
        <v>44788.29</v>
      </c>
      <c r="I513" s="6" t="n">
        <v>716505</v>
      </c>
      <c r="J513" s="6" t="n">
        <v>17522</v>
      </c>
      <c r="K513" s="6" t="n">
        <v>301</v>
      </c>
      <c r="L513" s="8" t="n">
        <v>528026.25</v>
      </c>
      <c r="M513" s="9" t="n">
        <v>0.0244548188777468</v>
      </c>
      <c r="N513" s="8" t="n">
        <v>2.55611745234562</v>
      </c>
      <c r="O513" s="8" t="n">
        <v>148.798305647841</v>
      </c>
      <c r="P513" s="10" t="n">
        <v>11.7893817781389</v>
      </c>
      <c r="Q513" s="9" t="n">
        <v>0.0171784042917475</v>
      </c>
    </row>
    <row r="514" customFormat="false" ht="15" hidden="false" customHeight="false" outlineLevel="0" collapsed="false">
      <c r="A514" s="6" t="n">
        <v>1162</v>
      </c>
      <c r="B514" s="6" t="s">
        <v>66</v>
      </c>
      <c r="C514" s="6" t="s">
        <v>47</v>
      </c>
      <c r="D514" s="7" t="n">
        <v>45487</v>
      </c>
      <c r="E514" s="7" t="n">
        <v>45517</v>
      </c>
      <c r="F514" s="6" t="s">
        <v>69</v>
      </c>
      <c r="G514" s="6" t="s">
        <v>61</v>
      </c>
      <c r="H514" s="8" t="n">
        <v>3513.78</v>
      </c>
      <c r="I514" s="6" t="n">
        <v>100539</v>
      </c>
      <c r="J514" s="6" t="n">
        <v>1964</v>
      </c>
      <c r="K514" s="6" t="n">
        <v>145</v>
      </c>
      <c r="L514" s="8" t="n">
        <v>156378.18</v>
      </c>
      <c r="M514" s="9" t="n">
        <v>0.0195347079242881</v>
      </c>
      <c r="N514" s="8" t="n">
        <v>1.78909368635438</v>
      </c>
      <c r="O514" s="8" t="n">
        <v>24.2329655172414</v>
      </c>
      <c r="P514" s="10" t="n">
        <v>44.5042603691751</v>
      </c>
      <c r="Q514" s="9" t="n">
        <v>0.0738289205702648</v>
      </c>
    </row>
    <row r="515" customFormat="false" ht="15" hidden="false" customHeight="false" outlineLevel="0" collapsed="false">
      <c r="A515" s="6" t="n">
        <v>1681</v>
      </c>
      <c r="B515" s="6" t="s">
        <v>79</v>
      </c>
      <c r="C515" s="6" t="s">
        <v>59</v>
      </c>
      <c r="D515" s="7" t="n">
        <v>45425</v>
      </c>
      <c r="E515" s="7" t="n">
        <v>45452</v>
      </c>
      <c r="F515" s="6" t="s">
        <v>60</v>
      </c>
      <c r="G515" s="6" t="s">
        <v>57</v>
      </c>
      <c r="H515" s="8" t="n">
        <v>75256.96</v>
      </c>
      <c r="I515" s="6" t="n">
        <v>1624717</v>
      </c>
      <c r="J515" s="6" t="n">
        <v>26169</v>
      </c>
      <c r="K515" s="6" t="n">
        <v>1910</v>
      </c>
      <c r="L515" s="8" t="n">
        <v>3263305.96</v>
      </c>
      <c r="M515" s="9" t="n">
        <v>0.0161068050620508</v>
      </c>
      <c r="N515" s="8" t="n">
        <v>2.87580572433031</v>
      </c>
      <c r="O515" s="8" t="n">
        <v>39.4015497382199</v>
      </c>
      <c r="P515" s="10" t="n">
        <v>43.362181517829</v>
      </c>
      <c r="Q515" s="9" t="n">
        <v>0.07298712216745</v>
      </c>
    </row>
    <row r="516" customFormat="false" ht="15" hidden="false" customHeight="false" outlineLevel="0" collapsed="false">
      <c r="A516" s="6" t="n">
        <v>1200</v>
      </c>
      <c r="B516" s="6" t="s">
        <v>52</v>
      </c>
      <c r="C516" s="6" t="s">
        <v>47</v>
      </c>
      <c r="D516" s="7" t="n">
        <v>45478</v>
      </c>
      <c r="E516" s="7" t="n">
        <v>45505</v>
      </c>
      <c r="F516" s="6" t="s">
        <v>51</v>
      </c>
      <c r="G516" s="6" t="s">
        <v>49</v>
      </c>
      <c r="H516" s="8" t="n">
        <v>1798.16</v>
      </c>
      <c r="I516" s="6" t="n">
        <v>61106</v>
      </c>
      <c r="J516" s="6" t="n">
        <v>712</v>
      </c>
      <c r="K516" s="6" t="n">
        <v>24</v>
      </c>
      <c r="L516" s="8" t="n">
        <v>37279.96</v>
      </c>
      <c r="M516" s="9" t="n">
        <v>0.0116518836120839</v>
      </c>
      <c r="N516" s="8" t="n">
        <v>2.52550561797753</v>
      </c>
      <c r="O516" s="8" t="n">
        <v>74.9233333333333</v>
      </c>
      <c r="P516" s="10" t="n">
        <v>20.7322818881523</v>
      </c>
      <c r="Q516" s="9" t="n">
        <v>0.0337078651685393</v>
      </c>
    </row>
    <row r="517" customFormat="false" ht="15" hidden="false" customHeight="false" outlineLevel="0" collapsed="false">
      <c r="A517" s="6" t="n">
        <v>1676</v>
      </c>
      <c r="B517" s="6" t="s">
        <v>55</v>
      </c>
      <c r="C517" s="6" t="s">
        <v>47</v>
      </c>
      <c r="D517" s="7" t="n">
        <v>45433</v>
      </c>
      <c r="E517" s="7" t="n">
        <v>45452</v>
      </c>
      <c r="F517" s="6" t="s">
        <v>65</v>
      </c>
      <c r="G517" s="6" t="s">
        <v>72</v>
      </c>
      <c r="H517" s="8" t="n">
        <v>3271.59</v>
      </c>
      <c r="I517" s="6" t="n">
        <v>106253</v>
      </c>
      <c r="J517" s="6" t="n">
        <v>2554</v>
      </c>
      <c r="K517" s="6" t="n">
        <v>162</v>
      </c>
      <c r="L517" s="8" t="n">
        <v>94423.09</v>
      </c>
      <c r="M517" s="9" t="n">
        <v>0.024036968367952</v>
      </c>
      <c r="N517" s="8" t="n">
        <v>1.28096711041504</v>
      </c>
      <c r="O517" s="8" t="n">
        <v>20.195</v>
      </c>
      <c r="P517" s="10" t="n">
        <v>28.8615291035857</v>
      </c>
      <c r="Q517" s="9" t="n">
        <v>0.0634299138606108</v>
      </c>
    </row>
    <row r="518" customFormat="false" ht="15" hidden="false" customHeight="false" outlineLevel="0" collapsed="false">
      <c r="A518" s="6" t="n">
        <v>1143</v>
      </c>
      <c r="B518" s="6" t="s">
        <v>79</v>
      </c>
      <c r="C518" s="6" t="s">
        <v>59</v>
      </c>
      <c r="D518" s="7" t="n">
        <v>45464</v>
      </c>
      <c r="E518" s="7" t="n">
        <v>45486</v>
      </c>
      <c r="F518" s="6" t="s">
        <v>67</v>
      </c>
      <c r="G518" s="6" t="s">
        <v>49</v>
      </c>
      <c r="H518" s="8" t="n">
        <v>24794.57</v>
      </c>
      <c r="I518" s="6" t="n">
        <v>900304</v>
      </c>
      <c r="J518" s="6" t="n">
        <v>25792</v>
      </c>
      <c r="K518" s="6" t="n">
        <v>1872</v>
      </c>
      <c r="L518" s="8" t="n">
        <v>2724262.32</v>
      </c>
      <c r="M518" s="9" t="n">
        <v>0.0286481010858554</v>
      </c>
      <c r="N518" s="8" t="n">
        <v>0.961327931141439</v>
      </c>
      <c r="O518" s="8" t="n">
        <v>13.2449626068376</v>
      </c>
      <c r="P518" s="10" t="n">
        <v>109.873344042667</v>
      </c>
      <c r="Q518" s="9" t="n">
        <v>0.0725806451612903</v>
      </c>
    </row>
    <row r="519" customFormat="false" ht="15" hidden="false" customHeight="false" outlineLevel="0" collapsed="false">
      <c r="A519" s="6" t="n">
        <v>1805</v>
      </c>
      <c r="B519" s="6" t="s">
        <v>58</v>
      </c>
      <c r="C519" s="6" t="s">
        <v>50</v>
      </c>
      <c r="D519" s="7" t="n">
        <v>45410</v>
      </c>
      <c r="E519" s="7" t="n">
        <v>45422</v>
      </c>
      <c r="F519" s="6" t="s">
        <v>69</v>
      </c>
      <c r="G519" s="6" t="s">
        <v>54</v>
      </c>
      <c r="H519" s="8" t="n">
        <v>47625.9</v>
      </c>
      <c r="I519" s="6" t="n">
        <v>222825</v>
      </c>
      <c r="J519" s="6" t="n">
        <v>3752</v>
      </c>
      <c r="K519" s="6" t="n">
        <v>291</v>
      </c>
      <c r="L519" s="8" t="n">
        <v>218539.88</v>
      </c>
      <c r="M519" s="9" t="n">
        <v>0.0168383260406148</v>
      </c>
      <c r="N519" s="8" t="n">
        <v>12.6934701492537</v>
      </c>
      <c r="O519" s="8" t="n">
        <v>163.662886597938</v>
      </c>
      <c r="P519" s="10" t="n">
        <v>4.58867716935533</v>
      </c>
      <c r="Q519" s="9" t="n">
        <v>0.0775586353944563</v>
      </c>
    </row>
    <row r="520" customFormat="false" ht="15" hidden="false" customHeight="false" outlineLevel="0" collapsed="false">
      <c r="A520" s="6" t="n">
        <v>1352</v>
      </c>
      <c r="B520" s="6" t="s">
        <v>52</v>
      </c>
      <c r="C520" s="6" t="s">
        <v>50</v>
      </c>
      <c r="D520" s="7" t="n">
        <v>45612</v>
      </c>
      <c r="E520" s="7" t="n">
        <v>45627</v>
      </c>
      <c r="F520" s="6" t="s">
        <v>69</v>
      </c>
      <c r="G520" s="6" t="s">
        <v>61</v>
      </c>
      <c r="H520" s="8" t="n">
        <v>16814.5</v>
      </c>
      <c r="I520" s="6" t="n">
        <v>397302</v>
      </c>
      <c r="J520" s="6" t="n">
        <v>6245</v>
      </c>
      <c r="K520" s="6" t="n">
        <v>216</v>
      </c>
      <c r="L520" s="8" t="n">
        <v>282700.37</v>
      </c>
      <c r="M520" s="9" t="n">
        <v>0.0157185214270253</v>
      </c>
      <c r="N520" s="8" t="n">
        <v>2.69247397918335</v>
      </c>
      <c r="O520" s="8" t="n">
        <v>77.8449074074074</v>
      </c>
      <c r="P520" s="10" t="n">
        <v>16.8128918492967</v>
      </c>
      <c r="Q520" s="9" t="n">
        <v>0.0345876701361089</v>
      </c>
    </row>
    <row r="521" customFormat="false" ht="15" hidden="false" customHeight="false" outlineLevel="0" collapsed="false">
      <c r="A521" s="6" t="n">
        <v>1799</v>
      </c>
      <c r="B521" s="6" t="s">
        <v>74</v>
      </c>
      <c r="C521" s="6" t="s">
        <v>50</v>
      </c>
      <c r="D521" s="7" t="n">
        <v>45424</v>
      </c>
      <c r="E521" s="7" t="n">
        <v>45441</v>
      </c>
      <c r="F521" s="6" t="s">
        <v>56</v>
      </c>
      <c r="G521" s="6" t="s">
        <v>54</v>
      </c>
      <c r="H521" s="8" t="n">
        <v>29646.77</v>
      </c>
      <c r="I521" s="6" t="n">
        <v>1074500</v>
      </c>
      <c r="J521" s="6" t="n">
        <v>37005</v>
      </c>
      <c r="K521" s="6" t="n">
        <v>2895</v>
      </c>
      <c r="L521" s="8" t="n">
        <v>2540329.48</v>
      </c>
      <c r="M521" s="9" t="n">
        <v>0.0344392740809679</v>
      </c>
      <c r="N521" s="8" t="n">
        <v>0.801155789758141</v>
      </c>
      <c r="O521" s="8" t="n">
        <v>10.2406804835924</v>
      </c>
      <c r="P521" s="10" t="n">
        <v>85.6865513511253</v>
      </c>
      <c r="Q521" s="9" t="n">
        <v>0.0782326712606405</v>
      </c>
    </row>
    <row r="522" customFormat="false" ht="15" hidden="false" customHeight="false" outlineLevel="0" collapsed="false">
      <c r="A522" s="6" t="n">
        <v>1407</v>
      </c>
      <c r="B522" s="6" t="s">
        <v>79</v>
      </c>
      <c r="C522" s="6" t="s">
        <v>50</v>
      </c>
      <c r="D522" s="7" t="n">
        <v>45603</v>
      </c>
      <c r="E522" s="7" t="n">
        <v>45623</v>
      </c>
      <c r="F522" s="6" t="s">
        <v>69</v>
      </c>
      <c r="G522" s="6" t="s">
        <v>54</v>
      </c>
      <c r="H522" s="8" t="n">
        <v>73101.15</v>
      </c>
      <c r="I522" s="6" t="n">
        <v>2325907</v>
      </c>
      <c r="J522" s="6" t="n">
        <v>40458</v>
      </c>
      <c r="K522" s="6" t="n">
        <v>2940</v>
      </c>
      <c r="L522" s="8" t="n">
        <v>4027166.51</v>
      </c>
      <c r="M522" s="9" t="n">
        <v>0.0173945045954116</v>
      </c>
      <c r="N522" s="8" t="n">
        <v>1.8068404271096</v>
      </c>
      <c r="O522" s="8" t="n">
        <v>24.8643367346939</v>
      </c>
      <c r="P522" s="10" t="n">
        <v>55.0903304530777</v>
      </c>
      <c r="Q522" s="9" t="n">
        <v>0.0726679519501706</v>
      </c>
    </row>
    <row r="523" customFormat="false" ht="15" hidden="false" customHeight="false" outlineLevel="0" collapsed="false">
      <c r="A523" s="6" t="n">
        <v>1237</v>
      </c>
      <c r="B523" s="6" t="s">
        <v>78</v>
      </c>
      <c r="C523" s="6" t="s">
        <v>47</v>
      </c>
      <c r="D523" s="7" t="n">
        <v>45544</v>
      </c>
      <c r="E523" s="7" t="n">
        <v>45567</v>
      </c>
      <c r="F523" s="6" t="s">
        <v>48</v>
      </c>
      <c r="G523" s="6" t="s">
        <v>54</v>
      </c>
      <c r="H523" s="8" t="n">
        <v>4435.64</v>
      </c>
      <c r="I523" s="6" t="n">
        <v>175695</v>
      </c>
      <c r="J523" s="6" t="n">
        <v>5706</v>
      </c>
      <c r="K523" s="6" t="n">
        <v>169</v>
      </c>
      <c r="L523" s="8" t="n">
        <v>113573.84</v>
      </c>
      <c r="M523" s="9" t="n">
        <v>0.03247673525143</v>
      </c>
      <c r="N523" s="8" t="n">
        <v>0.777364178058185</v>
      </c>
      <c r="O523" s="8" t="n">
        <v>26.2463905325444</v>
      </c>
      <c r="P523" s="10" t="n">
        <v>25.6048371824584</v>
      </c>
      <c r="Q523" s="9" t="n">
        <v>0.0296179460217315</v>
      </c>
    </row>
    <row r="524" customFormat="false" ht="15" hidden="false" customHeight="false" outlineLevel="0" collapsed="false">
      <c r="A524" s="6" t="n">
        <v>1578</v>
      </c>
      <c r="B524" s="6" t="s">
        <v>52</v>
      </c>
      <c r="C524" s="6" t="s">
        <v>47</v>
      </c>
      <c r="D524" s="7" t="n">
        <v>45521</v>
      </c>
      <c r="E524" s="7" t="n">
        <v>45551</v>
      </c>
      <c r="F524" s="6" t="s">
        <v>65</v>
      </c>
      <c r="G524" s="6" t="s">
        <v>54</v>
      </c>
      <c r="H524" s="8" t="n">
        <v>2608.34</v>
      </c>
      <c r="I524" s="6" t="n">
        <v>93106</v>
      </c>
      <c r="J524" s="6" t="n">
        <v>3221</v>
      </c>
      <c r="K524" s="6" t="n">
        <v>240</v>
      </c>
      <c r="L524" s="8" t="n">
        <v>169240.49</v>
      </c>
      <c r="M524" s="9" t="n">
        <v>0.034594977767276</v>
      </c>
      <c r="N524" s="8" t="n">
        <v>0.809791990065197</v>
      </c>
      <c r="O524" s="8" t="n">
        <v>10.8680833333333</v>
      </c>
      <c r="P524" s="10" t="n">
        <v>64.8843670687104</v>
      </c>
      <c r="Q524" s="9" t="n">
        <v>0.0745110214219187</v>
      </c>
    </row>
    <row r="525" customFormat="false" ht="15" hidden="false" customHeight="false" outlineLevel="0" collapsed="false">
      <c r="A525" s="6" t="n">
        <v>1809</v>
      </c>
      <c r="B525" s="6" t="s">
        <v>66</v>
      </c>
      <c r="C525" s="6" t="s">
        <v>59</v>
      </c>
      <c r="D525" s="7" t="n">
        <v>45498</v>
      </c>
      <c r="E525" s="7" t="n">
        <v>45503</v>
      </c>
      <c r="F525" s="6" t="s">
        <v>67</v>
      </c>
      <c r="G525" s="6" t="s">
        <v>72</v>
      </c>
      <c r="H525" s="8" t="n">
        <v>57536.69</v>
      </c>
      <c r="I525" s="6" t="n">
        <v>2135774</v>
      </c>
      <c r="J525" s="6" t="n">
        <v>26134</v>
      </c>
      <c r="K525" s="6" t="n">
        <v>778</v>
      </c>
      <c r="L525" s="8" t="n">
        <v>1185734.03</v>
      </c>
      <c r="M525" s="9" t="n">
        <v>0.0122363133927092</v>
      </c>
      <c r="N525" s="8" t="n">
        <v>2.20160289278335</v>
      </c>
      <c r="O525" s="8" t="n">
        <v>73.9546143958869</v>
      </c>
      <c r="P525" s="10" t="n">
        <v>20.6083114965425</v>
      </c>
      <c r="Q525" s="9" t="n">
        <v>0.0297696487334507</v>
      </c>
    </row>
    <row r="526" customFormat="false" ht="15" hidden="false" customHeight="false" outlineLevel="0" collapsed="false">
      <c r="A526" s="6" t="n">
        <v>1627</v>
      </c>
      <c r="B526" s="6" t="s">
        <v>79</v>
      </c>
      <c r="C526" s="6" t="s">
        <v>50</v>
      </c>
      <c r="D526" s="7" t="n">
        <v>45593</v>
      </c>
      <c r="E526" s="7" t="n">
        <v>45611</v>
      </c>
      <c r="F526" s="6" t="s">
        <v>51</v>
      </c>
      <c r="G526" s="6" t="s">
        <v>61</v>
      </c>
      <c r="H526" s="8" t="n">
        <v>51666.15</v>
      </c>
      <c r="I526" s="6" t="n">
        <v>1474368</v>
      </c>
      <c r="J526" s="6" t="n">
        <v>28408</v>
      </c>
      <c r="K526" s="6" t="n">
        <v>1393</v>
      </c>
      <c r="L526" s="8" t="n">
        <v>1180259.01</v>
      </c>
      <c r="M526" s="9" t="n">
        <v>0.0192679168294483</v>
      </c>
      <c r="N526" s="8" t="n">
        <v>1.81871831878344</v>
      </c>
      <c r="O526" s="8" t="n">
        <v>37.0898420674803</v>
      </c>
      <c r="P526" s="10" t="n">
        <v>22.8439512137057</v>
      </c>
      <c r="Q526" s="9" t="n">
        <v>0.0490354829625458</v>
      </c>
    </row>
    <row r="527" customFormat="false" ht="15" hidden="false" customHeight="false" outlineLevel="0" collapsed="false">
      <c r="A527" s="6" t="n">
        <v>1294</v>
      </c>
      <c r="B527" s="6" t="s">
        <v>74</v>
      </c>
      <c r="C527" s="6" t="s">
        <v>71</v>
      </c>
      <c r="D527" s="7" t="n">
        <v>45497</v>
      </c>
      <c r="E527" s="7" t="n">
        <v>45520</v>
      </c>
      <c r="F527" s="6" t="s">
        <v>51</v>
      </c>
      <c r="G527" s="6" t="s">
        <v>57</v>
      </c>
      <c r="H527" s="8" t="n">
        <v>20405.92</v>
      </c>
      <c r="I527" s="6" t="n">
        <v>430407</v>
      </c>
      <c r="J527" s="6" t="n">
        <v>4205</v>
      </c>
      <c r="K527" s="6" t="n">
        <v>184</v>
      </c>
      <c r="L527" s="8" t="n">
        <v>82024.79</v>
      </c>
      <c r="M527" s="9" t="n">
        <v>0.0097698225168271</v>
      </c>
      <c r="N527" s="8" t="n">
        <v>4.85277526753864</v>
      </c>
      <c r="O527" s="8" t="n">
        <v>110.901739130435</v>
      </c>
      <c r="P527" s="10" t="n">
        <v>4.01965655064805</v>
      </c>
      <c r="Q527" s="9" t="n">
        <v>0.0437574316290131</v>
      </c>
    </row>
    <row r="528" customFormat="false" ht="15" hidden="false" customHeight="false" outlineLevel="0" collapsed="false">
      <c r="A528" s="6" t="n">
        <v>1632</v>
      </c>
      <c r="B528" s="6" t="s">
        <v>46</v>
      </c>
      <c r="C528" s="6" t="s">
        <v>47</v>
      </c>
      <c r="D528" s="7" t="n">
        <v>45598</v>
      </c>
      <c r="E528" s="7" t="n">
        <v>45621</v>
      </c>
      <c r="F528" s="6" t="s">
        <v>53</v>
      </c>
      <c r="G528" s="6" t="s">
        <v>57</v>
      </c>
      <c r="H528" s="8" t="n">
        <v>3861.43</v>
      </c>
      <c r="I528" s="6" t="n">
        <v>60125</v>
      </c>
      <c r="J528" s="6" t="n">
        <v>1400</v>
      </c>
      <c r="K528" s="6" t="n">
        <v>30</v>
      </c>
      <c r="L528" s="8" t="n">
        <v>37709.04</v>
      </c>
      <c r="M528" s="9" t="n">
        <v>0.0232848232848233</v>
      </c>
      <c r="N528" s="8" t="n">
        <v>2.75816428571429</v>
      </c>
      <c r="O528" s="8" t="n">
        <v>128.714333333333</v>
      </c>
      <c r="P528" s="10" t="n">
        <v>9.76556353475267</v>
      </c>
      <c r="Q528" s="9" t="n">
        <v>0.0214285714285714</v>
      </c>
    </row>
    <row r="529" customFormat="false" ht="15" hidden="false" customHeight="false" outlineLevel="0" collapsed="false">
      <c r="A529" s="6" t="n">
        <v>1073</v>
      </c>
      <c r="B529" s="6" t="s">
        <v>66</v>
      </c>
      <c r="C529" s="6" t="s">
        <v>71</v>
      </c>
      <c r="D529" s="7" t="n">
        <v>45462</v>
      </c>
      <c r="E529" s="7" t="n">
        <v>45469</v>
      </c>
      <c r="F529" s="6" t="s">
        <v>56</v>
      </c>
      <c r="G529" s="6" t="s">
        <v>49</v>
      </c>
      <c r="H529" s="8" t="n">
        <v>42507.83</v>
      </c>
      <c r="I529" s="6" t="n">
        <v>1611840</v>
      </c>
      <c r="J529" s="6" t="n">
        <v>23060</v>
      </c>
      <c r="K529" s="6" t="n">
        <v>1289</v>
      </c>
      <c r="L529" s="8" t="n">
        <v>1688713.72</v>
      </c>
      <c r="M529" s="9" t="n">
        <v>0.0143066309311098</v>
      </c>
      <c r="N529" s="8" t="n">
        <v>1.84335776235906</v>
      </c>
      <c r="O529" s="8" t="n">
        <v>32.9773700543057</v>
      </c>
      <c r="P529" s="10" t="n">
        <v>39.7271213327051</v>
      </c>
      <c r="Q529" s="9" t="n">
        <v>0.0558976582827407</v>
      </c>
    </row>
    <row r="530" customFormat="false" ht="15" hidden="false" customHeight="false" outlineLevel="0" collapsed="false">
      <c r="A530" s="6" t="n">
        <v>1319</v>
      </c>
      <c r="B530" s="6" t="s">
        <v>77</v>
      </c>
      <c r="C530" s="6" t="s">
        <v>47</v>
      </c>
      <c r="D530" s="7" t="n">
        <v>45314</v>
      </c>
      <c r="E530" s="7" t="n">
        <v>45320</v>
      </c>
      <c r="F530" s="6" t="s">
        <v>56</v>
      </c>
      <c r="G530" s="6" t="s">
        <v>61</v>
      </c>
      <c r="H530" s="8" t="n">
        <v>3549.35</v>
      </c>
      <c r="I530" s="6" t="n">
        <v>71837</v>
      </c>
      <c r="J530" s="6" t="n">
        <v>900</v>
      </c>
      <c r="K530" s="6" t="n">
        <v>47</v>
      </c>
      <c r="L530" s="8" t="n">
        <v>77108.92</v>
      </c>
      <c r="M530" s="9" t="n">
        <v>0.0125283628213873</v>
      </c>
      <c r="N530" s="8" t="n">
        <v>3.94372222222222</v>
      </c>
      <c r="O530" s="8" t="n">
        <v>75.518085106383</v>
      </c>
      <c r="P530" s="10" t="n">
        <v>21.7248003155507</v>
      </c>
      <c r="Q530" s="9" t="n">
        <v>0.0522222222222222</v>
      </c>
    </row>
    <row r="531" customFormat="false" ht="15" hidden="false" customHeight="false" outlineLevel="0" collapsed="false">
      <c r="A531" s="6" t="n">
        <v>1574</v>
      </c>
      <c r="B531" s="6" t="s">
        <v>78</v>
      </c>
      <c r="C531" s="6" t="s">
        <v>50</v>
      </c>
      <c r="D531" s="7" t="n">
        <v>45471</v>
      </c>
      <c r="E531" s="7" t="n">
        <v>45479</v>
      </c>
      <c r="F531" s="6" t="s">
        <v>65</v>
      </c>
      <c r="G531" s="6" t="s">
        <v>72</v>
      </c>
      <c r="H531" s="8" t="n">
        <v>45485.66</v>
      </c>
      <c r="I531" s="6" t="n">
        <v>810989</v>
      </c>
      <c r="J531" s="6" t="n">
        <v>5939</v>
      </c>
      <c r="K531" s="6" t="n">
        <v>144</v>
      </c>
      <c r="L531" s="8" t="n">
        <v>169492.4</v>
      </c>
      <c r="M531" s="9" t="n">
        <v>0.00732315728080159</v>
      </c>
      <c r="N531" s="8" t="n">
        <v>7.6588078801145</v>
      </c>
      <c r="O531" s="8" t="n">
        <v>315.872638888889</v>
      </c>
      <c r="P531" s="10" t="n">
        <v>3.72628208538691</v>
      </c>
      <c r="Q531" s="9" t="n">
        <v>0.0242465061458158</v>
      </c>
    </row>
    <row r="532" customFormat="false" ht="15" hidden="false" customHeight="false" outlineLevel="0" collapsed="false">
      <c r="A532" s="6" t="n">
        <v>1060</v>
      </c>
      <c r="B532" s="6" t="s">
        <v>78</v>
      </c>
      <c r="C532" s="6" t="s">
        <v>47</v>
      </c>
      <c r="D532" s="7" t="n">
        <v>45329</v>
      </c>
      <c r="E532" s="7" t="n">
        <v>45336</v>
      </c>
      <c r="F532" s="6" t="s">
        <v>51</v>
      </c>
      <c r="G532" s="6" t="s">
        <v>49</v>
      </c>
      <c r="H532" s="8" t="n">
        <v>5258.08</v>
      </c>
      <c r="I532" s="6" t="n">
        <v>87505</v>
      </c>
      <c r="J532" s="6" t="n">
        <v>1159</v>
      </c>
      <c r="K532" s="6" t="n">
        <v>62</v>
      </c>
      <c r="L532" s="8" t="n">
        <v>70997.24</v>
      </c>
      <c r="M532" s="9" t="n">
        <v>0.0132449574310039</v>
      </c>
      <c r="N532" s="8" t="n">
        <v>4.5367385677308</v>
      </c>
      <c r="O532" s="8" t="n">
        <v>84.8077419354839</v>
      </c>
      <c r="P532" s="10" t="n">
        <v>13.5025028147156</v>
      </c>
      <c r="Q532" s="9" t="n">
        <v>0.0534943917169974</v>
      </c>
    </row>
    <row r="533" customFormat="false" ht="15" hidden="false" customHeight="false" outlineLevel="0" collapsed="false">
      <c r="A533" s="6" t="n">
        <v>1581</v>
      </c>
      <c r="B533" s="6" t="s">
        <v>58</v>
      </c>
      <c r="C533" s="6" t="s">
        <v>59</v>
      </c>
      <c r="D533" s="7" t="n">
        <v>45614</v>
      </c>
      <c r="E533" s="7" t="n">
        <v>45633</v>
      </c>
      <c r="F533" s="6" t="s">
        <v>60</v>
      </c>
      <c r="G533" s="6" t="s">
        <v>54</v>
      </c>
      <c r="H533" s="8" t="n">
        <v>77610.35</v>
      </c>
      <c r="I533" s="6" t="n">
        <v>1725454</v>
      </c>
      <c r="J533" s="6" t="n">
        <v>33324</v>
      </c>
      <c r="K533" s="6" t="n">
        <v>647</v>
      </c>
      <c r="L533" s="8" t="n">
        <v>398554.35</v>
      </c>
      <c r="M533" s="9" t="n">
        <v>0.019313177865072</v>
      </c>
      <c r="N533" s="8" t="n">
        <v>2.32896260953067</v>
      </c>
      <c r="O533" s="8" t="n">
        <v>119.954173106646</v>
      </c>
      <c r="P533" s="10" t="n">
        <v>5.13532473439432</v>
      </c>
      <c r="Q533" s="9" t="n">
        <v>0.0194154363221702</v>
      </c>
    </row>
    <row r="534" customFormat="false" ht="15" hidden="false" customHeight="false" outlineLevel="0" collapsed="false">
      <c r="A534" s="6" t="n">
        <v>1355</v>
      </c>
      <c r="B534" s="6" t="s">
        <v>55</v>
      </c>
      <c r="C534" s="6" t="s">
        <v>63</v>
      </c>
      <c r="D534" s="7" t="n">
        <v>45326</v>
      </c>
      <c r="E534" s="7" t="n">
        <v>45349</v>
      </c>
      <c r="F534" s="6" t="s">
        <v>67</v>
      </c>
      <c r="G534" s="6" t="s">
        <v>57</v>
      </c>
      <c r="H534" s="8" t="n">
        <v>26911.81</v>
      </c>
      <c r="I534" s="6" t="n">
        <v>544788</v>
      </c>
      <c r="J534" s="6" t="n">
        <v>15727</v>
      </c>
      <c r="K534" s="6" t="n">
        <v>874</v>
      </c>
      <c r="L534" s="8" t="n">
        <v>688430.72</v>
      </c>
      <c r="M534" s="9" t="n">
        <v>0.0288681101639537</v>
      </c>
      <c r="N534" s="8" t="n">
        <v>1.71118522286514</v>
      </c>
      <c r="O534" s="8" t="n">
        <v>30.7915446224256</v>
      </c>
      <c r="P534" s="10" t="n">
        <v>25.5809891642368</v>
      </c>
      <c r="Q534" s="9" t="n">
        <v>0.0555732180326827</v>
      </c>
    </row>
    <row r="535" customFormat="false" ht="15" hidden="false" customHeight="false" outlineLevel="0" collapsed="false">
      <c r="A535" s="6" t="n">
        <v>1377</v>
      </c>
      <c r="B535" s="6" t="s">
        <v>66</v>
      </c>
      <c r="C535" s="6" t="s">
        <v>47</v>
      </c>
      <c r="D535" s="7" t="n">
        <v>45545</v>
      </c>
      <c r="E535" s="7" t="n">
        <v>45566</v>
      </c>
      <c r="F535" s="6" t="s">
        <v>56</v>
      </c>
      <c r="G535" s="6" t="s">
        <v>49</v>
      </c>
      <c r="H535" s="8" t="n">
        <v>5530.58</v>
      </c>
      <c r="I535" s="6" t="n">
        <v>94568</v>
      </c>
      <c r="J535" s="6" t="n">
        <v>1801</v>
      </c>
      <c r="K535" s="6" t="n">
        <v>27</v>
      </c>
      <c r="L535" s="8" t="n">
        <v>40830.47</v>
      </c>
      <c r="M535" s="9" t="n">
        <v>0.0190444970814652</v>
      </c>
      <c r="N535" s="8" t="n">
        <v>3.07083842309828</v>
      </c>
      <c r="O535" s="8" t="n">
        <v>204.836296296296</v>
      </c>
      <c r="P535" s="10" t="n">
        <v>7.38267414990833</v>
      </c>
      <c r="Q535" s="9" t="n">
        <v>0.0149916712937257</v>
      </c>
    </row>
    <row r="536" customFormat="false" ht="15" hidden="false" customHeight="false" outlineLevel="0" collapsed="false">
      <c r="A536" s="6" t="n">
        <v>1713</v>
      </c>
      <c r="B536" s="6" t="s">
        <v>73</v>
      </c>
      <c r="C536" s="6" t="s">
        <v>50</v>
      </c>
      <c r="D536" s="7" t="n">
        <v>45325</v>
      </c>
      <c r="E536" s="7" t="n">
        <v>45334</v>
      </c>
      <c r="F536" s="6" t="s">
        <v>48</v>
      </c>
      <c r="G536" s="6" t="s">
        <v>54</v>
      </c>
      <c r="H536" s="8" t="n">
        <v>66101.99</v>
      </c>
      <c r="I536" s="6" t="n">
        <v>2278662</v>
      </c>
      <c r="J536" s="6" t="n">
        <v>70435</v>
      </c>
      <c r="K536" s="6" t="n">
        <v>751</v>
      </c>
      <c r="L536" s="8" t="n">
        <v>277493.35</v>
      </c>
      <c r="M536" s="9" t="n">
        <v>0.0309106835502589</v>
      </c>
      <c r="N536" s="8" t="n">
        <v>0.938482146660041</v>
      </c>
      <c r="O536" s="8" t="n">
        <v>88.0186284953396</v>
      </c>
      <c r="P536" s="10" t="n">
        <v>4.19795758039962</v>
      </c>
      <c r="Q536" s="9" t="n">
        <v>0.0106623127706396</v>
      </c>
    </row>
    <row r="537" customFormat="false" ht="15" hidden="false" customHeight="false" outlineLevel="0" collapsed="false">
      <c r="A537" s="6" t="n">
        <v>1219</v>
      </c>
      <c r="B537" s="6" t="s">
        <v>70</v>
      </c>
      <c r="C537" s="6" t="s">
        <v>59</v>
      </c>
      <c r="D537" s="7" t="n">
        <v>45626</v>
      </c>
      <c r="E537" s="7" t="n">
        <v>45655</v>
      </c>
      <c r="F537" s="6" t="s">
        <v>51</v>
      </c>
      <c r="G537" s="6" t="s">
        <v>57</v>
      </c>
      <c r="H537" s="8" t="n">
        <v>42436.4</v>
      </c>
      <c r="I537" s="6" t="n">
        <v>873454</v>
      </c>
      <c r="J537" s="6" t="n">
        <v>24600</v>
      </c>
      <c r="K537" s="6" t="n">
        <v>1508</v>
      </c>
      <c r="L537" s="8" t="n">
        <v>1164098.76</v>
      </c>
      <c r="M537" s="9" t="n">
        <v>0.028164047562894</v>
      </c>
      <c r="N537" s="8" t="n">
        <v>1.72505691056911</v>
      </c>
      <c r="O537" s="8" t="n">
        <v>28.140848806366</v>
      </c>
      <c r="P537" s="10" t="n">
        <v>27.4316096558615</v>
      </c>
      <c r="Q537" s="9" t="n">
        <v>0.0613008130081301</v>
      </c>
    </row>
    <row r="538" customFormat="false" ht="15" hidden="false" customHeight="false" outlineLevel="0" collapsed="false">
      <c r="A538" s="6" t="n">
        <v>1004</v>
      </c>
      <c r="B538" s="6" t="s">
        <v>55</v>
      </c>
      <c r="C538" s="6" t="s">
        <v>63</v>
      </c>
      <c r="D538" s="7" t="n">
        <v>45320</v>
      </c>
      <c r="E538" s="7" t="n">
        <v>45332</v>
      </c>
      <c r="F538" s="6" t="s">
        <v>48</v>
      </c>
      <c r="G538" s="6" t="s">
        <v>72</v>
      </c>
      <c r="H538" s="8" t="n">
        <v>41422.02</v>
      </c>
      <c r="I538" s="6" t="n">
        <v>1036756</v>
      </c>
      <c r="J538" s="6" t="n">
        <v>7242</v>
      </c>
      <c r="K538" s="6" t="n">
        <v>535</v>
      </c>
      <c r="L538" s="8" t="n">
        <v>627239.92</v>
      </c>
      <c r="M538" s="9" t="n">
        <v>0.00698525014564661</v>
      </c>
      <c r="N538" s="8" t="n">
        <v>5.71969345484673</v>
      </c>
      <c r="O538" s="8" t="n">
        <v>77.4243364485981</v>
      </c>
      <c r="P538" s="10" t="n">
        <v>15.1426685613111</v>
      </c>
      <c r="Q538" s="9" t="n">
        <v>0.0738746202706435</v>
      </c>
    </row>
    <row r="539" customFormat="false" ht="15" hidden="false" customHeight="false" outlineLevel="0" collapsed="false">
      <c r="A539" s="6" t="n">
        <v>1426</v>
      </c>
      <c r="B539" s="6" t="s">
        <v>77</v>
      </c>
      <c r="C539" s="6" t="s">
        <v>63</v>
      </c>
      <c r="D539" s="7" t="n">
        <v>45570</v>
      </c>
      <c r="E539" s="7" t="n">
        <v>45583</v>
      </c>
      <c r="F539" s="6" t="s">
        <v>56</v>
      </c>
      <c r="G539" s="6" t="s">
        <v>72</v>
      </c>
      <c r="H539" s="8" t="n">
        <v>39883.35</v>
      </c>
      <c r="I539" s="6" t="n">
        <v>879273</v>
      </c>
      <c r="J539" s="6" t="n">
        <v>13539</v>
      </c>
      <c r="K539" s="6" t="n">
        <v>1080</v>
      </c>
      <c r="L539" s="8" t="n">
        <v>1859146.3</v>
      </c>
      <c r="M539" s="9" t="n">
        <v>0.0153979480775595</v>
      </c>
      <c r="N539" s="8" t="n">
        <v>2.94581209838245</v>
      </c>
      <c r="O539" s="8" t="n">
        <v>36.9290277777778</v>
      </c>
      <c r="P539" s="10" t="n">
        <v>46.6145973194328</v>
      </c>
      <c r="Q539" s="9" t="n">
        <v>0.0797695546199867</v>
      </c>
    </row>
    <row r="540" customFormat="false" ht="15" hidden="false" customHeight="false" outlineLevel="0" collapsed="false">
      <c r="A540" s="6" t="n">
        <v>1123</v>
      </c>
      <c r="B540" s="6" t="s">
        <v>62</v>
      </c>
      <c r="C540" s="6" t="s">
        <v>59</v>
      </c>
      <c r="D540" s="7" t="n">
        <v>45331</v>
      </c>
      <c r="E540" s="7" t="n">
        <v>45345</v>
      </c>
      <c r="F540" s="6" t="s">
        <v>60</v>
      </c>
      <c r="G540" s="6" t="s">
        <v>61</v>
      </c>
      <c r="H540" s="8" t="n">
        <v>57296.86</v>
      </c>
      <c r="I540" s="6" t="n">
        <v>1671200</v>
      </c>
      <c r="J540" s="6" t="n">
        <v>50943</v>
      </c>
      <c r="K540" s="6" t="n">
        <v>2923</v>
      </c>
      <c r="L540" s="8" t="n">
        <v>3314142.78</v>
      </c>
      <c r="M540" s="9" t="n">
        <v>0.0304828865485878</v>
      </c>
      <c r="N540" s="8" t="n">
        <v>1.12472488860099</v>
      </c>
      <c r="O540" s="8" t="n">
        <v>19.602073212453</v>
      </c>
      <c r="P540" s="10" t="n">
        <v>57.8416126119302</v>
      </c>
      <c r="Q540" s="9" t="n">
        <v>0.0573778536796027</v>
      </c>
    </row>
    <row r="541" customFormat="false" ht="15" hidden="false" customHeight="false" outlineLevel="0" collapsed="false">
      <c r="A541" s="6" t="n">
        <v>1291</v>
      </c>
      <c r="B541" s="6" t="s">
        <v>55</v>
      </c>
      <c r="C541" s="6" t="s">
        <v>50</v>
      </c>
      <c r="D541" s="7" t="n">
        <v>45568</v>
      </c>
      <c r="E541" s="7" t="n">
        <v>45587</v>
      </c>
      <c r="F541" s="6" t="s">
        <v>48</v>
      </c>
      <c r="G541" s="6" t="s">
        <v>61</v>
      </c>
      <c r="H541" s="8" t="n">
        <v>19105.18</v>
      </c>
      <c r="I541" s="6" t="n">
        <v>511414</v>
      </c>
      <c r="J541" s="6" t="n">
        <v>12920</v>
      </c>
      <c r="K541" s="6" t="n">
        <v>225</v>
      </c>
      <c r="L541" s="8" t="n">
        <v>96302.21</v>
      </c>
      <c r="M541" s="9" t="n">
        <v>0.025263289624453</v>
      </c>
      <c r="N541" s="8" t="n">
        <v>1.47872910216718</v>
      </c>
      <c r="O541" s="8" t="n">
        <v>84.9119111111111</v>
      </c>
      <c r="P541" s="10" t="n">
        <v>5.04063348264712</v>
      </c>
      <c r="Q541" s="9" t="n">
        <v>0.0174148606811146</v>
      </c>
    </row>
    <row r="542" customFormat="false" ht="15" hidden="false" customHeight="false" outlineLevel="0" collapsed="false">
      <c r="A542" s="6" t="n">
        <v>1271</v>
      </c>
      <c r="B542" s="6" t="s">
        <v>79</v>
      </c>
      <c r="C542" s="6" t="s">
        <v>63</v>
      </c>
      <c r="D542" s="7" t="n">
        <v>45397</v>
      </c>
      <c r="E542" s="7" t="n">
        <v>45422</v>
      </c>
      <c r="F542" s="6" t="s">
        <v>56</v>
      </c>
      <c r="G542" s="6" t="s">
        <v>72</v>
      </c>
      <c r="H542" s="8" t="n">
        <v>31565.35</v>
      </c>
      <c r="I542" s="6" t="n">
        <v>1013286</v>
      </c>
      <c r="J542" s="6" t="n">
        <v>11216</v>
      </c>
      <c r="K542" s="6" t="n">
        <v>220</v>
      </c>
      <c r="L542" s="8" t="n">
        <v>296641.74</v>
      </c>
      <c r="M542" s="9" t="n">
        <v>0.0110689380885555</v>
      </c>
      <c r="N542" s="8" t="n">
        <v>2.81431437232525</v>
      </c>
      <c r="O542" s="8" t="n">
        <v>143.478863636364</v>
      </c>
      <c r="P542" s="10" t="n">
        <v>9.39770159367788</v>
      </c>
      <c r="Q542" s="9" t="n">
        <v>0.0196148359486448</v>
      </c>
    </row>
    <row r="543" customFormat="false" ht="15" hidden="false" customHeight="false" outlineLevel="0" collapsed="false">
      <c r="A543" s="6" t="n">
        <v>1510</v>
      </c>
      <c r="B543" s="6" t="s">
        <v>55</v>
      </c>
      <c r="C543" s="6" t="s">
        <v>59</v>
      </c>
      <c r="D543" s="7" t="n">
        <v>45440</v>
      </c>
      <c r="E543" s="7" t="n">
        <v>45457</v>
      </c>
      <c r="F543" s="6" t="s">
        <v>53</v>
      </c>
      <c r="G543" s="6" t="s">
        <v>57</v>
      </c>
      <c r="H543" s="8" t="n">
        <v>57760.03</v>
      </c>
      <c r="I543" s="6" t="n">
        <v>2099330</v>
      </c>
      <c r="J543" s="6" t="n">
        <v>24544</v>
      </c>
      <c r="K543" s="6" t="n">
        <v>1747</v>
      </c>
      <c r="L543" s="8" t="n">
        <v>2306508.75</v>
      </c>
      <c r="M543" s="9" t="n">
        <v>0.0116913491447271</v>
      </c>
      <c r="N543" s="8" t="n">
        <v>2.35332586375489</v>
      </c>
      <c r="O543" s="8" t="n">
        <v>33.0624098454493</v>
      </c>
      <c r="P543" s="10" t="n">
        <v>39.9326099726749</v>
      </c>
      <c r="Q543" s="9" t="n">
        <v>0.0711782920469361</v>
      </c>
    </row>
    <row r="544" customFormat="false" ht="15" hidden="false" customHeight="false" outlineLevel="0" collapsed="false">
      <c r="A544" s="6" t="n">
        <v>1484</v>
      </c>
      <c r="B544" s="6" t="s">
        <v>66</v>
      </c>
      <c r="C544" s="6" t="s">
        <v>50</v>
      </c>
      <c r="D544" s="7" t="n">
        <v>45341</v>
      </c>
      <c r="E544" s="7" t="n">
        <v>45367</v>
      </c>
      <c r="F544" s="6" t="s">
        <v>53</v>
      </c>
      <c r="G544" s="6" t="s">
        <v>49</v>
      </c>
      <c r="H544" s="8" t="n">
        <v>57807.31</v>
      </c>
      <c r="I544" s="6" t="n">
        <v>1980570</v>
      </c>
      <c r="J544" s="6" t="n">
        <v>17645</v>
      </c>
      <c r="K544" s="6" t="n">
        <v>621</v>
      </c>
      <c r="L544" s="8" t="n">
        <v>946746.24</v>
      </c>
      <c r="M544" s="9" t="n">
        <v>0.00890905143468799</v>
      </c>
      <c r="N544" s="8" t="n">
        <v>3.27612978180788</v>
      </c>
      <c r="O544" s="8" t="n">
        <v>93.0874557165862</v>
      </c>
      <c r="P544" s="10" t="n">
        <v>16.3776214461458</v>
      </c>
      <c r="Q544" s="9" t="n">
        <v>0.0351941059790309</v>
      </c>
    </row>
    <row r="545" customFormat="false" ht="15" hidden="false" customHeight="false" outlineLevel="0" collapsed="false">
      <c r="A545" s="6" t="n">
        <v>1342</v>
      </c>
      <c r="B545" s="6" t="s">
        <v>62</v>
      </c>
      <c r="C545" s="6" t="s">
        <v>59</v>
      </c>
      <c r="D545" s="7" t="n">
        <v>45408</v>
      </c>
      <c r="E545" s="7" t="n">
        <v>45422</v>
      </c>
      <c r="F545" s="6" t="s">
        <v>56</v>
      </c>
      <c r="G545" s="6" t="s">
        <v>54</v>
      </c>
      <c r="H545" s="8" t="n">
        <v>30738.08</v>
      </c>
      <c r="I545" s="6" t="n">
        <v>1215006</v>
      </c>
      <c r="J545" s="6" t="n">
        <v>21559</v>
      </c>
      <c r="K545" s="6" t="n">
        <v>1367</v>
      </c>
      <c r="L545" s="8" t="n">
        <v>1458147.45</v>
      </c>
      <c r="M545" s="9" t="n">
        <v>0.0177439452973895</v>
      </c>
      <c r="N545" s="8" t="n">
        <v>1.42576557354237</v>
      </c>
      <c r="O545" s="8" t="n">
        <v>22.4857937088515</v>
      </c>
      <c r="P545" s="10" t="n">
        <v>47.4378181721174</v>
      </c>
      <c r="Q545" s="9" t="n">
        <v>0.0634073936638991</v>
      </c>
    </row>
    <row r="546" customFormat="false" ht="15" hidden="false" customHeight="false" outlineLevel="0" collapsed="false">
      <c r="A546" s="6" t="n">
        <v>1638</v>
      </c>
      <c r="B546" s="6" t="s">
        <v>46</v>
      </c>
      <c r="C546" s="6" t="s">
        <v>47</v>
      </c>
      <c r="D546" s="7" t="n">
        <v>45423</v>
      </c>
      <c r="E546" s="7" t="n">
        <v>45448</v>
      </c>
      <c r="F546" s="6" t="s">
        <v>60</v>
      </c>
      <c r="G546" s="6" t="s">
        <v>61</v>
      </c>
      <c r="H546" s="8" t="n">
        <v>1196.03</v>
      </c>
      <c r="I546" s="6" t="n">
        <v>24269</v>
      </c>
      <c r="J546" s="6" t="n">
        <v>341</v>
      </c>
      <c r="K546" s="6" t="n">
        <v>17</v>
      </c>
      <c r="L546" s="8" t="n">
        <v>12344.73</v>
      </c>
      <c r="M546" s="9" t="n">
        <v>0.0140508467592402</v>
      </c>
      <c r="N546" s="8" t="n">
        <v>3.50741935483871</v>
      </c>
      <c r="O546" s="8" t="n">
        <v>70.354705882353</v>
      </c>
      <c r="P546" s="10" t="n">
        <v>10.321421703469</v>
      </c>
      <c r="Q546" s="9" t="n">
        <v>0.0498533724340176</v>
      </c>
    </row>
    <row r="547" customFormat="false" ht="15" hidden="false" customHeight="false" outlineLevel="0" collapsed="false">
      <c r="A547" s="6" t="n">
        <v>1251</v>
      </c>
      <c r="B547" s="6" t="s">
        <v>46</v>
      </c>
      <c r="C547" s="6" t="s">
        <v>71</v>
      </c>
      <c r="D547" s="7" t="n">
        <v>45573</v>
      </c>
      <c r="E547" s="7" t="n">
        <v>45594</v>
      </c>
      <c r="F547" s="6" t="s">
        <v>69</v>
      </c>
      <c r="G547" s="6" t="s">
        <v>72</v>
      </c>
      <c r="H547" s="8" t="n">
        <v>21172.26</v>
      </c>
      <c r="I547" s="6" t="n">
        <v>655556</v>
      </c>
      <c r="J547" s="6" t="n">
        <v>7186</v>
      </c>
      <c r="K547" s="6" t="n">
        <v>518</v>
      </c>
      <c r="L547" s="8" t="n">
        <v>829993.27</v>
      </c>
      <c r="M547" s="9" t="n">
        <v>0.0109616874836017</v>
      </c>
      <c r="N547" s="8" t="n">
        <v>2.94632062343446</v>
      </c>
      <c r="O547" s="8" t="n">
        <v>40.8730888030888</v>
      </c>
      <c r="P547" s="10" t="n">
        <v>39.2019212875716</v>
      </c>
      <c r="Q547" s="9" t="n">
        <v>0.0720846089618703</v>
      </c>
    </row>
    <row r="548" customFormat="false" ht="15" hidden="false" customHeight="false" outlineLevel="0" collapsed="false">
      <c r="A548" s="6" t="n">
        <v>1014</v>
      </c>
      <c r="B548" s="6" t="s">
        <v>66</v>
      </c>
      <c r="C548" s="6" t="s">
        <v>63</v>
      </c>
      <c r="D548" s="7" t="n">
        <v>45506</v>
      </c>
      <c r="E548" s="7" t="n">
        <v>45532</v>
      </c>
      <c r="F548" s="6" t="s">
        <v>53</v>
      </c>
      <c r="G548" s="6" t="s">
        <v>75</v>
      </c>
      <c r="H548" s="8" t="n">
        <v>30869.98</v>
      </c>
      <c r="I548" s="6" t="n">
        <v>707207</v>
      </c>
      <c r="J548" s="6" t="n">
        <v>9068</v>
      </c>
      <c r="K548" s="6" t="n">
        <v>515</v>
      </c>
      <c r="L548" s="8" t="n">
        <v>414866.8</v>
      </c>
      <c r="M548" s="9" t="n">
        <v>0.0128222712727674</v>
      </c>
      <c r="N548" s="8" t="n">
        <v>3.40427657697397</v>
      </c>
      <c r="O548" s="8" t="n">
        <v>59.9417087378641</v>
      </c>
      <c r="P548" s="10" t="n">
        <v>13.4391664652844</v>
      </c>
      <c r="Q548" s="9" t="n">
        <v>0.0567931186590207</v>
      </c>
    </row>
    <row r="549" customFormat="false" ht="15" hidden="false" customHeight="false" outlineLevel="0" collapsed="false">
      <c r="A549" s="6" t="n">
        <v>1537</v>
      </c>
      <c r="B549" s="6" t="s">
        <v>74</v>
      </c>
      <c r="C549" s="6" t="s">
        <v>63</v>
      </c>
      <c r="D549" s="7" t="n">
        <v>45300</v>
      </c>
      <c r="E549" s="7" t="n">
        <v>45319</v>
      </c>
      <c r="F549" s="6" t="s">
        <v>65</v>
      </c>
      <c r="G549" s="6" t="s">
        <v>49</v>
      </c>
      <c r="H549" s="8" t="n">
        <v>17737.29</v>
      </c>
      <c r="I549" s="6" t="n">
        <v>477239</v>
      </c>
      <c r="J549" s="6" t="n">
        <v>9986</v>
      </c>
      <c r="K549" s="6" t="n">
        <v>345</v>
      </c>
      <c r="L549" s="8" t="n">
        <v>179942.68</v>
      </c>
      <c r="M549" s="9" t="n">
        <v>0.0209245262855718</v>
      </c>
      <c r="N549" s="8" t="n">
        <v>1.77621570198278</v>
      </c>
      <c r="O549" s="8" t="n">
        <v>51.4124347826087</v>
      </c>
      <c r="P549" s="10" t="n">
        <v>10.1448800803279</v>
      </c>
      <c r="Q549" s="9" t="n">
        <v>0.0345483677148007</v>
      </c>
    </row>
    <row r="550" customFormat="false" ht="15" hidden="false" customHeight="false" outlineLevel="0" collapsed="false">
      <c r="A550" s="6" t="n">
        <v>1131</v>
      </c>
      <c r="B550" s="6" t="s">
        <v>78</v>
      </c>
      <c r="C550" s="6" t="s">
        <v>47</v>
      </c>
      <c r="D550" s="7" t="n">
        <v>45347</v>
      </c>
      <c r="E550" s="7" t="n">
        <v>45376</v>
      </c>
      <c r="F550" s="6" t="s">
        <v>53</v>
      </c>
      <c r="G550" s="6" t="s">
        <v>57</v>
      </c>
      <c r="H550" s="8" t="n">
        <v>5603.21</v>
      </c>
      <c r="I550" s="6" t="n">
        <v>133777</v>
      </c>
      <c r="J550" s="6" t="n">
        <v>3265</v>
      </c>
      <c r="K550" s="6" t="n">
        <v>42</v>
      </c>
      <c r="L550" s="8" t="n">
        <v>74601.74</v>
      </c>
      <c r="M550" s="9" t="n">
        <v>0.0244062880764257</v>
      </c>
      <c r="N550" s="8" t="n">
        <v>1.71614395099541</v>
      </c>
      <c r="O550" s="8" t="n">
        <v>133.409761904762</v>
      </c>
      <c r="P550" s="10" t="n">
        <v>13.3141074491229</v>
      </c>
      <c r="Q550" s="9" t="n">
        <v>0.0128637059724349</v>
      </c>
    </row>
    <row r="551" customFormat="false" ht="15" hidden="false" customHeight="false" outlineLevel="0" collapsed="false">
      <c r="A551" s="6" t="n">
        <v>1115</v>
      </c>
      <c r="B551" s="6" t="s">
        <v>79</v>
      </c>
      <c r="C551" s="6" t="s">
        <v>63</v>
      </c>
      <c r="D551" s="7" t="n">
        <v>45566</v>
      </c>
      <c r="E551" s="7" t="n">
        <v>45594</v>
      </c>
      <c r="F551" s="6" t="s">
        <v>53</v>
      </c>
      <c r="G551" s="6" t="s">
        <v>54</v>
      </c>
      <c r="H551" s="8" t="n">
        <v>8267.61</v>
      </c>
      <c r="I551" s="6" t="n">
        <v>201971</v>
      </c>
      <c r="J551" s="6" t="n">
        <v>4675</v>
      </c>
      <c r="K551" s="6" t="n">
        <v>59</v>
      </c>
      <c r="L551" s="8" t="n">
        <v>26876.7</v>
      </c>
      <c r="M551" s="9" t="n">
        <v>0.0231468874244322</v>
      </c>
      <c r="N551" s="8" t="n">
        <v>1.76847272727273</v>
      </c>
      <c r="O551" s="8" t="n">
        <v>140.128983050847</v>
      </c>
      <c r="P551" s="10" t="n">
        <v>3.25084274657368</v>
      </c>
      <c r="Q551" s="9" t="n">
        <v>0.012620320855615</v>
      </c>
    </row>
    <row r="552" customFormat="false" ht="15" hidden="false" customHeight="false" outlineLevel="0" collapsed="false">
      <c r="A552" s="6" t="n">
        <v>1425</v>
      </c>
      <c r="B552" s="6" t="s">
        <v>77</v>
      </c>
      <c r="C552" s="6" t="s">
        <v>47</v>
      </c>
      <c r="D552" s="7" t="n">
        <v>45334</v>
      </c>
      <c r="E552" s="7" t="n">
        <v>45348</v>
      </c>
      <c r="F552" s="6" t="s">
        <v>48</v>
      </c>
      <c r="G552" s="6" t="s">
        <v>61</v>
      </c>
      <c r="H552" s="8" t="n">
        <v>4589.54</v>
      </c>
      <c r="I552" s="6" t="n">
        <v>142695</v>
      </c>
      <c r="J552" s="6" t="n">
        <v>4077</v>
      </c>
      <c r="K552" s="6" t="n">
        <v>305</v>
      </c>
      <c r="L552" s="8" t="n">
        <v>150271.43</v>
      </c>
      <c r="M552" s="9" t="n">
        <v>0.0285714285714286</v>
      </c>
      <c r="N552" s="8" t="n">
        <v>1.12571498650969</v>
      </c>
      <c r="O552" s="8" t="n">
        <v>15.0476721311475</v>
      </c>
      <c r="P552" s="10" t="n">
        <v>32.74215498721</v>
      </c>
      <c r="Q552" s="9" t="n">
        <v>0.0748099092469953</v>
      </c>
    </row>
    <row r="553" customFormat="false" ht="15" hidden="false" customHeight="false" outlineLevel="0" collapsed="false">
      <c r="A553" s="6" t="n">
        <v>1343</v>
      </c>
      <c r="B553" s="6" t="s">
        <v>78</v>
      </c>
      <c r="C553" s="6" t="s">
        <v>63</v>
      </c>
      <c r="D553" s="7" t="n">
        <v>45314</v>
      </c>
      <c r="E553" s="7" t="n">
        <v>45321</v>
      </c>
      <c r="F553" s="6" t="s">
        <v>67</v>
      </c>
      <c r="G553" s="6" t="s">
        <v>54</v>
      </c>
      <c r="H553" s="8" t="n">
        <v>35373.8</v>
      </c>
      <c r="I553" s="6" t="n">
        <v>1197889</v>
      </c>
      <c r="J553" s="6" t="n">
        <v>34105</v>
      </c>
      <c r="K553" s="6" t="n">
        <v>2537</v>
      </c>
      <c r="L553" s="8" t="n">
        <v>1643549.07</v>
      </c>
      <c r="M553" s="9" t="n">
        <v>0.0284709184239942</v>
      </c>
      <c r="N553" s="8" t="n">
        <v>1.03720275619411</v>
      </c>
      <c r="O553" s="8" t="n">
        <v>13.9431612140323</v>
      </c>
      <c r="P553" s="10" t="n">
        <v>46.4623272026189</v>
      </c>
      <c r="Q553" s="9" t="n">
        <v>0.0743879196598739</v>
      </c>
    </row>
    <row r="554" customFormat="false" ht="15" hidden="false" customHeight="false" outlineLevel="0" collapsed="false">
      <c r="A554" s="6" t="n">
        <v>1110</v>
      </c>
      <c r="B554" s="6" t="s">
        <v>78</v>
      </c>
      <c r="C554" s="6" t="s">
        <v>71</v>
      </c>
      <c r="D554" s="7" t="n">
        <v>45521</v>
      </c>
      <c r="E554" s="7" t="n">
        <v>45538</v>
      </c>
      <c r="F554" s="6" t="s">
        <v>60</v>
      </c>
      <c r="G554" s="6" t="s">
        <v>61</v>
      </c>
      <c r="H554" s="8" t="n">
        <v>12173</v>
      </c>
      <c r="I554" s="6" t="n">
        <v>476008</v>
      </c>
      <c r="J554" s="6" t="n">
        <v>14868</v>
      </c>
      <c r="K554" s="6" t="n">
        <v>287</v>
      </c>
      <c r="L554" s="8" t="n">
        <v>458458.26</v>
      </c>
      <c r="M554" s="9" t="n">
        <v>0.0312347691635435</v>
      </c>
      <c r="N554" s="8" t="n">
        <v>0.818738229755179</v>
      </c>
      <c r="O554" s="8" t="n">
        <v>42.4146341463415</v>
      </c>
      <c r="P554" s="10" t="n">
        <v>37.6618959993428</v>
      </c>
      <c r="Q554" s="9" t="n">
        <v>0.0193032015065913</v>
      </c>
    </row>
    <row r="555" customFormat="false" ht="15" hidden="false" customHeight="false" outlineLevel="0" collapsed="false">
      <c r="A555" s="6" t="n">
        <v>1031</v>
      </c>
      <c r="B555" s="6" t="s">
        <v>58</v>
      </c>
      <c r="C555" s="6" t="s">
        <v>50</v>
      </c>
      <c r="D555" s="7" t="n">
        <v>45588</v>
      </c>
      <c r="E555" s="7" t="n">
        <v>45593</v>
      </c>
      <c r="F555" s="6" t="s">
        <v>53</v>
      </c>
      <c r="G555" s="6" t="s">
        <v>54</v>
      </c>
      <c r="H555" s="8" t="n">
        <v>50305.77</v>
      </c>
      <c r="I555" s="6" t="n">
        <v>1896560</v>
      </c>
      <c r="J555" s="6" t="n">
        <v>30836</v>
      </c>
      <c r="K555" s="6" t="n">
        <v>2340</v>
      </c>
      <c r="L555" s="8" t="n">
        <v>1491932.93</v>
      </c>
      <c r="M555" s="9" t="n">
        <v>0.0162589108702071</v>
      </c>
      <c r="N555" s="8" t="n">
        <v>1.63139739265793</v>
      </c>
      <c r="O555" s="8" t="n">
        <v>21.4981923076923</v>
      </c>
      <c r="P555" s="10" t="n">
        <v>29.6572923940932</v>
      </c>
      <c r="Q555" s="9" t="n">
        <v>0.075885328836425</v>
      </c>
    </row>
    <row r="556" customFormat="false" ht="15" hidden="false" customHeight="false" outlineLevel="0" collapsed="false">
      <c r="A556" s="6" t="n">
        <v>1607</v>
      </c>
      <c r="B556" s="6" t="s">
        <v>78</v>
      </c>
      <c r="C556" s="6" t="s">
        <v>59</v>
      </c>
      <c r="D556" s="7" t="n">
        <v>45334</v>
      </c>
      <c r="E556" s="7" t="n">
        <v>45352</v>
      </c>
      <c r="F556" s="6" t="s">
        <v>56</v>
      </c>
      <c r="G556" s="6" t="s">
        <v>61</v>
      </c>
      <c r="H556" s="8" t="n">
        <v>19203.6</v>
      </c>
      <c r="I556" s="6" t="n">
        <v>594100</v>
      </c>
      <c r="J556" s="6" t="n">
        <v>4081</v>
      </c>
      <c r="K556" s="6" t="n">
        <v>68</v>
      </c>
      <c r="L556" s="8" t="n">
        <v>77446.63</v>
      </c>
      <c r="M556" s="9" t="n">
        <v>0.00686921393704764</v>
      </c>
      <c r="N556" s="8" t="n">
        <v>4.70561136976231</v>
      </c>
      <c r="O556" s="8" t="n">
        <v>282.405882352941</v>
      </c>
      <c r="P556" s="10" t="n">
        <v>4.03292247286967</v>
      </c>
      <c r="Q556" s="9" t="n">
        <v>0.0166625827003186</v>
      </c>
    </row>
    <row r="557" customFormat="false" ht="15" hidden="false" customHeight="false" outlineLevel="0" collapsed="false">
      <c r="A557" s="6" t="n">
        <v>1720</v>
      </c>
      <c r="B557" s="6" t="s">
        <v>64</v>
      </c>
      <c r="C557" s="6" t="s">
        <v>50</v>
      </c>
      <c r="D557" s="7" t="n">
        <v>45403</v>
      </c>
      <c r="E557" s="7" t="n">
        <v>45411</v>
      </c>
      <c r="F557" s="6" t="s">
        <v>56</v>
      </c>
      <c r="G557" s="6" t="s">
        <v>61</v>
      </c>
      <c r="H557" s="8" t="n">
        <v>37390.42</v>
      </c>
      <c r="I557" s="6" t="n">
        <v>700976</v>
      </c>
      <c r="J557" s="6" t="n">
        <v>10598</v>
      </c>
      <c r="K557" s="6" t="n">
        <v>122</v>
      </c>
      <c r="L557" s="8" t="n">
        <v>112085.82</v>
      </c>
      <c r="M557" s="9" t="n">
        <v>0.0151189199059597</v>
      </c>
      <c r="N557" s="8" t="n">
        <v>3.52806378561993</v>
      </c>
      <c r="O557" s="8" t="n">
        <v>306.478852459016</v>
      </c>
      <c r="P557" s="10" t="n">
        <v>2.99771492269945</v>
      </c>
      <c r="Q557" s="9" t="n">
        <v>0.0115116059633893</v>
      </c>
    </row>
    <row r="558" customFormat="false" ht="15" hidden="false" customHeight="false" outlineLevel="0" collapsed="false">
      <c r="A558" s="6" t="n">
        <v>1011</v>
      </c>
      <c r="B558" s="6" t="s">
        <v>64</v>
      </c>
      <c r="C558" s="6" t="s">
        <v>71</v>
      </c>
      <c r="D558" s="7" t="n">
        <v>45363</v>
      </c>
      <c r="E558" s="7" t="n">
        <v>45381</v>
      </c>
      <c r="F558" s="6" t="s">
        <v>51</v>
      </c>
      <c r="G558" s="6" t="s">
        <v>54</v>
      </c>
      <c r="H558" s="8" t="n">
        <v>22484.35</v>
      </c>
      <c r="I558" s="6" t="n">
        <v>477683</v>
      </c>
      <c r="J558" s="6" t="n">
        <v>15619</v>
      </c>
      <c r="K558" s="6" t="n">
        <v>640</v>
      </c>
      <c r="L558" s="8" t="n">
        <v>1023331.97</v>
      </c>
      <c r="M558" s="9" t="n">
        <v>0.0326974164875032</v>
      </c>
      <c r="N558" s="8" t="n">
        <v>1.43955118765606</v>
      </c>
      <c r="O558" s="8" t="n">
        <v>35.131796875</v>
      </c>
      <c r="P558" s="10" t="n">
        <v>45.5130777629774</v>
      </c>
      <c r="Q558" s="9" t="n">
        <v>0.0409757346821179</v>
      </c>
    </row>
    <row r="559" customFormat="false" ht="15" hidden="false" customHeight="false" outlineLevel="0" collapsed="false">
      <c r="A559" s="6" t="n">
        <v>1009</v>
      </c>
      <c r="B559" s="6" t="s">
        <v>64</v>
      </c>
      <c r="C559" s="6" t="s">
        <v>63</v>
      </c>
      <c r="D559" s="7" t="n">
        <v>45407</v>
      </c>
      <c r="E559" s="7" t="n">
        <v>45414</v>
      </c>
      <c r="F559" s="6" t="s">
        <v>65</v>
      </c>
      <c r="G559" s="6" t="s">
        <v>49</v>
      </c>
      <c r="H559" s="8" t="n">
        <v>6925.51</v>
      </c>
      <c r="I559" s="6" t="n">
        <v>199787</v>
      </c>
      <c r="J559" s="6" t="n">
        <v>4525</v>
      </c>
      <c r="K559" s="6" t="n">
        <v>47</v>
      </c>
      <c r="L559" s="8" t="n">
        <v>64689.36</v>
      </c>
      <c r="M559" s="9" t="n">
        <v>0.0226491213141996</v>
      </c>
      <c r="N559" s="8" t="n">
        <v>1.53049944751381</v>
      </c>
      <c r="O559" s="8" t="n">
        <v>147.351276595745</v>
      </c>
      <c r="P559" s="10" t="n">
        <v>9.34073591692164</v>
      </c>
      <c r="Q559" s="9" t="n">
        <v>0.0103867403314917</v>
      </c>
    </row>
    <row r="560" customFormat="false" ht="15" hidden="false" customHeight="false" outlineLevel="0" collapsed="false">
      <c r="A560" s="6" t="n">
        <v>1538</v>
      </c>
      <c r="B560" s="6" t="s">
        <v>64</v>
      </c>
      <c r="C560" s="6" t="s">
        <v>47</v>
      </c>
      <c r="D560" s="7" t="n">
        <v>45508</v>
      </c>
      <c r="E560" s="7" t="n">
        <v>45519</v>
      </c>
      <c r="F560" s="6" t="s">
        <v>60</v>
      </c>
      <c r="G560" s="6" t="s">
        <v>72</v>
      </c>
      <c r="H560" s="8" t="n">
        <v>2326.15</v>
      </c>
      <c r="I560" s="6" t="n">
        <v>45164</v>
      </c>
      <c r="J560" s="6" t="n">
        <v>599</v>
      </c>
      <c r="K560" s="6" t="n">
        <v>31</v>
      </c>
      <c r="L560" s="8" t="n">
        <v>34161.9</v>
      </c>
      <c r="M560" s="9" t="n">
        <v>0.0132627756620317</v>
      </c>
      <c r="N560" s="8" t="n">
        <v>3.88338898163606</v>
      </c>
      <c r="O560" s="8" t="n">
        <v>75.0370967741936</v>
      </c>
      <c r="P560" s="10" t="n">
        <v>14.6860262665778</v>
      </c>
      <c r="Q560" s="9" t="n">
        <v>0.0517529215358932</v>
      </c>
    </row>
    <row r="561" customFormat="false" ht="15" hidden="false" customHeight="false" outlineLevel="0" collapsed="false">
      <c r="A561" s="6" t="n">
        <v>1576</v>
      </c>
      <c r="B561" s="6" t="s">
        <v>55</v>
      </c>
      <c r="C561" s="6" t="s">
        <v>59</v>
      </c>
      <c r="D561" s="7" t="n">
        <v>45487</v>
      </c>
      <c r="E561" s="7" t="n">
        <v>45516</v>
      </c>
      <c r="F561" s="6" t="s">
        <v>56</v>
      </c>
      <c r="G561" s="6" t="s">
        <v>57</v>
      </c>
      <c r="H561" s="8" t="n">
        <v>20883.37</v>
      </c>
      <c r="I561" s="6" t="n">
        <v>353613</v>
      </c>
      <c r="J561" s="6" t="n">
        <v>11692</v>
      </c>
      <c r="K561" s="6" t="n">
        <v>300</v>
      </c>
      <c r="L561" s="8" t="n">
        <v>324020.71</v>
      </c>
      <c r="M561" s="9" t="n">
        <v>0.0330643952569617</v>
      </c>
      <c r="N561" s="8" t="n">
        <v>1.78612470065002</v>
      </c>
      <c r="O561" s="8" t="n">
        <v>69.6112333333333</v>
      </c>
      <c r="P561" s="10" t="n">
        <v>15.5157290226625</v>
      </c>
      <c r="Q561" s="9" t="n">
        <v>0.0256585699623674</v>
      </c>
    </row>
    <row r="562" customFormat="false" ht="15" hidden="false" customHeight="false" outlineLevel="0" collapsed="false">
      <c r="A562" s="6" t="n">
        <v>1623</v>
      </c>
      <c r="B562" s="6" t="s">
        <v>68</v>
      </c>
      <c r="C562" s="6" t="s">
        <v>50</v>
      </c>
      <c r="D562" s="7" t="n">
        <v>45617</v>
      </c>
      <c r="E562" s="7" t="n">
        <v>45623</v>
      </c>
      <c r="F562" s="6" t="s">
        <v>67</v>
      </c>
      <c r="G562" s="6" t="s">
        <v>49</v>
      </c>
      <c r="H562" s="8" t="n">
        <v>17817.83</v>
      </c>
      <c r="I562" s="6" t="n">
        <v>593291</v>
      </c>
      <c r="J562" s="6" t="n">
        <v>12422</v>
      </c>
      <c r="K562" s="6" t="n">
        <v>468</v>
      </c>
      <c r="L562" s="8" t="n">
        <v>282713.55</v>
      </c>
      <c r="M562" s="9" t="n">
        <v>0.0209374489078715</v>
      </c>
      <c r="N562" s="8" t="n">
        <v>1.43437691193045</v>
      </c>
      <c r="O562" s="8" t="n">
        <v>38.0722863247863</v>
      </c>
      <c r="P562" s="10" t="n">
        <v>15.8668900758398</v>
      </c>
      <c r="Q562" s="9" t="n">
        <v>0.0376750925776848</v>
      </c>
    </row>
    <row r="563" customFormat="false" ht="15" hidden="false" customHeight="false" outlineLevel="0" collapsed="false">
      <c r="A563" s="6" t="n">
        <v>1473</v>
      </c>
      <c r="B563" s="6" t="s">
        <v>46</v>
      </c>
      <c r="C563" s="6" t="s">
        <v>50</v>
      </c>
      <c r="D563" s="7" t="n">
        <v>45549</v>
      </c>
      <c r="E563" s="7" t="n">
        <v>45563</v>
      </c>
      <c r="F563" s="6" t="s">
        <v>51</v>
      </c>
      <c r="G563" s="6" t="s">
        <v>61</v>
      </c>
      <c r="H563" s="8" t="n">
        <v>76683.14</v>
      </c>
      <c r="I563" s="6" t="n">
        <v>2148267</v>
      </c>
      <c r="J563" s="6" t="n">
        <v>57045</v>
      </c>
      <c r="K563" s="6" t="n">
        <v>4259</v>
      </c>
      <c r="L563" s="8" t="n">
        <v>2903394.16</v>
      </c>
      <c r="M563" s="9" t="n">
        <v>0.0265539618678684</v>
      </c>
      <c r="N563" s="8" t="n">
        <v>1.34425699009554</v>
      </c>
      <c r="O563" s="8" t="n">
        <v>18.0049636064804</v>
      </c>
      <c r="P563" s="10" t="n">
        <v>37.8622231692651</v>
      </c>
      <c r="Q563" s="9" t="n">
        <v>0.0746603558594092</v>
      </c>
    </row>
    <row r="564" customFormat="false" ht="15" hidden="false" customHeight="false" outlineLevel="0" collapsed="false">
      <c r="A564" s="6" t="n">
        <v>1098</v>
      </c>
      <c r="B564" s="6" t="s">
        <v>70</v>
      </c>
      <c r="C564" s="6" t="s">
        <v>59</v>
      </c>
      <c r="D564" s="7" t="n">
        <v>45318</v>
      </c>
      <c r="E564" s="7" t="n">
        <v>45341</v>
      </c>
      <c r="F564" s="6" t="s">
        <v>65</v>
      </c>
      <c r="G564" s="6" t="s">
        <v>54</v>
      </c>
      <c r="H564" s="8" t="n">
        <v>27788.4</v>
      </c>
      <c r="I564" s="6" t="n">
        <v>853816</v>
      </c>
      <c r="J564" s="6" t="n">
        <v>20143</v>
      </c>
      <c r="K564" s="6" t="n">
        <v>1387</v>
      </c>
      <c r="L564" s="8" t="n">
        <v>782649.12</v>
      </c>
      <c r="M564" s="9" t="n">
        <v>0.0235917340504277</v>
      </c>
      <c r="N564" s="8" t="n">
        <v>1.37955617336047</v>
      </c>
      <c r="O564" s="8" t="n">
        <v>20.0348954578226</v>
      </c>
      <c r="P564" s="10" t="n">
        <v>28.1645981776569</v>
      </c>
      <c r="Q564" s="9" t="n">
        <v>0.0688576676761158</v>
      </c>
    </row>
    <row r="565" customFormat="false" ht="15" hidden="false" customHeight="false" outlineLevel="0" collapsed="false">
      <c r="A565" s="6" t="n">
        <v>1399</v>
      </c>
      <c r="B565" s="6" t="s">
        <v>46</v>
      </c>
      <c r="C565" s="6" t="s">
        <v>47</v>
      </c>
      <c r="D565" s="7" t="n">
        <v>45490</v>
      </c>
      <c r="E565" s="7" t="n">
        <v>45502</v>
      </c>
      <c r="F565" s="6" t="s">
        <v>60</v>
      </c>
      <c r="G565" s="6" t="s">
        <v>72</v>
      </c>
      <c r="H565" s="8" t="n">
        <v>3372.99</v>
      </c>
      <c r="I565" s="6" t="n">
        <v>54458</v>
      </c>
      <c r="J565" s="6" t="n">
        <v>1367</v>
      </c>
      <c r="K565" s="6" t="n">
        <v>56</v>
      </c>
      <c r="L565" s="8" t="n">
        <v>42122.86</v>
      </c>
      <c r="M565" s="9" t="n">
        <v>0.0251019134011532</v>
      </c>
      <c r="N565" s="8" t="n">
        <v>2.46743964886613</v>
      </c>
      <c r="O565" s="8" t="n">
        <v>60.2319642857143</v>
      </c>
      <c r="P565" s="10" t="n">
        <v>12.488284874844</v>
      </c>
      <c r="Q565" s="9" t="n">
        <v>0.0409656181419166</v>
      </c>
    </row>
    <row r="566" customFormat="false" ht="15" hidden="false" customHeight="false" outlineLevel="0" collapsed="false">
      <c r="A566" s="6" t="n">
        <v>1336</v>
      </c>
      <c r="B566" s="6" t="s">
        <v>76</v>
      </c>
      <c r="C566" s="6" t="s">
        <v>63</v>
      </c>
      <c r="D566" s="7" t="n">
        <v>45337</v>
      </c>
      <c r="E566" s="7" t="n">
        <v>45342</v>
      </c>
      <c r="F566" s="6" t="s">
        <v>60</v>
      </c>
      <c r="G566" s="6" t="s">
        <v>72</v>
      </c>
      <c r="H566" s="8" t="n">
        <v>34107.46</v>
      </c>
      <c r="I566" s="6" t="n">
        <v>744675</v>
      </c>
      <c r="J566" s="6" t="n">
        <v>7630</v>
      </c>
      <c r="K566" s="6" t="n">
        <v>323</v>
      </c>
      <c r="L566" s="8" t="n">
        <v>379033.61</v>
      </c>
      <c r="M566" s="9" t="n">
        <v>0.0102460805049183</v>
      </c>
      <c r="N566" s="8" t="n">
        <v>4.47017824377457</v>
      </c>
      <c r="O566" s="8" t="n">
        <v>105.595851393189</v>
      </c>
      <c r="P566" s="10" t="n">
        <v>11.1129239761624</v>
      </c>
      <c r="Q566" s="9" t="n">
        <v>0.0423328964613368</v>
      </c>
    </row>
    <row r="567" customFormat="false" ht="15" hidden="false" customHeight="false" outlineLevel="0" collapsed="false">
      <c r="A567" s="6" t="n">
        <v>1509</v>
      </c>
      <c r="B567" s="6" t="s">
        <v>76</v>
      </c>
      <c r="C567" s="6" t="s">
        <v>71</v>
      </c>
      <c r="D567" s="7" t="n">
        <v>45517</v>
      </c>
      <c r="E567" s="7" t="n">
        <v>45533</v>
      </c>
      <c r="F567" s="6" t="s">
        <v>56</v>
      </c>
      <c r="G567" s="6" t="s">
        <v>49</v>
      </c>
      <c r="H567" s="8" t="n">
        <v>51931.45</v>
      </c>
      <c r="I567" s="6" t="n">
        <v>2014998</v>
      </c>
      <c r="J567" s="6" t="n">
        <v>32664</v>
      </c>
      <c r="K567" s="6" t="n">
        <v>1886</v>
      </c>
      <c r="L567" s="8" t="n">
        <v>2043700.76</v>
      </c>
      <c r="M567" s="9" t="n">
        <v>0.016210437925993</v>
      </c>
      <c r="N567" s="8" t="n">
        <v>1.5898680504531</v>
      </c>
      <c r="O567" s="8" t="n">
        <v>27.5352332979852</v>
      </c>
      <c r="P567" s="10" t="n">
        <v>39.3538166178684</v>
      </c>
      <c r="Q567" s="9" t="n">
        <v>0.057739407298555</v>
      </c>
    </row>
    <row r="568" customFormat="false" ht="15" hidden="false" customHeight="false" outlineLevel="0" collapsed="false">
      <c r="A568" s="6" t="n">
        <v>1630</v>
      </c>
      <c r="B568" s="6" t="s">
        <v>77</v>
      </c>
      <c r="C568" s="6" t="s">
        <v>71</v>
      </c>
      <c r="D568" s="7" t="n">
        <v>45506</v>
      </c>
      <c r="E568" s="7" t="n">
        <v>45530</v>
      </c>
      <c r="F568" s="6" t="s">
        <v>65</v>
      </c>
      <c r="G568" s="6" t="s">
        <v>49</v>
      </c>
      <c r="H568" s="8" t="n">
        <v>24608.98</v>
      </c>
      <c r="I568" s="6" t="n">
        <v>592568</v>
      </c>
      <c r="J568" s="6" t="n">
        <v>4840</v>
      </c>
      <c r="K568" s="6" t="n">
        <v>348</v>
      </c>
      <c r="L568" s="8" t="n">
        <v>606336.8</v>
      </c>
      <c r="M568" s="9" t="n">
        <v>0.00816783896531706</v>
      </c>
      <c r="N568" s="8" t="n">
        <v>5.0845</v>
      </c>
      <c r="O568" s="8" t="n">
        <v>70.715459770115</v>
      </c>
      <c r="P568" s="10" t="n">
        <v>24.6388432190201</v>
      </c>
      <c r="Q568" s="9" t="n">
        <v>0.071900826446281</v>
      </c>
    </row>
    <row r="569" customFormat="false" ht="15" hidden="false" customHeight="false" outlineLevel="0" collapsed="false">
      <c r="A569" s="6" t="n">
        <v>1036</v>
      </c>
      <c r="B569" s="6" t="s">
        <v>66</v>
      </c>
      <c r="C569" s="6" t="s">
        <v>63</v>
      </c>
      <c r="D569" s="7" t="n">
        <v>45433</v>
      </c>
      <c r="E569" s="7" t="n">
        <v>45461</v>
      </c>
      <c r="F569" s="6" t="s">
        <v>51</v>
      </c>
      <c r="G569" s="6" t="s">
        <v>61</v>
      </c>
      <c r="H569" s="8" t="n">
        <v>48970.71</v>
      </c>
      <c r="I569" s="6" t="n">
        <v>1376856</v>
      </c>
      <c r="J569" s="6" t="n">
        <v>18573</v>
      </c>
      <c r="K569" s="6" t="n">
        <v>316</v>
      </c>
      <c r="L569" s="8" t="n">
        <v>199544.67</v>
      </c>
      <c r="M569" s="9" t="n">
        <v>0.0134894280883404</v>
      </c>
      <c r="N569" s="8" t="n">
        <v>2.63666128250686</v>
      </c>
      <c r="O569" s="8" t="n">
        <v>154.970601265823</v>
      </c>
      <c r="P569" s="10" t="n">
        <v>4.07477592217879</v>
      </c>
      <c r="Q569" s="9" t="n">
        <v>0.0170139449738868</v>
      </c>
    </row>
    <row r="570" customFormat="false" ht="15" hidden="false" customHeight="false" outlineLevel="0" collapsed="false">
      <c r="A570" s="6" t="n">
        <v>1734</v>
      </c>
      <c r="B570" s="6" t="s">
        <v>74</v>
      </c>
      <c r="C570" s="6" t="s">
        <v>63</v>
      </c>
      <c r="D570" s="7" t="n">
        <v>45403</v>
      </c>
      <c r="E570" s="7" t="n">
        <v>45424</v>
      </c>
      <c r="F570" s="6" t="s">
        <v>67</v>
      </c>
      <c r="G570" s="6" t="s">
        <v>61</v>
      </c>
      <c r="H570" s="8" t="n">
        <v>19635.67</v>
      </c>
      <c r="I570" s="6" t="n">
        <v>400775</v>
      </c>
      <c r="J570" s="6" t="n">
        <v>4179</v>
      </c>
      <c r="K570" s="6" t="n">
        <v>139</v>
      </c>
      <c r="L570" s="8" t="n">
        <v>149342.91</v>
      </c>
      <c r="M570" s="9" t="n">
        <v>0.0104272971118458</v>
      </c>
      <c r="N570" s="8" t="n">
        <v>4.69865278774827</v>
      </c>
      <c r="O570" s="8" t="n">
        <v>141.26381294964</v>
      </c>
      <c r="P570" s="10" t="n">
        <v>7.60569463634294</v>
      </c>
      <c r="Q570" s="9" t="n">
        <v>0.0332615458243599</v>
      </c>
    </row>
    <row r="571" customFormat="false" ht="15" hidden="false" customHeight="false" outlineLevel="0" collapsed="false">
      <c r="A571" s="6" t="n">
        <v>1738</v>
      </c>
      <c r="B571" s="6" t="s">
        <v>64</v>
      </c>
      <c r="C571" s="6" t="s">
        <v>63</v>
      </c>
      <c r="D571" s="7" t="n">
        <v>45381</v>
      </c>
      <c r="E571" s="7" t="n">
        <v>45386</v>
      </c>
      <c r="F571" s="6" t="s">
        <v>60</v>
      </c>
      <c r="G571" s="6" t="s">
        <v>49</v>
      </c>
      <c r="H571" s="8" t="n">
        <v>45485.96</v>
      </c>
      <c r="I571" s="6" t="n">
        <v>1428952</v>
      </c>
      <c r="J571" s="6" t="n">
        <v>48274</v>
      </c>
      <c r="K571" s="6" t="n">
        <v>3444</v>
      </c>
      <c r="L571" s="8" t="n">
        <v>4750507.33</v>
      </c>
      <c r="M571" s="9" t="n">
        <v>0.0337828002620102</v>
      </c>
      <c r="N571" s="8" t="n">
        <v>0.942245515184157</v>
      </c>
      <c r="O571" s="8" t="n">
        <v>13.2073054587689</v>
      </c>
      <c r="P571" s="10" t="n">
        <v>104.438981391181</v>
      </c>
      <c r="Q571" s="9" t="n">
        <v>0.0713427517918548</v>
      </c>
    </row>
    <row r="572" customFormat="false" ht="15" hidden="false" customHeight="false" outlineLevel="0" collapsed="false">
      <c r="A572" s="6" t="n">
        <v>1628</v>
      </c>
      <c r="B572" s="6" t="s">
        <v>68</v>
      </c>
      <c r="C572" s="6" t="s">
        <v>47</v>
      </c>
      <c r="D572" s="7" t="n">
        <v>45615</v>
      </c>
      <c r="E572" s="7" t="n">
        <v>45635</v>
      </c>
      <c r="F572" s="6" t="s">
        <v>53</v>
      </c>
      <c r="G572" s="6" t="s">
        <v>75</v>
      </c>
      <c r="H572" s="8" t="n">
        <v>7894.63</v>
      </c>
      <c r="I572" s="6" t="n">
        <v>134818</v>
      </c>
      <c r="J572" s="6" t="n">
        <v>3699</v>
      </c>
      <c r="K572" s="6" t="n">
        <v>174</v>
      </c>
      <c r="L572" s="8" t="n">
        <v>137607.46</v>
      </c>
      <c r="M572" s="9" t="n">
        <v>0.0274369891260811</v>
      </c>
      <c r="N572" s="8" t="n">
        <v>2.13426061097594</v>
      </c>
      <c r="O572" s="8" t="n">
        <v>45.3714367816092</v>
      </c>
      <c r="P572" s="10" t="n">
        <v>17.430514159625</v>
      </c>
      <c r="Q572" s="9" t="n">
        <v>0.0470397404703974</v>
      </c>
    </row>
    <row r="573" customFormat="false" ht="15" hidden="false" customHeight="false" outlineLevel="0" collapsed="false">
      <c r="A573" s="6" t="n">
        <v>1760</v>
      </c>
      <c r="B573" s="6" t="s">
        <v>76</v>
      </c>
      <c r="C573" s="6" t="s">
        <v>50</v>
      </c>
      <c r="D573" s="7" t="n">
        <v>45428</v>
      </c>
      <c r="E573" s="7" t="n">
        <v>45434</v>
      </c>
      <c r="F573" s="6" t="s">
        <v>65</v>
      </c>
      <c r="G573" s="6" t="s">
        <v>72</v>
      </c>
      <c r="H573" s="8" t="n">
        <v>53967.89</v>
      </c>
      <c r="I573" s="6" t="n">
        <v>1470030</v>
      </c>
      <c r="J573" s="6" t="n">
        <v>12116</v>
      </c>
      <c r="K573" s="6" t="n">
        <v>491</v>
      </c>
      <c r="L573" s="8" t="n">
        <v>394791.43</v>
      </c>
      <c r="M573" s="9" t="n">
        <v>0.0082420086664898</v>
      </c>
      <c r="N573" s="8" t="n">
        <v>4.45426625949158</v>
      </c>
      <c r="O573" s="8" t="n">
        <v>109.914236252546</v>
      </c>
      <c r="P573" s="10" t="n">
        <v>7.31530230290641</v>
      </c>
      <c r="Q573" s="9" t="n">
        <v>0.0405249257180588</v>
      </c>
    </row>
    <row r="574" customFormat="false" ht="15" hidden="false" customHeight="false" outlineLevel="0" collapsed="false">
      <c r="A574" s="6" t="n">
        <v>1618</v>
      </c>
      <c r="B574" s="6" t="s">
        <v>70</v>
      </c>
      <c r="C574" s="6" t="s">
        <v>63</v>
      </c>
      <c r="D574" s="7" t="n">
        <v>45597</v>
      </c>
      <c r="E574" s="7" t="n">
        <v>45614</v>
      </c>
      <c r="F574" s="6" t="s">
        <v>60</v>
      </c>
      <c r="G574" s="6" t="s">
        <v>72</v>
      </c>
      <c r="H574" s="8" t="n">
        <v>9152.9</v>
      </c>
      <c r="I574" s="6" t="n">
        <v>249029</v>
      </c>
      <c r="J574" s="6" t="n">
        <v>6776</v>
      </c>
      <c r="K574" s="6" t="n">
        <v>345</v>
      </c>
      <c r="L574" s="8" t="n">
        <v>231652.45</v>
      </c>
      <c r="M574" s="9" t="n">
        <v>0.0272096824064667</v>
      </c>
      <c r="N574" s="8" t="n">
        <v>1.35078217237308</v>
      </c>
      <c r="O574" s="8" t="n">
        <v>26.5301449275362</v>
      </c>
      <c r="P574" s="10" t="n">
        <v>25.3091861595778</v>
      </c>
      <c r="Q574" s="9" t="n">
        <v>0.0509149940968123</v>
      </c>
    </row>
    <row r="575" customFormat="false" ht="15" hidden="false" customHeight="false" outlineLevel="0" collapsed="false">
      <c r="A575" s="6" t="n">
        <v>1608</v>
      </c>
      <c r="B575" s="6" t="s">
        <v>74</v>
      </c>
      <c r="C575" s="6" t="s">
        <v>71</v>
      </c>
      <c r="D575" s="7" t="n">
        <v>45556</v>
      </c>
      <c r="E575" s="7" t="n">
        <v>45561</v>
      </c>
      <c r="F575" s="6" t="s">
        <v>48</v>
      </c>
      <c r="G575" s="6" t="s">
        <v>61</v>
      </c>
      <c r="H575" s="8" t="n">
        <v>28965</v>
      </c>
      <c r="I575" s="6" t="n">
        <v>1041086</v>
      </c>
      <c r="J575" s="6" t="n">
        <v>26120</v>
      </c>
      <c r="K575" s="6" t="n">
        <v>379</v>
      </c>
      <c r="L575" s="8" t="n">
        <v>586054.88</v>
      </c>
      <c r="M575" s="9" t="n">
        <v>0.0250891857156854</v>
      </c>
      <c r="N575" s="8" t="n">
        <v>1.10892036753446</v>
      </c>
      <c r="O575" s="8" t="n">
        <v>76.4248021108179</v>
      </c>
      <c r="P575" s="10" t="n">
        <v>20.2332083549111</v>
      </c>
      <c r="Q575" s="9" t="n">
        <v>0.014509954058193</v>
      </c>
    </row>
    <row r="576" customFormat="false" ht="15" hidden="false" customHeight="false" outlineLevel="0" collapsed="false">
      <c r="A576" s="6" t="n">
        <v>1505</v>
      </c>
      <c r="B576" s="6" t="s">
        <v>70</v>
      </c>
      <c r="C576" s="6" t="s">
        <v>71</v>
      </c>
      <c r="D576" s="7" t="n">
        <v>45358</v>
      </c>
      <c r="E576" s="7" t="n">
        <v>45385</v>
      </c>
      <c r="F576" s="6" t="s">
        <v>48</v>
      </c>
      <c r="G576" s="6" t="s">
        <v>61</v>
      </c>
      <c r="H576" s="8" t="n">
        <v>13063.75</v>
      </c>
      <c r="I576" s="6" t="n">
        <v>328973</v>
      </c>
      <c r="J576" s="6" t="n">
        <v>8962</v>
      </c>
      <c r="K576" s="6" t="n">
        <v>152</v>
      </c>
      <c r="L576" s="8" t="n">
        <v>231171.75</v>
      </c>
      <c r="M576" s="9" t="n">
        <v>0.0272423572755211</v>
      </c>
      <c r="N576" s="8" t="n">
        <v>1.45768243695604</v>
      </c>
      <c r="O576" s="8" t="n">
        <v>85.9457236842105</v>
      </c>
      <c r="P576" s="10" t="n">
        <v>17.6956654865563</v>
      </c>
      <c r="Q576" s="9" t="n">
        <v>0.0169604998884178</v>
      </c>
    </row>
    <row r="577" customFormat="false" ht="15" hidden="false" customHeight="false" outlineLevel="0" collapsed="false">
      <c r="A577" s="6" t="n">
        <v>1203</v>
      </c>
      <c r="B577" s="6" t="s">
        <v>73</v>
      </c>
      <c r="C577" s="6" t="s">
        <v>59</v>
      </c>
      <c r="D577" s="7" t="n">
        <v>45432</v>
      </c>
      <c r="E577" s="7" t="n">
        <v>45449</v>
      </c>
      <c r="F577" s="6" t="s">
        <v>65</v>
      </c>
      <c r="G577" s="6" t="s">
        <v>49</v>
      </c>
      <c r="H577" s="8" t="n">
        <v>87786.87</v>
      </c>
      <c r="I577" s="6" t="n">
        <v>2310650</v>
      </c>
      <c r="J577" s="6" t="n">
        <v>20798</v>
      </c>
      <c r="K577" s="6" t="n">
        <v>808</v>
      </c>
      <c r="L577" s="8" t="n">
        <v>1102936.74</v>
      </c>
      <c r="M577" s="9" t="n">
        <v>0.00900093047410902</v>
      </c>
      <c r="N577" s="8" t="n">
        <v>4.2209284546591</v>
      </c>
      <c r="O577" s="8" t="n">
        <v>108.647116336634</v>
      </c>
      <c r="P577" s="10" t="n">
        <v>12.5638007141615</v>
      </c>
      <c r="Q577" s="9" t="n">
        <v>0.0388498894124435</v>
      </c>
    </row>
    <row r="578" customFormat="false" ht="15" hidden="false" customHeight="false" outlineLevel="0" collapsed="false">
      <c r="A578" s="6" t="n">
        <v>1094</v>
      </c>
      <c r="B578" s="6" t="s">
        <v>70</v>
      </c>
      <c r="C578" s="6" t="s">
        <v>50</v>
      </c>
      <c r="D578" s="7" t="n">
        <v>45303</v>
      </c>
      <c r="E578" s="7" t="n">
        <v>45310</v>
      </c>
      <c r="F578" s="6" t="s">
        <v>51</v>
      </c>
      <c r="G578" s="6" t="s">
        <v>49</v>
      </c>
      <c r="H578" s="8" t="n">
        <v>45381.11</v>
      </c>
      <c r="I578" s="6" t="n">
        <v>1777449</v>
      </c>
      <c r="J578" s="6" t="n">
        <v>20359</v>
      </c>
      <c r="K578" s="6" t="n">
        <v>706</v>
      </c>
      <c r="L578" s="8" t="n">
        <v>298838.21</v>
      </c>
      <c r="M578" s="9" t="n">
        <v>0.0114540557844416</v>
      </c>
      <c r="N578" s="8" t="n">
        <v>2.22904415737512</v>
      </c>
      <c r="O578" s="8" t="n">
        <v>64.2791926345609</v>
      </c>
      <c r="P578" s="10" t="n">
        <v>6.58507934248413</v>
      </c>
      <c r="Q578" s="9" t="n">
        <v>0.0346775381894985</v>
      </c>
    </row>
    <row r="579" customFormat="false" ht="15" hidden="false" customHeight="false" outlineLevel="0" collapsed="false">
      <c r="A579" s="6" t="n">
        <v>1739</v>
      </c>
      <c r="B579" s="6" t="s">
        <v>79</v>
      </c>
      <c r="C579" s="6" t="s">
        <v>50</v>
      </c>
      <c r="D579" s="7" t="n">
        <v>45578</v>
      </c>
      <c r="E579" s="7" t="n">
        <v>45605</v>
      </c>
      <c r="F579" s="6" t="s">
        <v>60</v>
      </c>
      <c r="G579" s="6" t="s">
        <v>54</v>
      </c>
      <c r="H579" s="8" t="n">
        <v>65437.46</v>
      </c>
      <c r="I579" s="6" t="n">
        <v>2152187</v>
      </c>
      <c r="J579" s="6" t="n">
        <v>58702</v>
      </c>
      <c r="K579" s="6" t="n">
        <v>1764</v>
      </c>
      <c r="L579" s="8" t="n">
        <v>843550.44</v>
      </c>
      <c r="M579" s="9" t="n">
        <v>0.0272755109105296</v>
      </c>
      <c r="N579" s="8" t="n">
        <v>1.11473987257674</v>
      </c>
      <c r="O579" s="8" t="n">
        <v>37.0960657596372</v>
      </c>
      <c r="P579" s="10" t="n">
        <v>12.8909410603651</v>
      </c>
      <c r="Q579" s="9" t="n">
        <v>0.0300500834724541</v>
      </c>
    </row>
    <row r="580" customFormat="false" ht="15" hidden="false" customHeight="false" outlineLevel="0" collapsed="false">
      <c r="A580" s="6" t="n">
        <v>1204</v>
      </c>
      <c r="B580" s="6" t="s">
        <v>46</v>
      </c>
      <c r="C580" s="6" t="s">
        <v>50</v>
      </c>
      <c r="D580" s="7" t="n">
        <v>45624</v>
      </c>
      <c r="E580" s="7" t="n">
        <v>45634</v>
      </c>
      <c r="F580" s="6" t="s">
        <v>56</v>
      </c>
      <c r="G580" s="6" t="s">
        <v>72</v>
      </c>
      <c r="H580" s="8" t="n">
        <v>47974.4</v>
      </c>
      <c r="I580" s="6" t="n">
        <v>1483461</v>
      </c>
      <c r="J580" s="6" t="n">
        <v>39030</v>
      </c>
      <c r="K580" s="6" t="n">
        <v>2468</v>
      </c>
      <c r="L580" s="8" t="n">
        <v>2875975.96</v>
      </c>
      <c r="M580" s="9" t="n">
        <v>0.0263100951086682</v>
      </c>
      <c r="N580" s="8" t="n">
        <v>1.22916730719959</v>
      </c>
      <c r="O580" s="8" t="n">
        <v>19.4385737439222</v>
      </c>
      <c r="P580" s="10" t="n">
        <v>59.9481381736926</v>
      </c>
      <c r="Q580" s="9" t="n">
        <v>0.0632334101972841</v>
      </c>
    </row>
    <row r="581" customFormat="false" ht="15" hidden="false" customHeight="false" outlineLevel="0" collapsed="false">
      <c r="A581" s="6" t="n">
        <v>1050</v>
      </c>
      <c r="B581" s="6" t="s">
        <v>74</v>
      </c>
      <c r="C581" s="6" t="s">
        <v>71</v>
      </c>
      <c r="D581" s="7" t="n">
        <v>45618</v>
      </c>
      <c r="E581" s="7" t="n">
        <v>45631</v>
      </c>
      <c r="F581" s="6" t="s">
        <v>51</v>
      </c>
      <c r="G581" s="6" t="s">
        <v>49</v>
      </c>
      <c r="H581" s="8" t="n">
        <v>21276.99</v>
      </c>
      <c r="I581" s="6" t="n">
        <v>324153</v>
      </c>
      <c r="J581" s="6" t="n">
        <v>9445</v>
      </c>
      <c r="K581" s="6" t="n">
        <v>690</v>
      </c>
      <c r="L581" s="8" t="n">
        <v>919449.69</v>
      </c>
      <c r="M581" s="9" t="n">
        <v>0.0291374752046102</v>
      </c>
      <c r="N581" s="8" t="n">
        <v>2.2527252514558</v>
      </c>
      <c r="O581" s="8" t="n">
        <v>30.8362173913044</v>
      </c>
      <c r="P581" s="10" t="n">
        <v>43.2133346869083</v>
      </c>
      <c r="Q581" s="9" t="n">
        <v>0.0730545262043409</v>
      </c>
    </row>
    <row r="582" customFormat="false" ht="15" hidden="false" customHeight="false" outlineLevel="0" collapsed="false">
      <c r="A582" s="6" t="n">
        <v>1558</v>
      </c>
      <c r="B582" s="6" t="s">
        <v>52</v>
      </c>
      <c r="C582" s="6" t="s">
        <v>71</v>
      </c>
      <c r="D582" s="7" t="n">
        <v>45421</v>
      </c>
      <c r="E582" s="7" t="n">
        <v>45441</v>
      </c>
      <c r="F582" s="6" t="s">
        <v>65</v>
      </c>
      <c r="G582" s="6" t="s">
        <v>61</v>
      </c>
      <c r="H582" s="8" t="n">
        <v>43300.15</v>
      </c>
      <c r="I582" s="6" t="n">
        <v>893603</v>
      </c>
      <c r="J582" s="6" t="n">
        <v>24363</v>
      </c>
      <c r="K582" s="6" t="n">
        <v>983</v>
      </c>
      <c r="L582" s="8" t="n">
        <v>1097389.45</v>
      </c>
      <c r="M582" s="9" t="n">
        <v>0.0272637849246254</v>
      </c>
      <c r="N582" s="8" t="n">
        <v>1.77729138447646</v>
      </c>
      <c r="O582" s="8" t="n">
        <v>44.048982706002</v>
      </c>
      <c r="P582" s="10" t="n">
        <v>25.3437794095402</v>
      </c>
      <c r="Q582" s="9" t="n">
        <v>0.0403480687928416</v>
      </c>
    </row>
    <row r="583" customFormat="false" ht="15" hidden="false" customHeight="false" outlineLevel="0" collapsed="false">
      <c r="A583" s="6" t="n">
        <v>1127</v>
      </c>
      <c r="B583" s="6" t="s">
        <v>58</v>
      </c>
      <c r="C583" s="6" t="s">
        <v>59</v>
      </c>
      <c r="D583" s="7" t="n">
        <v>45544</v>
      </c>
      <c r="E583" s="7" t="n">
        <v>45553</v>
      </c>
      <c r="F583" s="6" t="s">
        <v>67</v>
      </c>
      <c r="G583" s="6" t="s">
        <v>61</v>
      </c>
      <c r="H583" s="8" t="n">
        <v>27540.56</v>
      </c>
      <c r="I583" s="6" t="n">
        <v>603112</v>
      </c>
      <c r="J583" s="6" t="n">
        <v>8439</v>
      </c>
      <c r="K583" s="6" t="n">
        <v>546</v>
      </c>
      <c r="L583" s="8" t="n">
        <v>477002.59</v>
      </c>
      <c r="M583" s="9" t="n">
        <v>0.0139924259507355</v>
      </c>
      <c r="N583" s="8" t="n">
        <v>3.26348619504681</v>
      </c>
      <c r="O583" s="8" t="n">
        <v>50.4405860805861</v>
      </c>
      <c r="P583" s="10" t="n">
        <v>17.3200032969555</v>
      </c>
      <c r="Q583" s="9" t="n">
        <v>0.0646996089584074</v>
      </c>
    </row>
    <row r="584" customFormat="false" ht="15" hidden="false" customHeight="false" outlineLevel="0" collapsed="false">
      <c r="A584" s="6" t="n">
        <v>1478</v>
      </c>
      <c r="B584" s="6" t="s">
        <v>64</v>
      </c>
      <c r="C584" s="6" t="s">
        <v>71</v>
      </c>
      <c r="D584" s="7" t="n">
        <v>45295</v>
      </c>
      <c r="E584" s="7" t="n">
        <v>45304</v>
      </c>
      <c r="F584" s="6" t="s">
        <v>51</v>
      </c>
      <c r="G584" s="6" t="s">
        <v>57</v>
      </c>
      <c r="H584" s="8" t="n">
        <v>21007.01</v>
      </c>
      <c r="I584" s="6" t="n">
        <v>562304</v>
      </c>
      <c r="J584" s="6" t="n">
        <v>9125</v>
      </c>
      <c r="K584" s="6" t="n">
        <v>324</v>
      </c>
      <c r="L584" s="8" t="n">
        <v>532552.45</v>
      </c>
      <c r="M584" s="9" t="n">
        <v>0.0162278767357159</v>
      </c>
      <c r="N584" s="8" t="n">
        <v>2.30213808219178</v>
      </c>
      <c r="O584" s="8" t="n">
        <v>64.8364506172839</v>
      </c>
      <c r="P584" s="10" t="n">
        <v>25.3511780115304</v>
      </c>
      <c r="Q584" s="9" t="n">
        <v>0.0355068493150685</v>
      </c>
    </row>
    <row r="585" customFormat="false" ht="15" hidden="false" customHeight="false" outlineLevel="0" collapsed="false">
      <c r="A585" s="6" t="n">
        <v>1604</v>
      </c>
      <c r="B585" s="6" t="s">
        <v>52</v>
      </c>
      <c r="C585" s="6" t="s">
        <v>47</v>
      </c>
      <c r="D585" s="7" t="n">
        <v>45377</v>
      </c>
      <c r="E585" s="7" t="n">
        <v>45402</v>
      </c>
      <c r="F585" s="6" t="s">
        <v>65</v>
      </c>
      <c r="G585" s="6" t="s">
        <v>57</v>
      </c>
      <c r="H585" s="8" t="n">
        <v>5979.43</v>
      </c>
      <c r="I585" s="6" t="n">
        <v>215240</v>
      </c>
      <c r="J585" s="6" t="n">
        <v>4695</v>
      </c>
      <c r="K585" s="6" t="n">
        <v>208</v>
      </c>
      <c r="L585" s="8" t="n">
        <v>310751.86</v>
      </c>
      <c r="M585" s="9" t="n">
        <v>0.0218128600631853</v>
      </c>
      <c r="N585" s="8" t="n">
        <v>1.27357401490948</v>
      </c>
      <c r="O585" s="8" t="n">
        <v>28.7472596153846</v>
      </c>
      <c r="P585" s="10" t="n">
        <v>51.9701476562147</v>
      </c>
      <c r="Q585" s="9" t="n">
        <v>0.0443024494142705</v>
      </c>
    </row>
    <row r="586" customFormat="false" ht="15" hidden="false" customHeight="false" outlineLevel="0" collapsed="false">
      <c r="A586" s="6" t="n">
        <v>1466</v>
      </c>
      <c r="B586" s="6" t="s">
        <v>74</v>
      </c>
      <c r="C586" s="6" t="s">
        <v>63</v>
      </c>
      <c r="D586" s="7" t="n">
        <v>45398</v>
      </c>
      <c r="E586" s="7" t="n">
        <v>45424</v>
      </c>
      <c r="F586" s="6" t="s">
        <v>53</v>
      </c>
      <c r="G586" s="6" t="s">
        <v>57</v>
      </c>
      <c r="H586" s="8" t="n">
        <v>13949.22</v>
      </c>
      <c r="I586" s="6" t="n">
        <v>418163</v>
      </c>
      <c r="J586" s="6" t="n">
        <v>4348</v>
      </c>
      <c r="K586" s="6" t="n">
        <v>212</v>
      </c>
      <c r="L586" s="8" t="n">
        <v>320277.69</v>
      </c>
      <c r="M586" s="9" t="n">
        <v>0.0103978592080122</v>
      </c>
      <c r="N586" s="8" t="n">
        <v>3.20819227230911</v>
      </c>
      <c r="O586" s="8" t="n">
        <v>65.7982075471698</v>
      </c>
      <c r="P586" s="10" t="n">
        <v>22.96025799292</v>
      </c>
      <c r="Q586" s="9" t="n">
        <v>0.0487580496780129</v>
      </c>
    </row>
    <row r="587" customFormat="false" ht="15" hidden="false" customHeight="false" outlineLevel="0" collapsed="false">
      <c r="A587" s="6" t="n">
        <v>1097</v>
      </c>
      <c r="B587" s="6" t="s">
        <v>52</v>
      </c>
      <c r="C587" s="6" t="s">
        <v>59</v>
      </c>
      <c r="D587" s="7" t="n">
        <v>45595</v>
      </c>
      <c r="E587" s="7" t="n">
        <v>45610</v>
      </c>
      <c r="F587" s="6" t="s">
        <v>67</v>
      </c>
      <c r="G587" s="6" t="s">
        <v>49</v>
      </c>
      <c r="H587" s="8" t="n">
        <v>77121.7</v>
      </c>
      <c r="I587" s="6" t="n">
        <v>2183199</v>
      </c>
      <c r="J587" s="6" t="n">
        <v>57335</v>
      </c>
      <c r="K587" s="6" t="n">
        <v>1776</v>
      </c>
      <c r="L587" s="8" t="n">
        <v>2722316.4</v>
      </c>
      <c r="M587" s="9" t="n">
        <v>0.0262619211533168</v>
      </c>
      <c r="N587" s="8" t="n">
        <v>1.34510682828988</v>
      </c>
      <c r="O587" s="8" t="n">
        <v>43.4243806306306</v>
      </c>
      <c r="P587" s="10" t="n">
        <v>35.2989677354104</v>
      </c>
      <c r="Q587" s="9" t="n">
        <v>0.0309758437254731</v>
      </c>
    </row>
    <row r="588" customFormat="false" ht="15" hidden="false" customHeight="false" outlineLevel="0" collapsed="false">
      <c r="A588" s="6" t="n">
        <v>1093</v>
      </c>
      <c r="B588" s="6" t="s">
        <v>68</v>
      </c>
      <c r="C588" s="6" t="s">
        <v>63</v>
      </c>
      <c r="D588" s="7" t="n">
        <v>45364</v>
      </c>
      <c r="E588" s="7" t="n">
        <v>45372</v>
      </c>
      <c r="F588" s="6" t="s">
        <v>65</v>
      </c>
      <c r="G588" s="6" t="s">
        <v>49</v>
      </c>
      <c r="H588" s="8" t="n">
        <v>18769.33</v>
      </c>
      <c r="I588" s="6" t="n">
        <v>461795</v>
      </c>
      <c r="J588" s="6" t="n">
        <v>10834</v>
      </c>
      <c r="K588" s="6" t="n">
        <v>296</v>
      </c>
      <c r="L588" s="8" t="n">
        <v>474989.98</v>
      </c>
      <c r="M588" s="9" t="n">
        <v>0.0234606264684546</v>
      </c>
      <c r="N588" s="8" t="n">
        <v>1.73244692634299</v>
      </c>
      <c r="O588" s="8" t="n">
        <v>63.4098986486487</v>
      </c>
      <c r="P588" s="10" t="n">
        <v>25.3067094030527</v>
      </c>
      <c r="Q588" s="9" t="n">
        <v>0.0273213956064242</v>
      </c>
    </row>
    <row r="589" customFormat="false" ht="15" hidden="false" customHeight="false" outlineLevel="0" collapsed="false">
      <c r="A589" s="6" t="n">
        <v>1105</v>
      </c>
      <c r="B589" s="6" t="s">
        <v>46</v>
      </c>
      <c r="C589" s="6" t="s">
        <v>63</v>
      </c>
      <c r="D589" s="7" t="n">
        <v>45381</v>
      </c>
      <c r="E589" s="7" t="n">
        <v>45405</v>
      </c>
      <c r="F589" s="6" t="s">
        <v>65</v>
      </c>
      <c r="G589" s="6" t="s">
        <v>72</v>
      </c>
      <c r="H589" s="8" t="n">
        <v>45469.88</v>
      </c>
      <c r="I589" s="6" t="n">
        <v>1622126</v>
      </c>
      <c r="J589" s="6" t="n">
        <v>33186</v>
      </c>
      <c r="K589" s="6" t="n">
        <v>533</v>
      </c>
      <c r="L589" s="8" t="n">
        <v>703784.39</v>
      </c>
      <c r="M589" s="9" t="n">
        <v>0.0204583367753183</v>
      </c>
      <c r="N589" s="8" t="n">
        <v>1.37015247393479</v>
      </c>
      <c r="O589" s="8" t="n">
        <v>85.3093433395872</v>
      </c>
      <c r="P589" s="10" t="n">
        <v>15.4780349101427</v>
      </c>
      <c r="Q589" s="9" t="n">
        <v>0.0160609895739167</v>
      </c>
    </row>
    <row r="590" customFormat="false" ht="15" hidden="false" customHeight="false" outlineLevel="0" collapsed="false">
      <c r="A590" s="6" t="n">
        <v>1802</v>
      </c>
      <c r="B590" s="6" t="s">
        <v>66</v>
      </c>
      <c r="C590" s="6" t="s">
        <v>63</v>
      </c>
      <c r="D590" s="7" t="n">
        <v>45499</v>
      </c>
      <c r="E590" s="7" t="n">
        <v>45521</v>
      </c>
      <c r="F590" s="6" t="s">
        <v>48</v>
      </c>
      <c r="G590" s="6" t="s">
        <v>75</v>
      </c>
      <c r="H590" s="8" t="n">
        <v>17628.42</v>
      </c>
      <c r="I590" s="6" t="n">
        <v>524821</v>
      </c>
      <c r="J590" s="6" t="n">
        <v>11459</v>
      </c>
      <c r="K590" s="6" t="n">
        <v>751</v>
      </c>
      <c r="L590" s="8" t="n">
        <v>352153.57</v>
      </c>
      <c r="M590" s="9" t="n">
        <v>0.0218341110588181</v>
      </c>
      <c r="N590" s="8" t="n">
        <v>1.53839078453617</v>
      </c>
      <c r="O590" s="8" t="n">
        <v>23.4732623169108</v>
      </c>
      <c r="P590" s="10" t="n">
        <v>19.9764681122869</v>
      </c>
      <c r="Q590" s="9" t="n">
        <v>0.0655380050615237</v>
      </c>
    </row>
    <row r="591" customFormat="false" ht="15" hidden="false" customHeight="false" outlineLevel="0" collapsed="false">
      <c r="A591" s="6" t="n">
        <v>1228</v>
      </c>
      <c r="B591" s="6" t="s">
        <v>77</v>
      </c>
      <c r="C591" s="6" t="s">
        <v>47</v>
      </c>
      <c r="D591" s="7" t="n">
        <v>45423</v>
      </c>
      <c r="E591" s="7" t="n">
        <v>45434</v>
      </c>
      <c r="F591" s="6" t="s">
        <v>60</v>
      </c>
      <c r="G591" s="6" t="s">
        <v>54</v>
      </c>
      <c r="H591" s="8" t="n">
        <v>5964.04</v>
      </c>
      <c r="I591" s="6" t="n">
        <v>207164</v>
      </c>
      <c r="J591" s="6" t="n">
        <v>4627</v>
      </c>
      <c r="K591" s="6" t="n">
        <v>84</v>
      </c>
      <c r="L591" s="8" t="n">
        <v>30276.24</v>
      </c>
      <c r="M591" s="9" t="n">
        <v>0.0223349616728775</v>
      </c>
      <c r="N591" s="8" t="n">
        <v>1.28896477199049</v>
      </c>
      <c r="O591" s="8" t="n">
        <v>71.0004761904762</v>
      </c>
      <c r="P591" s="10" t="n">
        <v>5.07646494657984</v>
      </c>
      <c r="Q591" s="9" t="n">
        <v>0.0181543116490166</v>
      </c>
    </row>
    <row r="592" customFormat="false" ht="15" hidden="false" customHeight="false" outlineLevel="0" collapsed="false">
      <c r="A592" s="6" t="n">
        <v>1405</v>
      </c>
      <c r="B592" s="6" t="s">
        <v>74</v>
      </c>
      <c r="C592" s="6" t="s">
        <v>71</v>
      </c>
      <c r="D592" s="7" t="n">
        <v>45431</v>
      </c>
      <c r="E592" s="7" t="n">
        <v>45455</v>
      </c>
      <c r="F592" s="6" t="s">
        <v>51</v>
      </c>
      <c r="G592" s="6" t="s">
        <v>75</v>
      </c>
      <c r="H592" s="8" t="n">
        <v>51653.36</v>
      </c>
      <c r="I592" s="6" t="n">
        <v>1265705</v>
      </c>
      <c r="J592" s="6" t="n">
        <v>19672</v>
      </c>
      <c r="K592" s="6" t="n">
        <v>1067</v>
      </c>
      <c r="L592" s="8" t="n">
        <v>1278779</v>
      </c>
      <c r="M592" s="9" t="n">
        <v>0.0155423262134542</v>
      </c>
      <c r="N592" s="8" t="n">
        <v>2.62572997153314</v>
      </c>
      <c r="O592" s="8" t="n">
        <v>48.4098969072165</v>
      </c>
      <c r="P592" s="10" t="n">
        <v>24.7569373996193</v>
      </c>
      <c r="Q592" s="9" t="n">
        <v>0.0542395282635218</v>
      </c>
    </row>
    <row r="593" customFormat="false" ht="15" hidden="false" customHeight="false" outlineLevel="0" collapsed="false">
      <c r="A593" s="6" t="n">
        <v>1714</v>
      </c>
      <c r="B593" s="6" t="s">
        <v>46</v>
      </c>
      <c r="C593" s="6" t="s">
        <v>63</v>
      </c>
      <c r="D593" s="7" t="n">
        <v>45363</v>
      </c>
      <c r="E593" s="7" t="n">
        <v>45374</v>
      </c>
      <c r="F593" s="6" t="s">
        <v>69</v>
      </c>
      <c r="G593" s="6" t="s">
        <v>72</v>
      </c>
      <c r="H593" s="8" t="n">
        <v>46768.72</v>
      </c>
      <c r="I593" s="6" t="n">
        <v>918508</v>
      </c>
      <c r="J593" s="6" t="n">
        <v>24384</v>
      </c>
      <c r="K593" s="6" t="n">
        <v>400</v>
      </c>
      <c r="L593" s="8" t="n">
        <v>391122.23</v>
      </c>
      <c r="M593" s="9" t="n">
        <v>0.0265474007847509</v>
      </c>
      <c r="N593" s="8" t="n">
        <v>1.91800853018373</v>
      </c>
      <c r="O593" s="8" t="n">
        <v>116.9218</v>
      </c>
      <c r="P593" s="10" t="n">
        <v>8.36290217051055</v>
      </c>
      <c r="Q593" s="9" t="n">
        <v>0.0164041994750656</v>
      </c>
    </row>
    <row r="594" customFormat="false" ht="15" hidden="false" customHeight="false" outlineLevel="0" collapsed="false">
      <c r="A594" s="6" t="n">
        <v>1323</v>
      </c>
      <c r="B594" s="6" t="s">
        <v>74</v>
      </c>
      <c r="C594" s="6" t="s">
        <v>59</v>
      </c>
      <c r="D594" s="7" t="n">
        <v>45418</v>
      </c>
      <c r="E594" s="7" t="n">
        <v>45430</v>
      </c>
      <c r="F594" s="6" t="s">
        <v>60</v>
      </c>
      <c r="G594" s="6" t="s">
        <v>75</v>
      </c>
      <c r="H594" s="8" t="n">
        <v>47568.65</v>
      </c>
      <c r="I594" s="6" t="n">
        <v>978019</v>
      </c>
      <c r="J594" s="6" t="n">
        <v>32102</v>
      </c>
      <c r="K594" s="6" t="n">
        <v>2447</v>
      </c>
      <c r="L594" s="8" t="n">
        <v>4098588.81</v>
      </c>
      <c r="M594" s="9" t="n">
        <v>0.0328234932041198</v>
      </c>
      <c r="N594" s="8" t="n">
        <v>1.48179708429381</v>
      </c>
      <c r="O594" s="8" t="n">
        <v>19.4395790764201</v>
      </c>
      <c r="P594" s="10" t="n">
        <v>86.161554090772</v>
      </c>
      <c r="Q594" s="9" t="n">
        <v>0.0762257803252134</v>
      </c>
    </row>
    <row r="595" customFormat="false" ht="15" hidden="false" customHeight="false" outlineLevel="0" collapsed="false">
      <c r="A595" s="6" t="n">
        <v>1602</v>
      </c>
      <c r="B595" s="6" t="s">
        <v>62</v>
      </c>
      <c r="C595" s="6" t="s">
        <v>63</v>
      </c>
      <c r="D595" s="7" t="n">
        <v>45461</v>
      </c>
      <c r="E595" s="7" t="n">
        <v>45484</v>
      </c>
      <c r="F595" s="6" t="s">
        <v>60</v>
      </c>
      <c r="G595" s="6" t="s">
        <v>57</v>
      </c>
      <c r="H595" s="8" t="n">
        <v>30785.98</v>
      </c>
      <c r="I595" s="6" t="n">
        <v>1277222</v>
      </c>
      <c r="J595" s="6" t="n">
        <v>34635</v>
      </c>
      <c r="K595" s="6" t="n">
        <v>1839</v>
      </c>
      <c r="L595" s="8" t="n">
        <v>3068156.57</v>
      </c>
      <c r="M595" s="9" t="n">
        <v>0.0271174470843753</v>
      </c>
      <c r="N595" s="8" t="n">
        <v>0.888869063086473</v>
      </c>
      <c r="O595" s="8" t="n">
        <v>16.7406090266449</v>
      </c>
      <c r="P595" s="10" t="n">
        <v>99.6608381477543</v>
      </c>
      <c r="Q595" s="9" t="n">
        <v>0.0530965786054569</v>
      </c>
    </row>
    <row r="596" customFormat="false" ht="15" hidden="false" customHeight="false" outlineLevel="0" collapsed="false">
      <c r="A596" s="6" t="n">
        <v>1264</v>
      </c>
      <c r="B596" s="6" t="s">
        <v>79</v>
      </c>
      <c r="C596" s="6" t="s">
        <v>59</v>
      </c>
      <c r="D596" s="7" t="n">
        <v>45584</v>
      </c>
      <c r="E596" s="7" t="n">
        <v>45612</v>
      </c>
      <c r="F596" s="6" t="s">
        <v>51</v>
      </c>
      <c r="G596" s="6" t="s">
        <v>61</v>
      </c>
      <c r="H596" s="8" t="n">
        <v>56111.43</v>
      </c>
      <c r="I596" s="6" t="n">
        <v>1209984</v>
      </c>
      <c r="J596" s="6" t="n">
        <v>20516</v>
      </c>
      <c r="K596" s="6" t="n">
        <v>829</v>
      </c>
      <c r="L596" s="8" t="n">
        <v>1129025.25</v>
      </c>
      <c r="M596" s="9" t="n">
        <v>0.016955596107056</v>
      </c>
      <c r="N596" s="8" t="n">
        <v>2.73500828621564</v>
      </c>
      <c r="O596" s="8" t="n">
        <v>67.685681544029</v>
      </c>
      <c r="P596" s="10" t="n">
        <v>20.1211277274523</v>
      </c>
      <c r="Q596" s="9" t="n">
        <v>0.0404074868395399</v>
      </c>
    </row>
    <row r="597" customFormat="false" ht="15" hidden="false" customHeight="false" outlineLevel="0" collapsed="false">
      <c r="A597" s="6" t="n">
        <v>1721</v>
      </c>
      <c r="B597" s="6" t="s">
        <v>76</v>
      </c>
      <c r="C597" s="6" t="s">
        <v>63</v>
      </c>
      <c r="D597" s="7" t="n">
        <v>45472</v>
      </c>
      <c r="E597" s="7" t="n">
        <v>45480</v>
      </c>
      <c r="F597" s="6" t="s">
        <v>69</v>
      </c>
      <c r="G597" s="6" t="s">
        <v>49</v>
      </c>
      <c r="H597" s="8" t="n">
        <v>47929.81</v>
      </c>
      <c r="I597" s="6" t="n">
        <v>1564937</v>
      </c>
      <c r="J597" s="6" t="n">
        <v>36360</v>
      </c>
      <c r="K597" s="6" t="n">
        <v>723</v>
      </c>
      <c r="L597" s="8" t="n">
        <v>796894.88</v>
      </c>
      <c r="M597" s="9" t="n">
        <v>0.0232341621419904</v>
      </c>
      <c r="N597" s="8" t="n">
        <v>1.31820159515952</v>
      </c>
      <c r="O597" s="8" t="n">
        <v>66.2929598893499</v>
      </c>
      <c r="P597" s="10" t="n">
        <v>16.6262891507394</v>
      </c>
      <c r="Q597" s="9" t="n">
        <v>0.0198844884488449</v>
      </c>
    </row>
    <row r="598" customFormat="false" ht="15" hidden="false" customHeight="false" outlineLevel="0" collapsed="false">
      <c r="A598" s="6" t="n">
        <v>1696</v>
      </c>
      <c r="B598" s="6" t="s">
        <v>78</v>
      </c>
      <c r="C598" s="6" t="s">
        <v>50</v>
      </c>
      <c r="D598" s="7" t="n">
        <v>45328</v>
      </c>
      <c r="E598" s="7" t="n">
        <v>45353</v>
      </c>
      <c r="F598" s="6" t="s">
        <v>65</v>
      </c>
      <c r="G598" s="6" t="s">
        <v>49</v>
      </c>
      <c r="H598" s="8" t="n">
        <v>18069.49</v>
      </c>
      <c r="I598" s="6" t="n">
        <v>678607</v>
      </c>
      <c r="J598" s="6" t="n">
        <v>13338</v>
      </c>
      <c r="K598" s="6" t="n">
        <v>304</v>
      </c>
      <c r="L598" s="8" t="n">
        <v>250708.47</v>
      </c>
      <c r="M598" s="9" t="n">
        <v>0.0196549696658007</v>
      </c>
      <c r="N598" s="8" t="n">
        <v>1.35473759184286</v>
      </c>
      <c r="O598" s="8" t="n">
        <v>59.4391118421053</v>
      </c>
      <c r="P598" s="10" t="n">
        <v>13.874684343609</v>
      </c>
      <c r="Q598" s="9" t="n">
        <v>0.0227920227920228</v>
      </c>
    </row>
    <row r="599" customFormat="false" ht="15" hidden="false" customHeight="false" outlineLevel="0" collapsed="false">
      <c r="A599" s="6" t="n">
        <v>1654</v>
      </c>
      <c r="B599" s="6" t="s">
        <v>66</v>
      </c>
      <c r="C599" s="6" t="s">
        <v>63</v>
      </c>
      <c r="D599" s="7" t="n">
        <v>45302</v>
      </c>
      <c r="E599" s="7" t="n">
        <v>45319</v>
      </c>
      <c r="F599" s="6" t="s">
        <v>60</v>
      </c>
      <c r="G599" s="6" t="s">
        <v>49</v>
      </c>
      <c r="H599" s="8" t="n">
        <v>18927.81</v>
      </c>
      <c r="I599" s="6" t="n">
        <v>579044</v>
      </c>
      <c r="J599" s="6" t="n">
        <v>9669</v>
      </c>
      <c r="K599" s="6" t="n">
        <v>102</v>
      </c>
      <c r="L599" s="8" t="n">
        <v>83380.64</v>
      </c>
      <c r="M599" s="9" t="n">
        <v>0.0166982129164623</v>
      </c>
      <c r="N599" s="8" t="n">
        <v>1.95757679180887</v>
      </c>
      <c r="O599" s="8" t="n">
        <v>185.566764705882</v>
      </c>
      <c r="P599" s="10" t="n">
        <v>4.40519214848416</v>
      </c>
      <c r="Q599" s="9" t="n">
        <v>0.0105491777846727</v>
      </c>
    </row>
    <row r="600" customFormat="false" ht="15" hidden="false" customHeight="false" outlineLevel="0" collapsed="false">
      <c r="A600" s="6" t="n">
        <v>1214</v>
      </c>
      <c r="B600" s="6" t="s">
        <v>74</v>
      </c>
      <c r="C600" s="6" t="s">
        <v>47</v>
      </c>
      <c r="D600" s="7" t="n">
        <v>45571</v>
      </c>
      <c r="E600" s="7" t="n">
        <v>45585</v>
      </c>
      <c r="F600" s="6" t="s">
        <v>60</v>
      </c>
      <c r="G600" s="6" t="s">
        <v>57</v>
      </c>
      <c r="H600" s="8" t="n">
        <v>2008.53</v>
      </c>
      <c r="I600" s="6" t="n">
        <v>64136</v>
      </c>
      <c r="J600" s="6" t="n">
        <v>2079</v>
      </c>
      <c r="K600" s="6" t="n">
        <v>136</v>
      </c>
      <c r="L600" s="8" t="n">
        <v>191422.81</v>
      </c>
      <c r="M600" s="9" t="n">
        <v>0.0324154920793314</v>
      </c>
      <c r="N600" s="8" t="n">
        <v>0.966103896103896</v>
      </c>
      <c r="O600" s="8" t="n">
        <v>14.7686029411765</v>
      </c>
      <c r="P600" s="10" t="n">
        <v>95.3049294757858</v>
      </c>
      <c r="Q600" s="9" t="n">
        <v>0.0654160654160654</v>
      </c>
    </row>
    <row r="601" customFormat="false" ht="15" hidden="false" customHeight="false" outlineLevel="0" collapsed="false">
      <c r="A601" s="6" t="n">
        <v>1222</v>
      </c>
      <c r="B601" s="6" t="s">
        <v>58</v>
      </c>
      <c r="C601" s="6" t="s">
        <v>59</v>
      </c>
      <c r="D601" s="7" t="n">
        <v>45556</v>
      </c>
      <c r="E601" s="7" t="n">
        <v>45569</v>
      </c>
      <c r="F601" s="6" t="s">
        <v>53</v>
      </c>
      <c r="G601" s="6" t="s">
        <v>72</v>
      </c>
      <c r="H601" s="8" t="n">
        <v>87950.56</v>
      </c>
      <c r="I601" s="6" t="n">
        <v>1809361</v>
      </c>
      <c r="J601" s="6" t="n">
        <v>31076</v>
      </c>
      <c r="K601" s="6" t="n">
        <v>2088</v>
      </c>
      <c r="L601" s="8" t="n">
        <v>1775419.86</v>
      </c>
      <c r="M601" s="9" t="n">
        <v>0.0171751242565746</v>
      </c>
      <c r="N601" s="8" t="n">
        <v>2.83017634187154</v>
      </c>
      <c r="O601" s="8" t="n">
        <v>42.1219157088123</v>
      </c>
      <c r="P601" s="10" t="n">
        <v>20.1865668621098</v>
      </c>
      <c r="Q601" s="9" t="n">
        <v>0.0671901145578582</v>
      </c>
    </row>
    <row r="602" customFormat="false" ht="15" hidden="false" customHeight="false" outlineLevel="0" collapsed="false">
      <c r="A602" s="6" t="n">
        <v>1210</v>
      </c>
      <c r="B602" s="6" t="s">
        <v>76</v>
      </c>
      <c r="C602" s="6" t="s">
        <v>59</v>
      </c>
      <c r="D602" s="7" t="n">
        <v>45415</v>
      </c>
      <c r="E602" s="7" t="n">
        <v>45440</v>
      </c>
      <c r="F602" s="6" t="s">
        <v>51</v>
      </c>
      <c r="G602" s="6" t="s">
        <v>54</v>
      </c>
      <c r="H602" s="8" t="n">
        <v>83895.55</v>
      </c>
      <c r="I602" s="6" t="n">
        <v>1769833</v>
      </c>
      <c r="J602" s="6" t="n">
        <v>10966</v>
      </c>
      <c r="K602" s="6" t="n">
        <v>789</v>
      </c>
      <c r="L602" s="8" t="n">
        <v>712459.33</v>
      </c>
      <c r="M602" s="9" t="n">
        <v>0.00619606482645538</v>
      </c>
      <c r="N602" s="8" t="n">
        <v>7.6505152288893</v>
      </c>
      <c r="O602" s="8" t="n">
        <v>106.331495564005</v>
      </c>
      <c r="P602" s="10" t="n">
        <v>8.49221835961502</v>
      </c>
      <c r="Q602" s="9" t="n">
        <v>0.0719496625934707</v>
      </c>
    </row>
    <row r="603" customFormat="false" ht="15" hidden="false" customHeight="false" outlineLevel="0" collapsed="false">
      <c r="A603" s="6" t="n">
        <v>1245</v>
      </c>
      <c r="B603" s="6" t="s">
        <v>68</v>
      </c>
      <c r="C603" s="6" t="s">
        <v>63</v>
      </c>
      <c r="D603" s="7" t="n">
        <v>45568</v>
      </c>
      <c r="E603" s="7" t="n">
        <v>45581</v>
      </c>
      <c r="F603" s="6" t="s">
        <v>51</v>
      </c>
      <c r="G603" s="6" t="s">
        <v>72</v>
      </c>
      <c r="H603" s="8" t="n">
        <v>25573.18</v>
      </c>
      <c r="I603" s="6" t="n">
        <v>1003454</v>
      </c>
      <c r="J603" s="6" t="n">
        <v>26018</v>
      </c>
      <c r="K603" s="6" t="n">
        <v>582</v>
      </c>
      <c r="L603" s="8" t="n">
        <v>708001.31</v>
      </c>
      <c r="M603" s="9" t="n">
        <v>0.0259284431573346</v>
      </c>
      <c r="N603" s="8" t="n">
        <v>0.982903374586825</v>
      </c>
      <c r="O603" s="8" t="n">
        <v>43.9401718213058</v>
      </c>
      <c r="P603" s="10" t="n">
        <v>27.6853058555878</v>
      </c>
      <c r="Q603" s="9" t="n">
        <v>0.0223691290644938</v>
      </c>
    </row>
    <row r="604" customFormat="false" ht="15" hidden="false" customHeight="false" outlineLevel="0" collapsed="false">
      <c r="A604" s="6" t="n">
        <v>1658</v>
      </c>
      <c r="B604" s="6" t="s">
        <v>79</v>
      </c>
      <c r="C604" s="6" t="s">
        <v>50</v>
      </c>
      <c r="D604" s="7" t="n">
        <v>45525</v>
      </c>
      <c r="E604" s="7" t="n">
        <v>45530</v>
      </c>
      <c r="F604" s="6" t="s">
        <v>53</v>
      </c>
      <c r="G604" s="6" t="s">
        <v>57</v>
      </c>
      <c r="H604" s="8" t="n">
        <v>36602.04</v>
      </c>
      <c r="I604" s="6" t="n">
        <v>933364</v>
      </c>
      <c r="J604" s="6" t="n">
        <v>31591</v>
      </c>
      <c r="K604" s="6" t="n">
        <v>537</v>
      </c>
      <c r="L604" s="8" t="n">
        <v>468569.58</v>
      </c>
      <c r="M604" s="9" t="n">
        <v>0.0338463879043974</v>
      </c>
      <c r="N604" s="8" t="n">
        <v>1.15862239245355</v>
      </c>
      <c r="O604" s="8" t="n">
        <v>68.1602234636872</v>
      </c>
      <c r="P604" s="10" t="n">
        <v>12.8017340017114</v>
      </c>
      <c r="Q604" s="9" t="n">
        <v>0.0169985122344972</v>
      </c>
    </row>
    <row r="605" customFormat="false" ht="15" hidden="false" customHeight="false" outlineLevel="0" collapsed="false">
      <c r="A605" s="6" t="n">
        <v>1811</v>
      </c>
      <c r="B605" s="6" t="s">
        <v>79</v>
      </c>
      <c r="C605" s="6" t="s">
        <v>50</v>
      </c>
      <c r="D605" s="7" t="n">
        <v>45486</v>
      </c>
      <c r="E605" s="7" t="n">
        <v>45506</v>
      </c>
      <c r="F605" s="6" t="s">
        <v>53</v>
      </c>
      <c r="G605" s="6" t="s">
        <v>57</v>
      </c>
      <c r="H605" s="8" t="n">
        <v>23738.81</v>
      </c>
      <c r="I605" s="6" t="n">
        <v>501413</v>
      </c>
      <c r="J605" s="6" t="n">
        <v>3196</v>
      </c>
      <c r="K605" s="6" t="n">
        <v>107</v>
      </c>
      <c r="L605" s="8" t="n">
        <v>110585.2</v>
      </c>
      <c r="M605" s="9" t="n">
        <v>0.0063739871124203</v>
      </c>
      <c r="N605" s="8" t="n">
        <v>7.42766270337923</v>
      </c>
      <c r="O605" s="8" t="n">
        <v>221.858037383178</v>
      </c>
      <c r="P605" s="10" t="n">
        <v>4.65841379580527</v>
      </c>
      <c r="Q605" s="9" t="n">
        <v>0.0334793491864831</v>
      </c>
    </row>
    <row r="606" customFormat="false" ht="15" hidden="false" customHeight="false" outlineLevel="0" collapsed="false">
      <c r="A606" s="6" t="n">
        <v>1039</v>
      </c>
      <c r="B606" s="6" t="s">
        <v>58</v>
      </c>
      <c r="C606" s="6" t="s">
        <v>47</v>
      </c>
      <c r="D606" s="7" t="n">
        <v>45333</v>
      </c>
      <c r="E606" s="7" t="n">
        <v>45343</v>
      </c>
      <c r="F606" s="6" t="s">
        <v>67</v>
      </c>
      <c r="G606" s="6" t="s">
        <v>54</v>
      </c>
      <c r="H606" s="8" t="n">
        <v>2216.69</v>
      </c>
      <c r="I606" s="6" t="n">
        <v>37410</v>
      </c>
      <c r="J606" s="6" t="n">
        <v>190</v>
      </c>
      <c r="K606" s="6" t="n">
        <v>7</v>
      </c>
      <c r="L606" s="8" t="n">
        <v>8477.18</v>
      </c>
      <c r="M606" s="9" t="n">
        <v>0.00507885592087677</v>
      </c>
      <c r="N606" s="8" t="n">
        <v>11.6667894736842</v>
      </c>
      <c r="O606" s="8" t="n">
        <v>316.67</v>
      </c>
      <c r="P606" s="10" t="n">
        <v>3.82425147404463</v>
      </c>
      <c r="Q606" s="9" t="n">
        <v>0.0368421052631579</v>
      </c>
    </row>
    <row r="607" customFormat="false" ht="15" hidden="false" customHeight="false" outlineLevel="0" collapsed="false">
      <c r="A607" s="6" t="n">
        <v>1064</v>
      </c>
      <c r="B607" s="6" t="s">
        <v>58</v>
      </c>
      <c r="C607" s="6" t="s">
        <v>59</v>
      </c>
      <c r="D607" s="7" t="n">
        <v>45465</v>
      </c>
      <c r="E607" s="7" t="n">
        <v>45481</v>
      </c>
      <c r="F607" s="6" t="s">
        <v>67</v>
      </c>
      <c r="G607" s="6" t="s">
        <v>72</v>
      </c>
      <c r="H607" s="8" t="n">
        <v>28605.42</v>
      </c>
      <c r="I607" s="6" t="n">
        <v>531525</v>
      </c>
      <c r="J607" s="6" t="n">
        <v>13139</v>
      </c>
      <c r="K607" s="6" t="n">
        <v>195</v>
      </c>
      <c r="L607" s="8" t="n">
        <v>277759</v>
      </c>
      <c r="M607" s="9" t="n">
        <v>0.0247194393490429</v>
      </c>
      <c r="N607" s="8" t="n">
        <v>2.17713829058528</v>
      </c>
      <c r="O607" s="8" t="n">
        <v>146.694461538462</v>
      </c>
      <c r="P607" s="10" t="n">
        <v>9.71001299753683</v>
      </c>
      <c r="Q607" s="9" t="n">
        <v>0.0148413121242104</v>
      </c>
    </row>
    <row r="608" customFormat="false" ht="15" hidden="false" customHeight="false" outlineLevel="0" collapsed="false">
      <c r="A608" s="6" t="n">
        <v>1477</v>
      </c>
      <c r="B608" s="6" t="s">
        <v>79</v>
      </c>
      <c r="C608" s="6" t="s">
        <v>50</v>
      </c>
      <c r="D608" s="7" t="n">
        <v>45529</v>
      </c>
      <c r="E608" s="7" t="n">
        <v>45553</v>
      </c>
      <c r="F608" s="6" t="s">
        <v>69</v>
      </c>
      <c r="G608" s="6" t="s">
        <v>49</v>
      </c>
      <c r="H608" s="8" t="n">
        <v>14024.77</v>
      </c>
      <c r="I608" s="6" t="n">
        <v>212437</v>
      </c>
      <c r="J608" s="6" t="n">
        <v>3996</v>
      </c>
      <c r="K608" s="6" t="n">
        <v>123</v>
      </c>
      <c r="L608" s="8" t="n">
        <v>62162.71</v>
      </c>
      <c r="M608" s="9" t="n">
        <v>0.0188102825778937</v>
      </c>
      <c r="N608" s="8" t="n">
        <v>3.5097022022022</v>
      </c>
      <c r="O608" s="8" t="n">
        <v>114.022520325203</v>
      </c>
      <c r="P608" s="10" t="n">
        <v>4.43235147528266</v>
      </c>
      <c r="Q608" s="9" t="n">
        <v>0.0307807807807808</v>
      </c>
    </row>
    <row r="609" customFormat="false" ht="15" hidden="false" customHeight="false" outlineLevel="0" collapsed="false">
      <c r="A609" s="6" t="n">
        <v>1138</v>
      </c>
      <c r="B609" s="6" t="s">
        <v>66</v>
      </c>
      <c r="C609" s="6" t="s">
        <v>47</v>
      </c>
      <c r="D609" s="7" t="n">
        <v>45567</v>
      </c>
      <c r="E609" s="7" t="n">
        <v>45581</v>
      </c>
      <c r="F609" s="6" t="s">
        <v>65</v>
      </c>
      <c r="G609" s="6" t="s">
        <v>75</v>
      </c>
      <c r="H609" s="8" t="n">
        <v>6465.18</v>
      </c>
      <c r="I609" s="6" t="n">
        <v>188403</v>
      </c>
      <c r="J609" s="6" t="n">
        <v>5308</v>
      </c>
      <c r="K609" s="6" t="n">
        <v>237</v>
      </c>
      <c r="L609" s="8" t="n">
        <v>258488.48</v>
      </c>
      <c r="M609" s="9" t="n">
        <v>0.0281736490395588</v>
      </c>
      <c r="N609" s="8" t="n">
        <v>1.21800678221552</v>
      </c>
      <c r="O609" s="8" t="n">
        <v>27.2792405063291</v>
      </c>
      <c r="P609" s="10" t="n">
        <v>39.9816370155201</v>
      </c>
      <c r="Q609" s="9" t="n">
        <v>0.0446495855312736</v>
      </c>
    </row>
    <row r="610" customFormat="false" ht="15" hidden="false" customHeight="false" outlineLevel="0" collapsed="false">
      <c r="A610" s="6" t="n">
        <v>1340</v>
      </c>
      <c r="B610" s="6" t="s">
        <v>52</v>
      </c>
      <c r="C610" s="6" t="s">
        <v>63</v>
      </c>
      <c r="D610" s="7" t="n">
        <v>45341</v>
      </c>
      <c r="E610" s="7" t="n">
        <v>45363</v>
      </c>
      <c r="F610" s="6" t="s">
        <v>48</v>
      </c>
      <c r="G610" s="6" t="s">
        <v>72</v>
      </c>
      <c r="H610" s="8" t="n">
        <v>21471.69</v>
      </c>
      <c r="I610" s="6" t="n">
        <v>399221</v>
      </c>
      <c r="J610" s="6" t="n">
        <v>3636</v>
      </c>
      <c r="K610" s="6" t="n">
        <v>107</v>
      </c>
      <c r="L610" s="8" t="n">
        <v>158282.04</v>
      </c>
      <c r="M610" s="9" t="n">
        <v>0.00910773731842764</v>
      </c>
      <c r="N610" s="8" t="n">
        <v>5.90530528052805</v>
      </c>
      <c r="O610" s="8" t="n">
        <v>200.67</v>
      </c>
      <c r="P610" s="10" t="n">
        <v>7.37166194184063</v>
      </c>
      <c r="Q610" s="9" t="n">
        <v>0.0294279427942794</v>
      </c>
    </row>
    <row r="611" customFormat="false" ht="15" hidden="false" customHeight="false" outlineLevel="0" collapsed="false">
      <c r="A611" s="6" t="n">
        <v>1283</v>
      </c>
      <c r="B611" s="6" t="s">
        <v>76</v>
      </c>
      <c r="C611" s="6" t="s">
        <v>59</v>
      </c>
      <c r="D611" s="7" t="n">
        <v>45424</v>
      </c>
      <c r="E611" s="7" t="n">
        <v>45445</v>
      </c>
      <c r="F611" s="6" t="s">
        <v>48</v>
      </c>
      <c r="G611" s="6" t="s">
        <v>72</v>
      </c>
      <c r="H611" s="8" t="n">
        <v>89626.83</v>
      </c>
      <c r="I611" s="6" t="n">
        <v>2137271</v>
      </c>
      <c r="J611" s="6" t="n">
        <v>19003</v>
      </c>
      <c r="K611" s="6" t="n">
        <v>938</v>
      </c>
      <c r="L611" s="8" t="n">
        <v>1035151.86</v>
      </c>
      <c r="M611" s="9" t="n">
        <v>0.00889124495676964</v>
      </c>
      <c r="N611" s="8" t="n">
        <v>4.71645687523023</v>
      </c>
      <c r="O611" s="8" t="n">
        <v>95.5509914712154</v>
      </c>
      <c r="P611" s="10" t="n">
        <v>11.5495757241442</v>
      </c>
      <c r="Q611" s="9" t="n">
        <v>0.0493606272693785</v>
      </c>
    </row>
    <row r="612" customFormat="false" ht="15" hidden="false" customHeight="false" outlineLevel="0" collapsed="false">
      <c r="A612" s="6" t="n">
        <v>1183</v>
      </c>
      <c r="B612" s="6" t="s">
        <v>46</v>
      </c>
      <c r="C612" s="6" t="s">
        <v>71</v>
      </c>
      <c r="D612" s="7" t="n">
        <v>45347</v>
      </c>
      <c r="E612" s="7" t="n">
        <v>45367</v>
      </c>
      <c r="F612" s="6" t="s">
        <v>67</v>
      </c>
      <c r="G612" s="6" t="s">
        <v>57</v>
      </c>
      <c r="H612" s="8" t="n">
        <v>25486.75</v>
      </c>
      <c r="I612" s="6" t="n">
        <v>558467</v>
      </c>
      <c r="J612" s="6" t="n">
        <v>8239</v>
      </c>
      <c r="K612" s="6" t="n">
        <v>242</v>
      </c>
      <c r="L612" s="8" t="n">
        <v>314932.37</v>
      </c>
      <c r="M612" s="9" t="n">
        <v>0.0147528860254948</v>
      </c>
      <c r="N612" s="8" t="n">
        <v>3.09342760043695</v>
      </c>
      <c r="O612" s="8" t="n">
        <v>105.317148760331</v>
      </c>
      <c r="P612" s="10" t="n">
        <v>12.356709662864</v>
      </c>
      <c r="Q612" s="9" t="n">
        <v>0.0293724966622163</v>
      </c>
    </row>
    <row r="613" customFormat="false" ht="15" hidden="false" customHeight="false" outlineLevel="0" collapsed="false">
      <c r="A613" s="6" t="n">
        <v>1532</v>
      </c>
      <c r="B613" s="6" t="s">
        <v>70</v>
      </c>
      <c r="C613" s="6" t="s">
        <v>50</v>
      </c>
      <c r="D613" s="7" t="n">
        <v>45444</v>
      </c>
      <c r="E613" s="7" t="n">
        <v>45471</v>
      </c>
      <c r="F613" s="6" t="s">
        <v>60</v>
      </c>
      <c r="G613" s="6" t="s">
        <v>72</v>
      </c>
      <c r="H613" s="8" t="n">
        <v>44533.56</v>
      </c>
      <c r="I613" s="6" t="n">
        <v>1381761</v>
      </c>
      <c r="J613" s="6" t="n">
        <v>44650</v>
      </c>
      <c r="K613" s="6" t="n">
        <v>3081</v>
      </c>
      <c r="L613" s="8" t="n">
        <v>5267494.64</v>
      </c>
      <c r="M613" s="9" t="n">
        <v>0.0323138371976051</v>
      </c>
      <c r="N613" s="8" t="n">
        <v>0.997392161254199</v>
      </c>
      <c r="O613" s="8" t="n">
        <v>14.4542551119766</v>
      </c>
      <c r="P613" s="10" t="n">
        <v>118.281463238061</v>
      </c>
      <c r="Q613" s="9" t="n">
        <v>0.069003359462486</v>
      </c>
    </row>
    <row r="614" customFormat="false" ht="15" hidden="false" customHeight="false" outlineLevel="0" collapsed="false">
      <c r="A614" s="6" t="n">
        <v>1513</v>
      </c>
      <c r="B614" s="6" t="s">
        <v>77</v>
      </c>
      <c r="C614" s="6" t="s">
        <v>47</v>
      </c>
      <c r="D614" s="7" t="n">
        <v>45386</v>
      </c>
      <c r="E614" s="7" t="n">
        <v>45392</v>
      </c>
      <c r="F614" s="6" t="s">
        <v>67</v>
      </c>
      <c r="G614" s="6" t="s">
        <v>49</v>
      </c>
      <c r="H614" s="8" t="n">
        <v>7264.7</v>
      </c>
      <c r="I614" s="6" t="n">
        <v>186799</v>
      </c>
      <c r="J614" s="6" t="n">
        <v>6332</v>
      </c>
      <c r="K614" s="6" t="n">
        <v>194</v>
      </c>
      <c r="L614" s="8" t="n">
        <v>123767.67</v>
      </c>
      <c r="M614" s="9" t="n">
        <v>0.0338973977376753</v>
      </c>
      <c r="N614" s="8" t="n">
        <v>1.14729943145925</v>
      </c>
      <c r="O614" s="8" t="n">
        <v>37.4469072164948</v>
      </c>
      <c r="P614" s="10" t="n">
        <v>17.0368590581855</v>
      </c>
      <c r="Q614" s="9" t="n">
        <v>0.0306380290587492</v>
      </c>
    </row>
    <row r="615" customFormat="false" ht="15" hidden="false" customHeight="false" outlineLevel="0" collapsed="false">
      <c r="A615" s="6" t="n">
        <v>1709</v>
      </c>
      <c r="B615" s="6" t="s">
        <v>62</v>
      </c>
      <c r="C615" s="6" t="s">
        <v>59</v>
      </c>
      <c r="D615" s="7" t="n">
        <v>45335</v>
      </c>
      <c r="E615" s="7" t="n">
        <v>45351</v>
      </c>
      <c r="F615" s="6" t="s">
        <v>48</v>
      </c>
      <c r="G615" s="6" t="s">
        <v>49</v>
      </c>
      <c r="H615" s="8" t="n">
        <v>28292.66</v>
      </c>
      <c r="I615" s="6" t="n">
        <v>865777</v>
      </c>
      <c r="J615" s="6" t="n">
        <v>21922</v>
      </c>
      <c r="K615" s="6" t="n">
        <v>1626</v>
      </c>
      <c r="L615" s="8" t="n">
        <v>830738.25</v>
      </c>
      <c r="M615" s="9" t="n">
        <v>0.0253206079625585</v>
      </c>
      <c r="N615" s="8" t="n">
        <v>1.29060578414378</v>
      </c>
      <c r="O615" s="8" t="n">
        <v>17.400159901599</v>
      </c>
      <c r="P615" s="10" t="n">
        <v>29.3623240091246</v>
      </c>
      <c r="Q615" s="9" t="n">
        <v>0.0741720645926467</v>
      </c>
    </row>
    <row r="616" customFormat="false" ht="15" hidden="false" customHeight="false" outlineLevel="0" collapsed="false">
      <c r="A616" s="6" t="n">
        <v>1248</v>
      </c>
      <c r="B616" s="6" t="s">
        <v>70</v>
      </c>
      <c r="C616" s="6" t="s">
        <v>59</v>
      </c>
      <c r="D616" s="7" t="n">
        <v>45385</v>
      </c>
      <c r="E616" s="7" t="n">
        <v>45394</v>
      </c>
      <c r="F616" s="6" t="s">
        <v>53</v>
      </c>
      <c r="G616" s="6" t="s">
        <v>57</v>
      </c>
      <c r="H616" s="8" t="n">
        <v>23276.73</v>
      </c>
      <c r="I616" s="6" t="n">
        <v>614123</v>
      </c>
      <c r="J616" s="6" t="n">
        <v>11412</v>
      </c>
      <c r="K616" s="6" t="n">
        <v>673</v>
      </c>
      <c r="L616" s="8" t="n">
        <v>715664.31</v>
      </c>
      <c r="M616" s="9" t="n">
        <v>0.0185825966459488</v>
      </c>
      <c r="N616" s="8" t="n">
        <v>2.03967139852787</v>
      </c>
      <c r="O616" s="8" t="n">
        <v>34.5865230312036</v>
      </c>
      <c r="P616" s="10" t="n">
        <v>30.7459127635196</v>
      </c>
      <c r="Q616" s="9" t="n">
        <v>0.0589730108657554</v>
      </c>
    </row>
    <row r="617" customFormat="false" ht="15" hidden="false" customHeight="false" outlineLevel="0" collapsed="false">
      <c r="A617" s="6" t="n">
        <v>1657</v>
      </c>
      <c r="B617" s="6" t="s">
        <v>78</v>
      </c>
      <c r="C617" s="6" t="s">
        <v>63</v>
      </c>
      <c r="D617" s="7" t="n">
        <v>45339</v>
      </c>
      <c r="E617" s="7" t="n">
        <v>45349</v>
      </c>
      <c r="F617" s="6" t="s">
        <v>53</v>
      </c>
      <c r="G617" s="6" t="s">
        <v>61</v>
      </c>
      <c r="H617" s="8" t="n">
        <v>46184.46</v>
      </c>
      <c r="I617" s="6" t="n">
        <v>1529304</v>
      </c>
      <c r="J617" s="6" t="n">
        <v>13230</v>
      </c>
      <c r="K617" s="6" t="n">
        <v>832</v>
      </c>
      <c r="L617" s="8" t="n">
        <v>436400.28</v>
      </c>
      <c r="M617" s="9" t="n">
        <v>0.0086509941777436</v>
      </c>
      <c r="N617" s="8" t="n">
        <v>3.49088888888889</v>
      </c>
      <c r="O617" s="8" t="n">
        <v>55.5101682692308</v>
      </c>
      <c r="P617" s="10" t="n">
        <v>9.44907183065473</v>
      </c>
      <c r="Q617" s="9" t="n">
        <v>0.0628873771730915</v>
      </c>
    </row>
    <row r="618" customFormat="false" ht="15" hidden="false" customHeight="false" outlineLevel="0" collapsed="false">
      <c r="A618" s="6" t="n">
        <v>1112</v>
      </c>
      <c r="B618" s="6" t="s">
        <v>79</v>
      </c>
      <c r="C618" s="6" t="s">
        <v>71</v>
      </c>
      <c r="D618" s="7" t="n">
        <v>45417</v>
      </c>
      <c r="E618" s="7" t="n">
        <v>45445</v>
      </c>
      <c r="F618" s="6" t="s">
        <v>69</v>
      </c>
      <c r="G618" s="6" t="s">
        <v>49</v>
      </c>
      <c r="H618" s="8" t="n">
        <v>28917.8</v>
      </c>
      <c r="I618" s="6" t="n">
        <v>603181</v>
      </c>
      <c r="J618" s="6" t="n">
        <v>6947</v>
      </c>
      <c r="K618" s="6" t="n">
        <v>489</v>
      </c>
      <c r="L618" s="8" t="n">
        <v>211171.64</v>
      </c>
      <c r="M618" s="9" t="n">
        <v>0.0115172725931354</v>
      </c>
      <c r="N618" s="8" t="n">
        <v>4.16263135166259</v>
      </c>
      <c r="O618" s="8" t="n">
        <v>59.1366053169734</v>
      </c>
      <c r="P618" s="10" t="n">
        <v>7.30247944172793</v>
      </c>
      <c r="Q618" s="9" t="n">
        <v>0.0703900964445084</v>
      </c>
    </row>
    <row r="619" customFormat="false" ht="15" hidden="false" customHeight="false" outlineLevel="0" collapsed="false">
      <c r="A619" s="6" t="n">
        <v>1232</v>
      </c>
      <c r="B619" s="6" t="s">
        <v>78</v>
      </c>
      <c r="C619" s="6" t="s">
        <v>47</v>
      </c>
      <c r="D619" s="7" t="n">
        <v>45606</v>
      </c>
      <c r="E619" s="7" t="n">
        <v>45616</v>
      </c>
      <c r="F619" s="6" t="s">
        <v>65</v>
      </c>
      <c r="G619" s="6" t="s">
        <v>57</v>
      </c>
      <c r="H619" s="8" t="n">
        <v>1252.43</v>
      </c>
      <c r="I619" s="6" t="n">
        <v>26277</v>
      </c>
      <c r="J619" s="6" t="n">
        <v>131</v>
      </c>
      <c r="K619" s="6" t="n">
        <v>2</v>
      </c>
      <c r="L619" s="8" t="n">
        <v>3590.77</v>
      </c>
      <c r="M619" s="9" t="n">
        <v>0.00498534840354683</v>
      </c>
      <c r="N619" s="8" t="n">
        <v>9.56053435114504</v>
      </c>
      <c r="O619" s="8" t="n">
        <v>626.215</v>
      </c>
      <c r="P619" s="10" t="n">
        <v>2.86704246943941</v>
      </c>
      <c r="Q619" s="9" t="n">
        <v>0.0152671755725191</v>
      </c>
    </row>
    <row r="620" customFormat="false" ht="15" hidden="false" customHeight="false" outlineLevel="0" collapsed="false">
      <c r="A620" s="6" t="n">
        <v>1518</v>
      </c>
      <c r="B620" s="6" t="s">
        <v>66</v>
      </c>
      <c r="C620" s="6" t="s">
        <v>71</v>
      </c>
      <c r="D620" s="7" t="n">
        <v>45616</v>
      </c>
      <c r="E620" s="7" t="n">
        <v>45635</v>
      </c>
      <c r="F620" s="6" t="s">
        <v>53</v>
      </c>
      <c r="G620" s="6" t="s">
        <v>49</v>
      </c>
      <c r="H620" s="8" t="n">
        <v>38224.15</v>
      </c>
      <c r="I620" s="6" t="n">
        <v>604548</v>
      </c>
      <c r="J620" s="6" t="n">
        <v>8280</v>
      </c>
      <c r="K620" s="6" t="n">
        <v>326</v>
      </c>
      <c r="L620" s="8" t="n">
        <v>219455.08</v>
      </c>
      <c r="M620" s="9" t="n">
        <v>0.0136961829333651</v>
      </c>
      <c r="N620" s="8" t="n">
        <v>4.61644323671498</v>
      </c>
      <c r="O620" s="8" t="n">
        <v>117.251993865031</v>
      </c>
      <c r="P620" s="10" t="n">
        <v>5.74126775873368</v>
      </c>
      <c r="Q620" s="9" t="n">
        <v>0.0393719806763285</v>
      </c>
    </row>
    <row r="621" customFormat="false" ht="15" hidden="false" customHeight="false" outlineLevel="0" collapsed="false">
      <c r="A621" s="6" t="n">
        <v>1544</v>
      </c>
      <c r="B621" s="6" t="s">
        <v>73</v>
      </c>
      <c r="C621" s="6" t="s">
        <v>71</v>
      </c>
      <c r="D621" s="7" t="n">
        <v>45461</v>
      </c>
      <c r="E621" s="7" t="n">
        <v>45478</v>
      </c>
      <c r="F621" s="6" t="s">
        <v>48</v>
      </c>
      <c r="G621" s="6" t="s">
        <v>49</v>
      </c>
      <c r="H621" s="8" t="n">
        <v>29699.3</v>
      </c>
      <c r="I621" s="6" t="n">
        <v>1183475</v>
      </c>
      <c r="J621" s="6" t="n">
        <v>16899</v>
      </c>
      <c r="K621" s="6" t="n">
        <v>217</v>
      </c>
      <c r="L621" s="8" t="n">
        <v>239592.46</v>
      </c>
      <c r="M621" s="9" t="n">
        <v>0.0142791355964427</v>
      </c>
      <c r="N621" s="8" t="n">
        <v>1.75745902124386</v>
      </c>
      <c r="O621" s="8" t="n">
        <v>136.863133640553</v>
      </c>
      <c r="P621" s="10" t="n">
        <v>8.06727633311223</v>
      </c>
      <c r="Q621" s="9" t="n">
        <v>0.0128409965086692</v>
      </c>
    </row>
    <row r="622" customFormat="false" ht="15" hidden="false" customHeight="false" outlineLevel="0" collapsed="false">
      <c r="A622" s="6" t="n">
        <v>1590</v>
      </c>
      <c r="B622" s="6" t="s">
        <v>64</v>
      </c>
      <c r="C622" s="6" t="s">
        <v>47</v>
      </c>
      <c r="D622" s="7" t="n">
        <v>45323</v>
      </c>
      <c r="E622" s="7" t="n">
        <v>45345</v>
      </c>
      <c r="F622" s="6" t="s">
        <v>60</v>
      </c>
      <c r="G622" s="6" t="s">
        <v>72</v>
      </c>
      <c r="H622" s="8" t="n">
        <v>2831.24</v>
      </c>
      <c r="I622" s="6" t="n">
        <v>64949</v>
      </c>
      <c r="J622" s="6" t="n">
        <v>1087</v>
      </c>
      <c r="K622" s="6" t="n">
        <v>44</v>
      </c>
      <c r="L622" s="8" t="n">
        <v>40835.75</v>
      </c>
      <c r="M622" s="9" t="n">
        <v>0.0167362084096753</v>
      </c>
      <c r="N622" s="8" t="n">
        <v>2.60463661453542</v>
      </c>
      <c r="O622" s="8" t="n">
        <v>64.3463636363636</v>
      </c>
      <c r="P622" s="10" t="n">
        <v>14.4232739011882</v>
      </c>
      <c r="Q622" s="9" t="n">
        <v>0.0404783808647654</v>
      </c>
    </row>
    <row r="623" customFormat="false" ht="15" hidden="false" customHeight="false" outlineLevel="0" collapsed="false">
      <c r="A623" s="6" t="n">
        <v>1526</v>
      </c>
      <c r="B623" s="6" t="s">
        <v>74</v>
      </c>
      <c r="C623" s="6" t="s">
        <v>63</v>
      </c>
      <c r="D623" s="7" t="n">
        <v>45356</v>
      </c>
      <c r="E623" s="7" t="n">
        <v>45369</v>
      </c>
      <c r="F623" s="6" t="s">
        <v>53</v>
      </c>
      <c r="G623" s="6" t="s">
        <v>54</v>
      </c>
      <c r="H623" s="8" t="n">
        <v>27189.29</v>
      </c>
      <c r="I623" s="6" t="n">
        <v>1055780</v>
      </c>
      <c r="J623" s="6" t="n">
        <v>16318</v>
      </c>
      <c r="K623" s="6" t="n">
        <v>793</v>
      </c>
      <c r="L623" s="8" t="n">
        <v>615974.86</v>
      </c>
      <c r="M623" s="9" t="n">
        <v>0.0154558714883783</v>
      </c>
      <c r="N623" s="8" t="n">
        <v>1.66621460963353</v>
      </c>
      <c r="O623" s="8" t="n">
        <v>34.2866204287516</v>
      </c>
      <c r="P623" s="10" t="n">
        <v>22.6550549867246</v>
      </c>
      <c r="Q623" s="9" t="n">
        <v>0.0485966417453119</v>
      </c>
    </row>
    <row r="624" customFormat="false" ht="15" hidden="false" customHeight="false" outlineLevel="0" collapsed="false">
      <c r="A624" s="6" t="n">
        <v>1722</v>
      </c>
      <c r="B624" s="6" t="s">
        <v>52</v>
      </c>
      <c r="C624" s="6" t="s">
        <v>50</v>
      </c>
      <c r="D624" s="7" t="n">
        <v>45563</v>
      </c>
      <c r="E624" s="7" t="n">
        <v>45577</v>
      </c>
      <c r="F624" s="6" t="s">
        <v>56</v>
      </c>
      <c r="G624" s="6" t="s">
        <v>49</v>
      </c>
      <c r="H624" s="8" t="n">
        <v>60732.97</v>
      </c>
      <c r="I624" s="6" t="n">
        <v>2136470</v>
      </c>
      <c r="J624" s="6" t="n">
        <v>66065</v>
      </c>
      <c r="K624" s="6" t="n">
        <v>2369</v>
      </c>
      <c r="L624" s="8" t="n">
        <v>4162627.99</v>
      </c>
      <c r="M624" s="9" t="n">
        <v>0.0309225030072971</v>
      </c>
      <c r="N624" s="8" t="n">
        <v>0.919291152652691</v>
      </c>
      <c r="O624" s="8" t="n">
        <v>25.6365428450823</v>
      </c>
      <c r="P624" s="10" t="n">
        <v>68.5398390692897</v>
      </c>
      <c r="Q624" s="9" t="n">
        <v>0.0358586240823431</v>
      </c>
    </row>
    <row r="625" customFormat="false" ht="15" hidden="false" customHeight="false" outlineLevel="0" collapsed="false">
      <c r="A625" s="6" t="n">
        <v>1287</v>
      </c>
      <c r="B625" s="6" t="s">
        <v>77</v>
      </c>
      <c r="C625" s="6" t="s">
        <v>71</v>
      </c>
      <c r="D625" s="7" t="n">
        <v>45387</v>
      </c>
      <c r="E625" s="7" t="n">
        <v>45411</v>
      </c>
      <c r="F625" s="6" t="s">
        <v>60</v>
      </c>
      <c r="G625" s="6" t="s">
        <v>49</v>
      </c>
      <c r="H625" s="8" t="n">
        <v>52958.87</v>
      </c>
      <c r="I625" s="6" t="n">
        <v>1789401</v>
      </c>
      <c r="J625" s="6" t="n">
        <v>46807</v>
      </c>
      <c r="K625" s="6" t="n">
        <v>1498</v>
      </c>
      <c r="L625" s="8" t="n">
        <v>592999.65</v>
      </c>
      <c r="M625" s="9" t="n">
        <v>0.0261579154141526</v>
      </c>
      <c r="N625" s="8" t="n">
        <v>1.13143055525883</v>
      </c>
      <c r="O625" s="8" t="n">
        <v>35.3530507343124</v>
      </c>
      <c r="P625" s="10" t="n">
        <v>11.1973622171319</v>
      </c>
      <c r="Q625" s="9" t="n">
        <v>0.0320037601213494</v>
      </c>
    </row>
    <row r="626" customFormat="false" ht="15" hidden="false" customHeight="false" outlineLevel="0" collapsed="false">
      <c r="A626" s="6" t="n">
        <v>1422</v>
      </c>
      <c r="B626" s="6" t="s">
        <v>58</v>
      </c>
      <c r="C626" s="6" t="s">
        <v>71</v>
      </c>
      <c r="D626" s="7" t="n">
        <v>45356</v>
      </c>
      <c r="E626" s="7" t="n">
        <v>45377</v>
      </c>
      <c r="F626" s="6" t="s">
        <v>67</v>
      </c>
      <c r="G626" s="6" t="s">
        <v>61</v>
      </c>
      <c r="H626" s="8" t="n">
        <v>54063.38</v>
      </c>
      <c r="I626" s="6" t="n">
        <v>1093752</v>
      </c>
      <c r="J626" s="6" t="n">
        <v>8139</v>
      </c>
      <c r="K626" s="6" t="n">
        <v>349</v>
      </c>
      <c r="L626" s="8" t="n">
        <v>457915.29</v>
      </c>
      <c r="M626" s="9" t="n">
        <v>0.00744135782151713</v>
      </c>
      <c r="N626" s="8" t="n">
        <v>6.64250890772822</v>
      </c>
      <c r="O626" s="8" t="n">
        <v>154.909398280802</v>
      </c>
      <c r="P626" s="10" t="n">
        <v>8.46997154081006</v>
      </c>
      <c r="Q626" s="9" t="n">
        <v>0.0428799606831306</v>
      </c>
    </row>
    <row r="627" customFormat="false" ht="15" hidden="false" customHeight="false" outlineLevel="0" collapsed="false">
      <c r="A627" s="6" t="n">
        <v>1316</v>
      </c>
      <c r="B627" s="6" t="s">
        <v>62</v>
      </c>
      <c r="C627" s="6" t="s">
        <v>59</v>
      </c>
      <c r="D627" s="7" t="n">
        <v>45324</v>
      </c>
      <c r="E627" s="7" t="n">
        <v>45332</v>
      </c>
      <c r="F627" s="6" t="s">
        <v>48</v>
      </c>
      <c r="G627" s="6" t="s">
        <v>61</v>
      </c>
      <c r="H627" s="8" t="n">
        <v>25592.76</v>
      </c>
      <c r="I627" s="6" t="n">
        <v>649515</v>
      </c>
      <c r="J627" s="6" t="n">
        <v>16815</v>
      </c>
      <c r="K627" s="6" t="n">
        <v>819</v>
      </c>
      <c r="L627" s="8" t="n">
        <v>807582.12</v>
      </c>
      <c r="M627" s="9" t="n">
        <v>0.0258885476086003</v>
      </c>
      <c r="N627" s="8" t="n">
        <v>1.52201962533452</v>
      </c>
      <c r="O627" s="8" t="n">
        <v>31.2487912087912</v>
      </c>
      <c r="P627" s="10" t="n">
        <v>31.5551007394279</v>
      </c>
      <c r="Q627" s="9" t="n">
        <v>0.0487065120428189</v>
      </c>
    </row>
    <row r="628" customFormat="false" ht="15" hidden="false" customHeight="false" outlineLevel="0" collapsed="false">
      <c r="A628" s="6" t="n">
        <v>1759</v>
      </c>
      <c r="B628" s="6" t="s">
        <v>73</v>
      </c>
      <c r="C628" s="6" t="s">
        <v>50</v>
      </c>
      <c r="D628" s="7" t="n">
        <v>45582</v>
      </c>
      <c r="E628" s="7" t="n">
        <v>45601</v>
      </c>
      <c r="F628" s="6" t="s">
        <v>67</v>
      </c>
      <c r="G628" s="6" t="s">
        <v>61</v>
      </c>
      <c r="H628" s="8" t="n">
        <v>33897.96</v>
      </c>
      <c r="I628" s="6" t="n">
        <v>724336</v>
      </c>
      <c r="J628" s="6" t="n">
        <v>5187</v>
      </c>
      <c r="K628" s="6" t="n">
        <v>97</v>
      </c>
      <c r="L628" s="8" t="n">
        <v>86913.45</v>
      </c>
      <c r="M628" s="9" t="n">
        <v>0.00716104128470765</v>
      </c>
      <c r="N628" s="8" t="n">
        <v>6.53517640254482</v>
      </c>
      <c r="O628" s="8" t="n">
        <v>349.463505154639</v>
      </c>
      <c r="P628" s="10" t="n">
        <v>2.56397287624388</v>
      </c>
      <c r="Q628" s="9" t="n">
        <v>0.0187005976479661</v>
      </c>
    </row>
    <row r="629" customFormat="false" ht="15" hidden="false" customHeight="false" outlineLevel="0" collapsed="false">
      <c r="A629" s="6" t="n">
        <v>1736</v>
      </c>
      <c r="B629" s="6" t="s">
        <v>66</v>
      </c>
      <c r="C629" s="6" t="s">
        <v>59</v>
      </c>
      <c r="D629" s="7" t="n">
        <v>45330</v>
      </c>
      <c r="E629" s="7" t="n">
        <v>45343</v>
      </c>
      <c r="F629" s="6" t="s">
        <v>48</v>
      </c>
      <c r="G629" s="6" t="s">
        <v>61</v>
      </c>
      <c r="H629" s="8" t="n">
        <v>64021.95</v>
      </c>
      <c r="I629" s="6" t="n">
        <v>1436444</v>
      </c>
      <c r="J629" s="6" t="n">
        <v>8690</v>
      </c>
      <c r="K629" s="6" t="n">
        <v>159</v>
      </c>
      <c r="L629" s="8" t="n">
        <v>88350.77</v>
      </c>
      <c r="M629" s="9" t="n">
        <v>0.00604966152526656</v>
      </c>
      <c r="N629" s="8" t="n">
        <v>7.36731300345224</v>
      </c>
      <c r="O629" s="8" t="n">
        <v>402.653773584906</v>
      </c>
      <c r="P629" s="10" t="n">
        <v>1.38000748180897</v>
      </c>
      <c r="Q629" s="9" t="n">
        <v>0.0182968929804373</v>
      </c>
    </row>
    <row r="630" customFormat="false" ht="15" hidden="false" customHeight="false" outlineLevel="0" collapsed="false">
      <c r="A630" s="6" t="n">
        <v>1087</v>
      </c>
      <c r="B630" s="6" t="s">
        <v>66</v>
      </c>
      <c r="C630" s="6" t="s">
        <v>47</v>
      </c>
      <c r="D630" s="7" t="n">
        <v>45543</v>
      </c>
      <c r="E630" s="7" t="n">
        <v>45554</v>
      </c>
      <c r="F630" s="6" t="s">
        <v>67</v>
      </c>
      <c r="G630" s="6" t="s">
        <v>49</v>
      </c>
      <c r="H630" s="8" t="n">
        <v>1950.1</v>
      </c>
      <c r="I630" s="6" t="n">
        <v>32861</v>
      </c>
      <c r="J630" s="6" t="n">
        <v>334</v>
      </c>
      <c r="K630" s="6" t="n">
        <v>20</v>
      </c>
      <c r="L630" s="8" t="n">
        <v>35920.61</v>
      </c>
      <c r="M630" s="9" t="n">
        <v>0.0101640242232434</v>
      </c>
      <c r="N630" s="8" t="n">
        <v>5.83862275449102</v>
      </c>
      <c r="O630" s="8" t="n">
        <v>97.505</v>
      </c>
      <c r="P630" s="10" t="n">
        <v>18.419881031742</v>
      </c>
      <c r="Q630" s="9" t="n">
        <v>0.0598802395209581</v>
      </c>
    </row>
    <row r="631" customFormat="false" ht="15" hidden="false" customHeight="false" outlineLevel="0" collapsed="false">
      <c r="A631" s="6" t="n">
        <v>1024</v>
      </c>
      <c r="B631" s="6" t="s">
        <v>46</v>
      </c>
      <c r="C631" s="6" t="s">
        <v>50</v>
      </c>
      <c r="D631" s="7" t="n">
        <v>45367</v>
      </c>
      <c r="E631" s="7" t="n">
        <v>45372</v>
      </c>
      <c r="F631" s="6" t="s">
        <v>65</v>
      </c>
      <c r="G631" s="6" t="s">
        <v>61</v>
      </c>
      <c r="H631" s="8" t="n">
        <v>27138.98</v>
      </c>
      <c r="I631" s="6" t="n">
        <v>729452</v>
      </c>
      <c r="J631" s="6" t="n">
        <v>22242</v>
      </c>
      <c r="K631" s="6" t="n">
        <v>335</v>
      </c>
      <c r="L631" s="8" t="n">
        <v>318564.72</v>
      </c>
      <c r="M631" s="9" t="n">
        <v>0.0304913825721226</v>
      </c>
      <c r="N631" s="8" t="n">
        <v>1.22016815034619</v>
      </c>
      <c r="O631" s="8" t="n">
        <v>81.0118805970149</v>
      </c>
      <c r="P631" s="10" t="n">
        <v>11.7382716668055</v>
      </c>
      <c r="Q631" s="9" t="n">
        <v>0.0150615951802895</v>
      </c>
    </row>
    <row r="632" customFormat="false" ht="15" hidden="false" customHeight="false" outlineLevel="0" collapsed="false">
      <c r="A632" s="6" t="n">
        <v>1197</v>
      </c>
      <c r="B632" s="6" t="s">
        <v>46</v>
      </c>
      <c r="C632" s="6" t="s">
        <v>71</v>
      </c>
      <c r="D632" s="7" t="n">
        <v>45465</v>
      </c>
      <c r="E632" s="7" t="n">
        <v>45486</v>
      </c>
      <c r="F632" s="6" t="s">
        <v>65</v>
      </c>
      <c r="G632" s="6" t="s">
        <v>57</v>
      </c>
      <c r="H632" s="8" t="n">
        <v>43788.57</v>
      </c>
      <c r="I632" s="6" t="n">
        <v>1333623</v>
      </c>
      <c r="J632" s="6" t="n">
        <v>23985</v>
      </c>
      <c r="K632" s="6" t="n">
        <v>1459</v>
      </c>
      <c r="L632" s="8" t="n">
        <v>1530196.33</v>
      </c>
      <c r="M632" s="9" t="n">
        <v>0.0179848427929032</v>
      </c>
      <c r="N632" s="8" t="n">
        <v>1.82566479049406</v>
      </c>
      <c r="O632" s="8" t="n">
        <v>30.0127278958191</v>
      </c>
      <c r="P632" s="10" t="n">
        <v>34.9451085066263</v>
      </c>
      <c r="Q632" s="9" t="n">
        <v>0.0608296852199291</v>
      </c>
    </row>
    <row r="633" customFormat="false" ht="15" hidden="false" customHeight="false" outlineLevel="0" collapsed="false">
      <c r="A633" s="6" t="n">
        <v>1301</v>
      </c>
      <c r="B633" s="6" t="s">
        <v>68</v>
      </c>
      <c r="C633" s="6" t="s">
        <v>50</v>
      </c>
      <c r="D633" s="7" t="n">
        <v>45616</v>
      </c>
      <c r="E633" s="7" t="n">
        <v>45638</v>
      </c>
      <c r="F633" s="6" t="s">
        <v>53</v>
      </c>
      <c r="G633" s="6" t="s">
        <v>54</v>
      </c>
      <c r="H633" s="8" t="n">
        <v>31874.98</v>
      </c>
      <c r="I633" s="6" t="n">
        <v>520179</v>
      </c>
      <c r="J633" s="6" t="n">
        <v>7962</v>
      </c>
      <c r="K633" s="6" t="n">
        <v>513</v>
      </c>
      <c r="L633" s="8" t="n">
        <v>528318.06</v>
      </c>
      <c r="M633" s="9" t="n">
        <v>0.0153062695725894</v>
      </c>
      <c r="N633" s="8" t="n">
        <v>4.00338859583019</v>
      </c>
      <c r="O633" s="8" t="n">
        <v>62.1344639376218</v>
      </c>
      <c r="P633" s="10" t="n">
        <v>16.5746946351025</v>
      </c>
      <c r="Q633" s="9" t="n">
        <v>0.0644310474755087</v>
      </c>
    </row>
    <row r="634" customFormat="false" ht="15" hidden="false" customHeight="false" outlineLevel="0" collapsed="false">
      <c r="A634" s="6" t="n">
        <v>1650</v>
      </c>
      <c r="B634" s="6" t="s">
        <v>77</v>
      </c>
      <c r="C634" s="6" t="s">
        <v>71</v>
      </c>
      <c r="D634" s="7" t="n">
        <v>45458</v>
      </c>
      <c r="E634" s="7" t="n">
        <v>45487</v>
      </c>
      <c r="F634" s="6" t="s">
        <v>53</v>
      </c>
      <c r="G634" s="6" t="s">
        <v>72</v>
      </c>
      <c r="H634" s="8" t="n">
        <v>29516.42</v>
      </c>
      <c r="I634" s="6" t="n">
        <v>554740</v>
      </c>
      <c r="J634" s="6" t="n">
        <v>5277</v>
      </c>
      <c r="K634" s="6" t="n">
        <v>163</v>
      </c>
      <c r="L634" s="8" t="n">
        <v>104318.65</v>
      </c>
      <c r="M634" s="9" t="n">
        <v>0.00951256444460468</v>
      </c>
      <c r="N634" s="8" t="n">
        <v>5.59340913397764</v>
      </c>
      <c r="O634" s="8" t="n">
        <v>181.082331288344</v>
      </c>
      <c r="P634" s="10" t="n">
        <v>3.53425821966214</v>
      </c>
      <c r="Q634" s="9" t="n">
        <v>0.0308887625544817</v>
      </c>
    </row>
    <row r="635" customFormat="false" ht="15" hidden="false" customHeight="false" outlineLevel="0" collapsed="false">
      <c r="A635" s="6" t="n">
        <v>1557</v>
      </c>
      <c r="B635" s="6" t="s">
        <v>73</v>
      </c>
      <c r="C635" s="6" t="s">
        <v>71</v>
      </c>
      <c r="D635" s="7" t="n">
        <v>45488</v>
      </c>
      <c r="E635" s="7" t="n">
        <v>45517</v>
      </c>
      <c r="F635" s="6" t="s">
        <v>56</v>
      </c>
      <c r="G635" s="6" t="s">
        <v>61</v>
      </c>
      <c r="H635" s="8" t="n">
        <v>55963.54</v>
      </c>
      <c r="I635" s="6" t="n">
        <v>926093</v>
      </c>
      <c r="J635" s="6" t="n">
        <v>11589</v>
      </c>
      <c r="K635" s="6" t="n">
        <v>146</v>
      </c>
      <c r="L635" s="8" t="n">
        <v>209861.23</v>
      </c>
      <c r="M635" s="9" t="n">
        <v>0.0125138619987409</v>
      </c>
      <c r="N635" s="8" t="n">
        <v>4.82902234877902</v>
      </c>
      <c r="O635" s="8" t="n">
        <v>383.311917808219</v>
      </c>
      <c r="P635" s="10" t="n">
        <v>3.74996345835163</v>
      </c>
      <c r="Q635" s="9" t="n">
        <v>0.0125981534213478</v>
      </c>
    </row>
    <row r="636" customFormat="false" ht="15" hidden="false" customHeight="false" outlineLevel="0" collapsed="false">
      <c r="A636" s="6" t="n">
        <v>1349</v>
      </c>
      <c r="B636" s="6" t="s">
        <v>46</v>
      </c>
      <c r="C636" s="6" t="s">
        <v>47</v>
      </c>
      <c r="D636" s="7" t="n">
        <v>45383</v>
      </c>
      <c r="E636" s="7" t="n">
        <v>45400</v>
      </c>
      <c r="F636" s="6" t="s">
        <v>69</v>
      </c>
      <c r="G636" s="6" t="s">
        <v>54</v>
      </c>
      <c r="H636" s="8" t="n">
        <v>5754.43</v>
      </c>
      <c r="I636" s="6" t="n">
        <v>108289</v>
      </c>
      <c r="J636" s="6" t="n">
        <v>2562</v>
      </c>
      <c r="K636" s="6" t="n">
        <v>42</v>
      </c>
      <c r="L636" s="8" t="n">
        <v>19359.9</v>
      </c>
      <c r="M636" s="9" t="n">
        <v>0.0236589127242841</v>
      </c>
      <c r="N636" s="8" t="n">
        <v>2.24606947697112</v>
      </c>
      <c r="O636" s="8" t="n">
        <v>137.010238095238</v>
      </c>
      <c r="P636" s="10" t="n">
        <v>3.36434712039246</v>
      </c>
      <c r="Q636" s="9" t="n">
        <v>0.0163934426229508</v>
      </c>
    </row>
    <row r="637" customFormat="false" ht="15" hidden="false" customHeight="false" outlineLevel="0" collapsed="false">
      <c r="A637" s="6" t="n">
        <v>1669</v>
      </c>
      <c r="B637" s="6" t="s">
        <v>77</v>
      </c>
      <c r="C637" s="6" t="s">
        <v>71</v>
      </c>
      <c r="D637" s="7" t="n">
        <v>45445</v>
      </c>
      <c r="E637" s="7" t="n">
        <v>45450</v>
      </c>
      <c r="F637" s="6" t="s">
        <v>56</v>
      </c>
      <c r="G637" s="6" t="s">
        <v>49</v>
      </c>
      <c r="H637" s="8" t="n">
        <v>21069.12</v>
      </c>
      <c r="I637" s="6" t="n">
        <v>608769</v>
      </c>
      <c r="J637" s="6" t="n">
        <v>8734</v>
      </c>
      <c r="K637" s="6" t="n">
        <v>651</v>
      </c>
      <c r="L637" s="8" t="n">
        <v>806602.04</v>
      </c>
      <c r="M637" s="9" t="n">
        <v>0.0143469854739647</v>
      </c>
      <c r="N637" s="8" t="n">
        <v>2.41231051064804</v>
      </c>
      <c r="O637" s="8" t="n">
        <v>32.3642396313364</v>
      </c>
      <c r="P637" s="10" t="n">
        <v>38.283613174162</v>
      </c>
      <c r="Q637" s="9" t="n">
        <v>0.0745362949393176</v>
      </c>
    </row>
    <row r="638" customFormat="false" ht="15" hidden="false" customHeight="false" outlineLevel="0" collapsed="false">
      <c r="A638" s="6" t="n">
        <v>1235</v>
      </c>
      <c r="B638" s="6" t="s">
        <v>46</v>
      </c>
      <c r="C638" s="6" t="s">
        <v>71</v>
      </c>
      <c r="D638" s="7" t="n">
        <v>45556</v>
      </c>
      <c r="E638" s="7" t="n">
        <v>45578</v>
      </c>
      <c r="F638" s="6" t="s">
        <v>48</v>
      </c>
      <c r="G638" s="6" t="s">
        <v>61</v>
      </c>
      <c r="H638" s="8" t="n">
        <v>44442.56</v>
      </c>
      <c r="I638" s="6" t="n">
        <v>959236</v>
      </c>
      <c r="J638" s="6" t="n">
        <v>13063</v>
      </c>
      <c r="K638" s="6" t="n">
        <v>495</v>
      </c>
      <c r="L638" s="8" t="n">
        <v>710692.68</v>
      </c>
      <c r="M638" s="9" t="n">
        <v>0.0136181294280031</v>
      </c>
      <c r="N638" s="8" t="n">
        <v>3.40217101737733</v>
      </c>
      <c r="O638" s="8" t="n">
        <v>89.7829494949495</v>
      </c>
      <c r="P638" s="10" t="n">
        <v>15.9912633295652</v>
      </c>
      <c r="Q638" s="9" t="n">
        <v>0.0378932863813825</v>
      </c>
    </row>
    <row r="639" customFormat="false" ht="15" hidden="false" customHeight="false" outlineLevel="0" collapsed="false">
      <c r="A639" s="6" t="n">
        <v>1413</v>
      </c>
      <c r="B639" s="6" t="s">
        <v>70</v>
      </c>
      <c r="C639" s="6" t="s">
        <v>71</v>
      </c>
      <c r="D639" s="7" t="n">
        <v>45466</v>
      </c>
      <c r="E639" s="7" t="n">
        <v>45472</v>
      </c>
      <c r="F639" s="6" t="s">
        <v>65</v>
      </c>
      <c r="G639" s="6" t="s">
        <v>72</v>
      </c>
      <c r="H639" s="8" t="n">
        <v>35023.1</v>
      </c>
      <c r="I639" s="6" t="n">
        <v>732633</v>
      </c>
      <c r="J639" s="6" t="n">
        <v>5265</v>
      </c>
      <c r="K639" s="6" t="n">
        <v>273</v>
      </c>
      <c r="L639" s="8" t="n">
        <v>269141.9</v>
      </c>
      <c r="M639" s="9" t="n">
        <v>0.00718640847463874</v>
      </c>
      <c r="N639" s="8" t="n">
        <v>6.65206077872745</v>
      </c>
      <c r="O639" s="8" t="n">
        <v>128.289743589744</v>
      </c>
      <c r="P639" s="10" t="n">
        <v>7.6846966716253</v>
      </c>
      <c r="Q639" s="9" t="n">
        <v>0.0518518518518519</v>
      </c>
    </row>
    <row r="640" customFormat="false" ht="15" hidden="false" customHeight="false" outlineLevel="0" collapsed="false">
      <c r="A640" s="6" t="n">
        <v>1192</v>
      </c>
      <c r="B640" s="6" t="s">
        <v>58</v>
      </c>
      <c r="C640" s="6" t="s">
        <v>50</v>
      </c>
      <c r="D640" s="7" t="n">
        <v>45436</v>
      </c>
      <c r="E640" s="7" t="n">
        <v>45444</v>
      </c>
      <c r="F640" s="6" t="s">
        <v>53</v>
      </c>
      <c r="G640" s="6" t="s">
        <v>54</v>
      </c>
      <c r="H640" s="8" t="n">
        <v>44841.73</v>
      </c>
      <c r="I640" s="6" t="n">
        <v>1355343</v>
      </c>
      <c r="J640" s="6" t="n">
        <v>38408</v>
      </c>
      <c r="K640" s="6" t="n">
        <v>2619</v>
      </c>
      <c r="L640" s="8" t="n">
        <v>4612120.8</v>
      </c>
      <c r="M640" s="9" t="n">
        <v>0.0283382140166733</v>
      </c>
      <c r="N640" s="8" t="n">
        <v>1.16751015413456</v>
      </c>
      <c r="O640" s="8" t="n">
        <v>17.1216991218022</v>
      </c>
      <c r="P640" s="10" t="n">
        <v>102.853319887524</v>
      </c>
      <c r="Q640" s="9" t="n">
        <v>0.0681889189752135</v>
      </c>
    </row>
    <row r="641" customFormat="false" ht="15" hidden="false" customHeight="false" outlineLevel="0" collapsed="false">
      <c r="A641" s="6" t="n">
        <v>1795</v>
      </c>
      <c r="B641" s="6" t="s">
        <v>76</v>
      </c>
      <c r="C641" s="6" t="s">
        <v>59</v>
      </c>
      <c r="D641" s="7" t="n">
        <v>45339</v>
      </c>
      <c r="E641" s="7" t="n">
        <v>45355</v>
      </c>
      <c r="F641" s="6" t="s">
        <v>48</v>
      </c>
      <c r="G641" s="6" t="s">
        <v>57</v>
      </c>
      <c r="H641" s="8" t="n">
        <v>44091.05</v>
      </c>
      <c r="I641" s="6" t="n">
        <v>870026</v>
      </c>
      <c r="J641" s="6" t="n">
        <v>29013</v>
      </c>
      <c r="K641" s="6" t="n">
        <v>1763</v>
      </c>
      <c r="L641" s="8" t="n">
        <v>2945680.17</v>
      </c>
      <c r="M641" s="9" t="n">
        <v>0.0333472792767113</v>
      </c>
      <c r="N641" s="8" t="n">
        <v>1.51969978974942</v>
      </c>
      <c r="O641" s="8" t="n">
        <v>25.0091038003403</v>
      </c>
      <c r="P641" s="10" t="n">
        <v>66.8090274556854</v>
      </c>
      <c r="Q641" s="9" t="n">
        <v>0.0607658635783959</v>
      </c>
    </row>
    <row r="642" customFormat="false" ht="15" hidden="false" customHeight="false" outlineLevel="0" collapsed="false">
      <c r="A642" s="6" t="n">
        <v>1298</v>
      </c>
      <c r="B642" s="6" t="s">
        <v>55</v>
      </c>
      <c r="C642" s="6" t="s">
        <v>63</v>
      </c>
      <c r="D642" s="7" t="n">
        <v>45380</v>
      </c>
      <c r="E642" s="7" t="n">
        <v>45400</v>
      </c>
      <c r="F642" s="6" t="s">
        <v>65</v>
      </c>
      <c r="G642" s="6" t="s">
        <v>49</v>
      </c>
      <c r="H642" s="8" t="n">
        <v>14281.98</v>
      </c>
      <c r="I642" s="6" t="n">
        <v>351549</v>
      </c>
      <c r="J642" s="6" t="n">
        <v>11507</v>
      </c>
      <c r="K642" s="6" t="n">
        <v>791</v>
      </c>
      <c r="L642" s="8" t="n">
        <v>453786.87</v>
      </c>
      <c r="M642" s="9" t="n">
        <v>0.0327322791417413</v>
      </c>
      <c r="N642" s="8" t="n">
        <v>1.24115581819762</v>
      </c>
      <c r="O642" s="8" t="n">
        <v>18.055600505689</v>
      </c>
      <c r="P642" s="10" t="n">
        <v>31.7733864632215</v>
      </c>
      <c r="Q642" s="9" t="n">
        <v>0.0687407664899626</v>
      </c>
    </row>
    <row r="643" customFormat="false" ht="15" hidden="false" customHeight="false" outlineLevel="0" collapsed="false">
      <c r="A643" s="6" t="n">
        <v>1383</v>
      </c>
      <c r="B643" s="6" t="s">
        <v>58</v>
      </c>
      <c r="C643" s="6" t="s">
        <v>47</v>
      </c>
      <c r="D643" s="7" t="n">
        <v>45410</v>
      </c>
      <c r="E643" s="7" t="n">
        <v>45437</v>
      </c>
      <c r="F643" s="6" t="s">
        <v>51</v>
      </c>
      <c r="G643" s="6" t="s">
        <v>54</v>
      </c>
      <c r="H643" s="8" t="n">
        <v>4698.16</v>
      </c>
      <c r="I643" s="6" t="n">
        <v>120038</v>
      </c>
      <c r="J643" s="6" t="n">
        <v>1737</v>
      </c>
      <c r="K643" s="6" t="n">
        <v>25</v>
      </c>
      <c r="L643" s="8" t="n">
        <v>41116.8</v>
      </c>
      <c r="M643" s="9" t="n">
        <v>0.0144704177010613</v>
      </c>
      <c r="N643" s="8" t="n">
        <v>2.70475532527346</v>
      </c>
      <c r="O643" s="8" t="n">
        <v>187.9264</v>
      </c>
      <c r="P643" s="10" t="n">
        <v>8.75168150935686</v>
      </c>
      <c r="Q643" s="9" t="n">
        <v>0.0143926309729419</v>
      </c>
    </row>
    <row r="644" customFormat="false" ht="15" hidden="false" customHeight="false" outlineLevel="0" collapsed="false">
      <c r="A644" s="6" t="n">
        <v>1725</v>
      </c>
      <c r="B644" s="6" t="s">
        <v>52</v>
      </c>
      <c r="C644" s="6" t="s">
        <v>50</v>
      </c>
      <c r="D644" s="7" t="n">
        <v>45474</v>
      </c>
      <c r="E644" s="7" t="n">
        <v>45498</v>
      </c>
      <c r="F644" s="6" t="s">
        <v>48</v>
      </c>
      <c r="G644" s="6" t="s">
        <v>61</v>
      </c>
      <c r="H644" s="8" t="n">
        <v>49331.45</v>
      </c>
      <c r="I644" s="6" t="n">
        <v>1706478</v>
      </c>
      <c r="J644" s="6" t="n">
        <v>57508</v>
      </c>
      <c r="K644" s="6" t="n">
        <v>2526</v>
      </c>
      <c r="L644" s="8" t="n">
        <v>2034804.16</v>
      </c>
      <c r="M644" s="9" t="n">
        <v>0.0336998191596962</v>
      </c>
      <c r="N644" s="8" t="n">
        <v>0.857818912151353</v>
      </c>
      <c r="O644" s="8" t="n">
        <v>19.5294734758511</v>
      </c>
      <c r="P644" s="10" t="n">
        <v>41.2476049254583</v>
      </c>
      <c r="Q644" s="9" t="n">
        <v>0.0439243235723725</v>
      </c>
    </row>
    <row r="645" customFormat="false" ht="15" hidden="false" customHeight="false" outlineLevel="0" collapsed="false">
      <c r="A645" s="6" t="n">
        <v>1161</v>
      </c>
      <c r="B645" s="6" t="s">
        <v>64</v>
      </c>
      <c r="C645" s="6" t="s">
        <v>63</v>
      </c>
      <c r="D645" s="7" t="n">
        <v>45473</v>
      </c>
      <c r="E645" s="7" t="n">
        <v>45484</v>
      </c>
      <c r="F645" s="6" t="s">
        <v>56</v>
      </c>
      <c r="G645" s="6" t="s">
        <v>54</v>
      </c>
      <c r="H645" s="8" t="n">
        <v>18099.2</v>
      </c>
      <c r="I645" s="6" t="n">
        <v>473299</v>
      </c>
      <c r="J645" s="6" t="n">
        <v>4476</v>
      </c>
      <c r="K645" s="6" t="n">
        <v>237</v>
      </c>
      <c r="L645" s="8" t="n">
        <v>294974.2</v>
      </c>
      <c r="M645" s="9" t="n">
        <v>0.00945702399540248</v>
      </c>
      <c r="N645" s="8" t="n">
        <v>4.04361036639857</v>
      </c>
      <c r="O645" s="8" t="n">
        <v>76.3679324894515</v>
      </c>
      <c r="P645" s="10" t="n">
        <v>16.2976374646393</v>
      </c>
      <c r="Q645" s="9" t="n">
        <v>0.0529490616621984</v>
      </c>
    </row>
    <row r="646" customFormat="false" ht="15" hidden="false" customHeight="false" outlineLevel="0" collapsed="false">
      <c r="A646" s="6" t="n">
        <v>1659</v>
      </c>
      <c r="B646" s="6" t="s">
        <v>55</v>
      </c>
      <c r="C646" s="6" t="s">
        <v>50</v>
      </c>
      <c r="D646" s="7" t="n">
        <v>45623</v>
      </c>
      <c r="E646" s="7" t="n">
        <v>45638</v>
      </c>
      <c r="F646" s="6" t="s">
        <v>67</v>
      </c>
      <c r="G646" s="6" t="s">
        <v>75</v>
      </c>
      <c r="H646" s="8" t="n">
        <v>19851.51</v>
      </c>
      <c r="I646" s="6" t="n">
        <v>421347</v>
      </c>
      <c r="J646" s="6" t="n">
        <v>9243</v>
      </c>
      <c r="K646" s="6" t="n">
        <v>175</v>
      </c>
      <c r="L646" s="8" t="n">
        <v>100773.67</v>
      </c>
      <c r="M646" s="9" t="n">
        <v>0.0219367884427799</v>
      </c>
      <c r="N646" s="8" t="n">
        <v>2.14773450178513</v>
      </c>
      <c r="O646" s="8" t="n">
        <v>113.4372</v>
      </c>
      <c r="P646" s="10" t="n">
        <v>5.07637303157291</v>
      </c>
      <c r="Q646" s="9" t="n">
        <v>0.018933246781348</v>
      </c>
    </row>
    <row r="647" customFormat="false" ht="15" hidden="false" customHeight="false" outlineLevel="0" collapsed="false">
      <c r="A647" s="6" t="n">
        <v>1647</v>
      </c>
      <c r="B647" s="6" t="s">
        <v>46</v>
      </c>
      <c r="C647" s="6" t="s">
        <v>59</v>
      </c>
      <c r="D647" s="7" t="n">
        <v>45447</v>
      </c>
      <c r="E647" s="7" t="n">
        <v>45463</v>
      </c>
      <c r="F647" s="6" t="s">
        <v>51</v>
      </c>
      <c r="G647" s="6" t="s">
        <v>72</v>
      </c>
      <c r="H647" s="8" t="n">
        <v>37967.43</v>
      </c>
      <c r="I647" s="6" t="n">
        <v>1259293</v>
      </c>
      <c r="J647" s="6" t="n">
        <v>37623</v>
      </c>
      <c r="K647" s="6" t="n">
        <v>1206</v>
      </c>
      <c r="L647" s="8" t="n">
        <v>960729.13</v>
      </c>
      <c r="M647" s="9" t="n">
        <v>0.0298762877265259</v>
      </c>
      <c r="N647" s="8" t="n">
        <v>1.0091547723467</v>
      </c>
      <c r="O647" s="8" t="n">
        <v>31.4821144278607</v>
      </c>
      <c r="P647" s="10" t="n">
        <v>25.3040337468193</v>
      </c>
      <c r="Q647" s="9" t="n">
        <v>0.0320548600590065</v>
      </c>
    </row>
    <row r="648" customFormat="false" ht="15" hidden="false" customHeight="false" outlineLevel="0" collapsed="false">
      <c r="A648" s="6" t="n">
        <v>1299</v>
      </c>
      <c r="B648" s="6" t="s">
        <v>62</v>
      </c>
      <c r="C648" s="6" t="s">
        <v>71</v>
      </c>
      <c r="D648" s="7" t="n">
        <v>45525</v>
      </c>
      <c r="E648" s="7" t="n">
        <v>45555</v>
      </c>
      <c r="F648" s="6" t="s">
        <v>60</v>
      </c>
      <c r="G648" s="6" t="s">
        <v>49</v>
      </c>
      <c r="H648" s="8" t="n">
        <v>39430.33</v>
      </c>
      <c r="I648" s="6" t="n">
        <v>1011096</v>
      </c>
      <c r="J648" s="6" t="n">
        <v>10509</v>
      </c>
      <c r="K648" s="6" t="n">
        <v>479</v>
      </c>
      <c r="L648" s="8" t="n">
        <v>551076.35</v>
      </c>
      <c r="M648" s="9" t="n">
        <v>0.0103936718175129</v>
      </c>
      <c r="N648" s="8" t="n">
        <v>3.75205347797126</v>
      </c>
      <c r="O648" s="8" t="n">
        <v>82.3180167014614</v>
      </c>
      <c r="P648" s="10" t="n">
        <v>13.9759507465446</v>
      </c>
      <c r="Q648" s="9" t="n">
        <v>0.0455799790655629</v>
      </c>
    </row>
    <row r="649" customFormat="false" ht="15" hidden="false" customHeight="false" outlineLevel="0" collapsed="false">
      <c r="A649" s="6" t="n">
        <v>1400</v>
      </c>
      <c r="B649" s="6" t="s">
        <v>46</v>
      </c>
      <c r="C649" s="6" t="s">
        <v>50</v>
      </c>
      <c r="D649" s="7" t="n">
        <v>45583</v>
      </c>
      <c r="E649" s="7" t="n">
        <v>45604</v>
      </c>
      <c r="F649" s="6" t="s">
        <v>69</v>
      </c>
      <c r="G649" s="6" t="s">
        <v>61</v>
      </c>
      <c r="H649" s="8" t="n">
        <v>62539.1</v>
      </c>
      <c r="I649" s="6" t="n">
        <v>1723950</v>
      </c>
      <c r="J649" s="6" t="n">
        <v>9585</v>
      </c>
      <c r="K649" s="6" t="n">
        <v>537</v>
      </c>
      <c r="L649" s="8" t="n">
        <v>602082.35</v>
      </c>
      <c r="M649" s="9" t="n">
        <v>0.00555990602975724</v>
      </c>
      <c r="N649" s="8" t="n">
        <v>6.52468440271257</v>
      </c>
      <c r="O649" s="8" t="n">
        <v>116.460148975791</v>
      </c>
      <c r="P649" s="10" t="n">
        <v>9.62729476439539</v>
      </c>
      <c r="Q649" s="9" t="n">
        <v>0.0560250391236307</v>
      </c>
    </row>
    <row r="650" customFormat="false" ht="15" hidden="false" customHeight="false" outlineLevel="0" collapsed="false">
      <c r="A650" s="6" t="n">
        <v>1783</v>
      </c>
      <c r="B650" s="6" t="s">
        <v>76</v>
      </c>
      <c r="C650" s="6" t="s">
        <v>71</v>
      </c>
      <c r="D650" s="7" t="n">
        <v>45312</v>
      </c>
      <c r="E650" s="7" t="n">
        <v>45322</v>
      </c>
      <c r="F650" s="6" t="s">
        <v>53</v>
      </c>
      <c r="G650" s="6" t="s">
        <v>72</v>
      </c>
      <c r="H650" s="8" t="n">
        <v>25167.37</v>
      </c>
      <c r="I650" s="6" t="n">
        <v>402012</v>
      </c>
      <c r="J650" s="6" t="n">
        <v>9039</v>
      </c>
      <c r="K650" s="6" t="n">
        <v>715</v>
      </c>
      <c r="L650" s="8" t="n">
        <v>887191.2</v>
      </c>
      <c r="M650" s="9" t="n">
        <v>0.0224844034506433</v>
      </c>
      <c r="N650" s="8" t="n">
        <v>2.78430910498949</v>
      </c>
      <c r="O650" s="8" t="n">
        <v>35.1991188811189</v>
      </c>
      <c r="P650" s="10" t="n">
        <v>35.251645285145</v>
      </c>
      <c r="Q650" s="9" t="n">
        <v>0.0791016705387764</v>
      </c>
    </row>
    <row r="651" customFormat="false" ht="15" hidden="false" customHeight="false" outlineLevel="0" collapsed="false">
      <c r="A651" s="6" t="n">
        <v>1474</v>
      </c>
      <c r="B651" s="6" t="s">
        <v>46</v>
      </c>
      <c r="C651" s="6" t="s">
        <v>50</v>
      </c>
      <c r="D651" s="7" t="n">
        <v>45438</v>
      </c>
      <c r="E651" s="7" t="n">
        <v>45460</v>
      </c>
      <c r="F651" s="6" t="s">
        <v>53</v>
      </c>
      <c r="G651" s="6" t="s">
        <v>54</v>
      </c>
      <c r="H651" s="8" t="n">
        <v>66584.28</v>
      </c>
      <c r="I651" s="6" t="n">
        <v>1016566</v>
      </c>
      <c r="J651" s="6" t="n">
        <v>34006</v>
      </c>
      <c r="K651" s="6" t="n">
        <v>1951</v>
      </c>
      <c r="L651" s="8" t="n">
        <v>3320680.15</v>
      </c>
      <c r="M651" s="9" t="n">
        <v>0.0334518368704049</v>
      </c>
      <c r="N651" s="8" t="n">
        <v>1.95801564429807</v>
      </c>
      <c r="O651" s="8" t="n">
        <v>34.1282829318298</v>
      </c>
      <c r="P651" s="10" t="n">
        <v>49.871833862287</v>
      </c>
      <c r="Q651" s="9" t="n">
        <v>0.057372228430277</v>
      </c>
    </row>
    <row r="652" customFormat="false" ht="15" hidden="false" customHeight="false" outlineLevel="0" collapsed="false">
      <c r="A652" s="6" t="n">
        <v>1258</v>
      </c>
      <c r="B652" s="6" t="s">
        <v>74</v>
      </c>
      <c r="C652" s="6" t="s">
        <v>71</v>
      </c>
      <c r="D652" s="7" t="n">
        <v>45564</v>
      </c>
      <c r="E652" s="7" t="n">
        <v>45581</v>
      </c>
      <c r="F652" s="6" t="s">
        <v>65</v>
      </c>
      <c r="G652" s="6" t="s">
        <v>57</v>
      </c>
      <c r="H652" s="8" t="n">
        <v>18042.21</v>
      </c>
      <c r="I652" s="6" t="n">
        <v>566920</v>
      </c>
      <c r="J652" s="6" t="n">
        <v>12529</v>
      </c>
      <c r="K652" s="6" t="n">
        <v>956</v>
      </c>
      <c r="L652" s="8" t="n">
        <v>1108686.63</v>
      </c>
      <c r="M652" s="9" t="n">
        <v>0.0221001199463769</v>
      </c>
      <c r="N652" s="8" t="n">
        <v>1.44003591667332</v>
      </c>
      <c r="O652" s="8" t="n">
        <v>18.8726046025105</v>
      </c>
      <c r="P652" s="10" t="n">
        <v>61.4496023491579</v>
      </c>
      <c r="Q652" s="9" t="n">
        <v>0.0763029770931439</v>
      </c>
    </row>
    <row r="653" customFormat="false" ht="15" hidden="false" customHeight="false" outlineLevel="0" collapsed="false">
      <c r="A653" s="6" t="n">
        <v>1745</v>
      </c>
      <c r="B653" s="6" t="s">
        <v>64</v>
      </c>
      <c r="C653" s="6" t="s">
        <v>47</v>
      </c>
      <c r="D653" s="7" t="n">
        <v>45483</v>
      </c>
      <c r="E653" s="7" t="n">
        <v>45494</v>
      </c>
      <c r="F653" s="6" t="s">
        <v>60</v>
      </c>
      <c r="G653" s="6" t="s">
        <v>54</v>
      </c>
      <c r="H653" s="8" t="n">
        <v>3999.67</v>
      </c>
      <c r="I653" s="6" t="n">
        <v>118959</v>
      </c>
      <c r="J653" s="6" t="n">
        <v>2302</v>
      </c>
      <c r="K653" s="6" t="n">
        <v>122</v>
      </c>
      <c r="L653" s="8" t="n">
        <v>50107.67</v>
      </c>
      <c r="M653" s="9" t="n">
        <v>0.0193512050370296</v>
      </c>
      <c r="N653" s="8" t="n">
        <v>1.73747610773241</v>
      </c>
      <c r="O653" s="8" t="n">
        <v>32.7841803278689</v>
      </c>
      <c r="P653" s="10" t="n">
        <v>12.5279510559621</v>
      </c>
      <c r="Q653" s="9" t="n">
        <v>0.052997393570808</v>
      </c>
    </row>
    <row r="654" customFormat="false" ht="15" hidden="false" customHeight="false" outlineLevel="0" collapsed="false">
      <c r="A654" s="6" t="n">
        <v>1107</v>
      </c>
      <c r="B654" s="6" t="s">
        <v>46</v>
      </c>
      <c r="C654" s="6" t="s">
        <v>50</v>
      </c>
      <c r="D654" s="7" t="n">
        <v>45536</v>
      </c>
      <c r="E654" s="7" t="n">
        <v>45545</v>
      </c>
      <c r="F654" s="6" t="s">
        <v>56</v>
      </c>
      <c r="G654" s="6" t="s">
        <v>57</v>
      </c>
      <c r="H654" s="8" t="n">
        <v>62341.44</v>
      </c>
      <c r="I654" s="6" t="n">
        <v>1879187</v>
      </c>
      <c r="J654" s="6" t="n">
        <v>32839</v>
      </c>
      <c r="K654" s="6" t="n">
        <v>1590</v>
      </c>
      <c r="L654" s="8" t="n">
        <v>1641994.13</v>
      </c>
      <c r="M654" s="9" t="n">
        <v>0.0174751102471441</v>
      </c>
      <c r="N654" s="8" t="n">
        <v>1.89839641889217</v>
      </c>
      <c r="O654" s="8" t="n">
        <v>39.2084528301887</v>
      </c>
      <c r="P654" s="10" t="n">
        <v>26.338726375265</v>
      </c>
      <c r="Q654" s="9" t="n">
        <v>0.0484180395261732</v>
      </c>
    </row>
    <row r="655" customFormat="false" ht="15" hidden="false" customHeight="false" outlineLevel="0" collapsed="false">
      <c r="A655" s="6" t="n">
        <v>1220</v>
      </c>
      <c r="B655" s="6" t="s">
        <v>46</v>
      </c>
      <c r="C655" s="6" t="s">
        <v>59</v>
      </c>
      <c r="D655" s="7" t="n">
        <v>45520</v>
      </c>
      <c r="E655" s="7" t="n">
        <v>45530</v>
      </c>
      <c r="F655" s="6" t="s">
        <v>56</v>
      </c>
      <c r="G655" s="6" t="s">
        <v>57</v>
      </c>
      <c r="H655" s="8" t="n">
        <v>57476.79</v>
      </c>
      <c r="I655" s="6" t="n">
        <v>1675179</v>
      </c>
      <c r="J655" s="6" t="n">
        <v>52208</v>
      </c>
      <c r="K655" s="6" t="n">
        <v>1056</v>
      </c>
      <c r="L655" s="8" t="n">
        <v>1490445.25</v>
      </c>
      <c r="M655" s="9" t="n">
        <v>0.0311656246884661</v>
      </c>
      <c r="N655" s="8" t="n">
        <v>1.10091920778425</v>
      </c>
      <c r="O655" s="8" t="n">
        <v>54.4287784090909</v>
      </c>
      <c r="P655" s="10" t="n">
        <v>25.9312541636372</v>
      </c>
      <c r="Q655" s="9" t="n">
        <v>0.0202267851670242</v>
      </c>
    </row>
    <row r="656" customFormat="false" ht="15" hidden="false" customHeight="false" outlineLevel="0" collapsed="false">
      <c r="A656" s="6" t="n">
        <v>1442</v>
      </c>
      <c r="B656" s="6" t="s">
        <v>77</v>
      </c>
      <c r="C656" s="6" t="s">
        <v>50</v>
      </c>
      <c r="D656" s="7" t="n">
        <v>45623</v>
      </c>
      <c r="E656" s="7" t="n">
        <v>45637</v>
      </c>
      <c r="F656" s="6" t="s">
        <v>60</v>
      </c>
      <c r="G656" s="6" t="s">
        <v>54</v>
      </c>
      <c r="H656" s="8" t="n">
        <v>26030.7</v>
      </c>
      <c r="I656" s="6" t="n">
        <v>867390</v>
      </c>
      <c r="J656" s="6" t="n">
        <v>13255</v>
      </c>
      <c r="K656" s="6" t="n">
        <v>323</v>
      </c>
      <c r="L656" s="8" t="n">
        <v>138375.55</v>
      </c>
      <c r="M656" s="9" t="n">
        <v>0.0152814766137493</v>
      </c>
      <c r="N656" s="8" t="n">
        <v>1.96384006035458</v>
      </c>
      <c r="O656" s="8" t="n">
        <v>80.5904024767802</v>
      </c>
      <c r="P656" s="10" t="n">
        <v>5.31585973485154</v>
      </c>
      <c r="Q656" s="9" t="n">
        <v>0.0243681629573746</v>
      </c>
    </row>
    <row r="657" customFormat="false" ht="15" hidden="false" customHeight="false" outlineLevel="0" collapsed="false">
      <c r="A657" s="6" t="n">
        <v>1693</v>
      </c>
      <c r="B657" s="6" t="s">
        <v>77</v>
      </c>
      <c r="C657" s="6" t="s">
        <v>71</v>
      </c>
      <c r="D657" s="7" t="n">
        <v>45552</v>
      </c>
      <c r="E657" s="7" t="n">
        <v>45573</v>
      </c>
      <c r="F657" s="6" t="s">
        <v>60</v>
      </c>
      <c r="G657" s="6" t="s">
        <v>57</v>
      </c>
      <c r="H657" s="8" t="n">
        <v>34454.77</v>
      </c>
      <c r="I657" s="6" t="n">
        <v>1103528</v>
      </c>
      <c r="J657" s="6" t="n">
        <v>6998</v>
      </c>
      <c r="K657" s="6" t="n">
        <v>175</v>
      </c>
      <c r="L657" s="8" t="n">
        <v>177273.07</v>
      </c>
      <c r="M657" s="9" t="n">
        <v>0.00634147932811854</v>
      </c>
      <c r="N657" s="8" t="n">
        <v>4.92351671906259</v>
      </c>
      <c r="O657" s="8" t="n">
        <v>196.8844</v>
      </c>
      <c r="P657" s="10" t="n">
        <v>5.1450951493799</v>
      </c>
      <c r="Q657" s="9" t="n">
        <v>0.0250071448985424</v>
      </c>
    </row>
    <row r="658" customFormat="false" ht="15" hidden="false" customHeight="false" outlineLevel="0" collapsed="false">
      <c r="A658" s="6" t="n">
        <v>1378</v>
      </c>
      <c r="B658" s="6" t="s">
        <v>68</v>
      </c>
      <c r="C658" s="6" t="s">
        <v>50</v>
      </c>
      <c r="D658" s="7" t="n">
        <v>45553</v>
      </c>
      <c r="E658" s="7" t="n">
        <v>45571</v>
      </c>
      <c r="F658" s="6" t="s">
        <v>53</v>
      </c>
      <c r="G658" s="6" t="s">
        <v>57</v>
      </c>
      <c r="H658" s="8" t="n">
        <v>16613.91</v>
      </c>
      <c r="I658" s="6" t="n">
        <v>523693</v>
      </c>
      <c r="J658" s="6" t="n">
        <v>11549</v>
      </c>
      <c r="K658" s="6" t="n">
        <v>320</v>
      </c>
      <c r="L658" s="8" t="n">
        <v>230255.13</v>
      </c>
      <c r="M658" s="9" t="n">
        <v>0.0220529966984474</v>
      </c>
      <c r="N658" s="8" t="n">
        <v>1.43855831673738</v>
      </c>
      <c r="O658" s="8" t="n">
        <v>51.91846875</v>
      </c>
      <c r="P658" s="10" t="n">
        <v>13.8591776409045</v>
      </c>
      <c r="Q658" s="9" t="n">
        <v>0.0277080266689757</v>
      </c>
    </row>
    <row r="659" customFormat="false" ht="15" hidden="false" customHeight="false" outlineLevel="0" collapsed="false">
      <c r="A659" s="6" t="n">
        <v>1134</v>
      </c>
      <c r="B659" s="6" t="s">
        <v>73</v>
      </c>
      <c r="C659" s="6" t="s">
        <v>71</v>
      </c>
      <c r="D659" s="7" t="n">
        <v>45528</v>
      </c>
      <c r="E659" s="7" t="n">
        <v>45540</v>
      </c>
      <c r="F659" s="6" t="s">
        <v>60</v>
      </c>
      <c r="G659" s="6" t="s">
        <v>61</v>
      </c>
      <c r="H659" s="8" t="n">
        <v>40747.54</v>
      </c>
      <c r="I659" s="6" t="n">
        <v>801083</v>
      </c>
      <c r="J659" s="6" t="n">
        <v>19802</v>
      </c>
      <c r="K659" s="6" t="n">
        <v>746</v>
      </c>
      <c r="L659" s="8" t="n">
        <v>1058733</v>
      </c>
      <c r="M659" s="9" t="n">
        <v>0.0247190366041971</v>
      </c>
      <c r="N659" s="8" t="n">
        <v>2.05774871225129</v>
      </c>
      <c r="O659" s="8" t="n">
        <v>54.6213672922252</v>
      </c>
      <c r="P659" s="10" t="n">
        <v>25.9827464430982</v>
      </c>
      <c r="Q659" s="9" t="n">
        <v>0.0376729623270377</v>
      </c>
    </row>
    <row r="660" customFormat="false" ht="15" hidden="false" customHeight="false" outlineLevel="0" collapsed="false">
      <c r="A660" s="6" t="n">
        <v>1430</v>
      </c>
      <c r="B660" s="6" t="s">
        <v>78</v>
      </c>
      <c r="C660" s="6" t="s">
        <v>59</v>
      </c>
      <c r="D660" s="7" t="n">
        <v>45560</v>
      </c>
      <c r="E660" s="7" t="n">
        <v>45567</v>
      </c>
      <c r="F660" s="6" t="s">
        <v>67</v>
      </c>
      <c r="G660" s="6" t="s">
        <v>49</v>
      </c>
      <c r="H660" s="8" t="n">
        <v>19308.99</v>
      </c>
      <c r="I660" s="6" t="n">
        <v>539942</v>
      </c>
      <c r="J660" s="6" t="n">
        <v>5482</v>
      </c>
      <c r="K660" s="6" t="n">
        <v>384</v>
      </c>
      <c r="L660" s="8" t="n">
        <v>363167.54</v>
      </c>
      <c r="M660" s="9" t="n">
        <v>0.0101529423530676</v>
      </c>
      <c r="N660" s="8" t="n">
        <v>3.52225282743524</v>
      </c>
      <c r="O660" s="8" t="n">
        <v>50.283828125</v>
      </c>
      <c r="P660" s="10" t="n">
        <v>18.8082100617381</v>
      </c>
      <c r="Q660" s="9" t="n">
        <v>0.0700474279460051</v>
      </c>
    </row>
    <row r="661" customFormat="false" ht="15" hidden="false" customHeight="false" outlineLevel="0" collapsed="false">
      <c r="A661" s="6" t="n">
        <v>1688</v>
      </c>
      <c r="B661" s="6" t="s">
        <v>74</v>
      </c>
      <c r="C661" s="6" t="s">
        <v>59</v>
      </c>
      <c r="D661" s="7" t="n">
        <v>45468</v>
      </c>
      <c r="E661" s="7" t="n">
        <v>45476</v>
      </c>
      <c r="F661" s="6" t="s">
        <v>65</v>
      </c>
      <c r="G661" s="6" t="s">
        <v>57</v>
      </c>
      <c r="H661" s="8" t="n">
        <v>83446.1</v>
      </c>
      <c r="I661" s="6" t="n">
        <v>2502795</v>
      </c>
      <c r="J661" s="6" t="n">
        <v>55610</v>
      </c>
      <c r="K661" s="6" t="n">
        <v>4026</v>
      </c>
      <c r="L661" s="8" t="n">
        <v>5532661.94</v>
      </c>
      <c r="M661" s="9" t="n">
        <v>0.0222191589802601</v>
      </c>
      <c r="N661" s="8" t="n">
        <v>1.50055925193311</v>
      </c>
      <c r="O661" s="8" t="n">
        <v>20.7268007948336</v>
      </c>
      <c r="P661" s="10" t="n">
        <v>66.3022231116853</v>
      </c>
      <c r="Q661" s="9" t="n">
        <v>0.0723970508901277</v>
      </c>
    </row>
    <row r="662" customFormat="false" ht="15" hidden="false" customHeight="false" outlineLevel="0" collapsed="false">
      <c r="A662" s="6" t="n">
        <v>1022</v>
      </c>
      <c r="B662" s="6" t="s">
        <v>64</v>
      </c>
      <c r="C662" s="6" t="s">
        <v>63</v>
      </c>
      <c r="D662" s="7" t="n">
        <v>45445</v>
      </c>
      <c r="E662" s="7" t="n">
        <v>45466</v>
      </c>
      <c r="F662" s="6" t="s">
        <v>53</v>
      </c>
      <c r="G662" s="6" t="s">
        <v>72</v>
      </c>
      <c r="H662" s="8" t="n">
        <v>35343.29</v>
      </c>
      <c r="I662" s="6" t="n">
        <v>818358</v>
      </c>
      <c r="J662" s="6" t="n">
        <v>21208</v>
      </c>
      <c r="K662" s="6" t="n">
        <v>1035</v>
      </c>
      <c r="L662" s="8" t="n">
        <v>650154.02</v>
      </c>
      <c r="M662" s="9" t="n">
        <v>0.025915308459134</v>
      </c>
      <c r="N662" s="8" t="n">
        <v>1.66650745001886</v>
      </c>
      <c r="O662" s="8" t="n">
        <v>34.1481062801932</v>
      </c>
      <c r="P662" s="10" t="n">
        <v>18.395401786308</v>
      </c>
      <c r="Q662" s="9" t="n">
        <v>0.0488023387400981</v>
      </c>
    </row>
    <row r="663" customFormat="false" ht="15" hidden="false" customHeight="false" outlineLevel="0" collapsed="false">
      <c r="A663" s="6" t="n">
        <v>1163</v>
      </c>
      <c r="B663" s="6" t="s">
        <v>73</v>
      </c>
      <c r="C663" s="6" t="s">
        <v>63</v>
      </c>
      <c r="D663" s="7" t="n">
        <v>45373</v>
      </c>
      <c r="E663" s="7" t="n">
        <v>45381</v>
      </c>
      <c r="F663" s="6" t="s">
        <v>65</v>
      </c>
      <c r="G663" s="6" t="s">
        <v>49</v>
      </c>
      <c r="H663" s="8" t="n">
        <v>34902.03</v>
      </c>
      <c r="I663" s="6" t="n">
        <v>756088</v>
      </c>
      <c r="J663" s="6" t="n">
        <v>22295</v>
      </c>
      <c r="K663" s="6" t="n">
        <v>1654</v>
      </c>
      <c r="L663" s="8" t="n">
        <v>712985.73</v>
      </c>
      <c r="M663" s="9" t="n">
        <v>0.0294873083556411</v>
      </c>
      <c r="N663" s="8" t="n">
        <v>1.56546445391343</v>
      </c>
      <c r="O663" s="8" t="n">
        <v>21.1015900846433</v>
      </c>
      <c r="P663" s="10" t="n">
        <v>20.4282023137336</v>
      </c>
      <c r="Q663" s="9" t="n">
        <v>0.0741870374523436</v>
      </c>
    </row>
    <row r="664" customFormat="false" ht="15" hidden="false" customHeight="false" outlineLevel="0" collapsed="false">
      <c r="A664" s="6" t="n">
        <v>1305</v>
      </c>
      <c r="B664" s="6" t="s">
        <v>76</v>
      </c>
      <c r="C664" s="6" t="s">
        <v>47</v>
      </c>
      <c r="D664" s="7" t="n">
        <v>45534</v>
      </c>
      <c r="E664" s="7" t="n">
        <v>45547</v>
      </c>
      <c r="F664" s="6" t="s">
        <v>60</v>
      </c>
      <c r="G664" s="6" t="s">
        <v>57</v>
      </c>
      <c r="H664" s="8" t="n">
        <v>4713.09</v>
      </c>
      <c r="I664" s="6" t="n">
        <v>121919</v>
      </c>
      <c r="J664" s="6" t="n">
        <v>1665</v>
      </c>
      <c r="K664" s="6" t="n">
        <v>109</v>
      </c>
      <c r="L664" s="8" t="n">
        <v>98525.75</v>
      </c>
      <c r="M664" s="9" t="n">
        <v>0.0136566080758536</v>
      </c>
      <c r="N664" s="8" t="n">
        <v>2.83068468468468</v>
      </c>
      <c r="O664" s="8" t="n">
        <v>43.2393577981651</v>
      </c>
      <c r="P664" s="10" t="n">
        <v>20.904703708183</v>
      </c>
      <c r="Q664" s="9" t="n">
        <v>0.0654654654654655</v>
      </c>
    </row>
    <row r="665" customFormat="false" ht="15" hidden="false" customHeight="false" outlineLevel="0" collapsed="false">
      <c r="A665" s="6" t="n">
        <v>1418</v>
      </c>
      <c r="B665" s="6" t="s">
        <v>55</v>
      </c>
      <c r="C665" s="6" t="s">
        <v>63</v>
      </c>
      <c r="D665" s="7" t="n">
        <v>45607</v>
      </c>
      <c r="E665" s="7" t="n">
        <v>45621</v>
      </c>
      <c r="F665" s="6" t="s">
        <v>48</v>
      </c>
      <c r="G665" s="6" t="s">
        <v>72</v>
      </c>
      <c r="H665" s="8" t="n">
        <v>20459.24</v>
      </c>
      <c r="I665" s="6" t="n">
        <v>360516</v>
      </c>
      <c r="J665" s="6" t="n">
        <v>11278</v>
      </c>
      <c r="K665" s="6" t="n">
        <v>831</v>
      </c>
      <c r="L665" s="8" t="n">
        <v>888421.66</v>
      </c>
      <c r="M665" s="9" t="n">
        <v>0.0312829388986897</v>
      </c>
      <c r="N665" s="8" t="n">
        <v>1.814084057457</v>
      </c>
      <c r="O665" s="8" t="n">
        <v>24.6200240673887</v>
      </c>
      <c r="P665" s="10" t="n">
        <v>43.423981535971</v>
      </c>
      <c r="Q665" s="9" t="n">
        <v>0.0736832771768044</v>
      </c>
    </row>
    <row r="666" customFormat="false" ht="15" hidden="false" customHeight="false" outlineLevel="0" collapsed="false">
      <c r="A666" s="6" t="n">
        <v>1315</v>
      </c>
      <c r="B666" s="6" t="s">
        <v>74</v>
      </c>
      <c r="C666" s="6" t="s">
        <v>71</v>
      </c>
      <c r="D666" s="7" t="n">
        <v>45350</v>
      </c>
      <c r="E666" s="7" t="n">
        <v>45370</v>
      </c>
      <c r="F666" s="6" t="s">
        <v>53</v>
      </c>
      <c r="G666" s="6" t="s">
        <v>61</v>
      </c>
      <c r="H666" s="8" t="n">
        <v>49557.11</v>
      </c>
      <c r="I666" s="6" t="n">
        <v>1016630</v>
      </c>
      <c r="J666" s="6" t="n">
        <v>29618</v>
      </c>
      <c r="K666" s="6" t="n">
        <v>1179</v>
      </c>
      <c r="L666" s="8" t="n">
        <v>1799985.78</v>
      </c>
      <c r="M666" s="9" t="n">
        <v>0.0291335097331379</v>
      </c>
      <c r="N666" s="8" t="n">
        <v>1.67320919710987</v>
      </c>
      <c r="O666" s="8" t="n">
        <v>42.0331721798134</v>
      </c>
      <c r="P666" s="10" t="n">
        <v>36.3214436838629</v>
      </c>
      <c r="Q666" s="9" t="n">
        <v>0.0398068741981228</v>
      </c>
    </row>
    <row r="667" customFormat="false" ht="15" hidden="false" customHeight="false" outlineLevel="0" collapsed="false">
      <c r="A667" s="6" t="n">
        <v>1661</v>
      </c>
      <c r="B667" s="6" t="s">
        <v>78</v>
      </c>
      <c r="C667" s="6" t="s">
        <v>71</v>
      </c>
      <c r="D667" s="7" t="n">
        <v>45598</v>
      </c>
      <c r="E667" s="7" t="n">
        <v>45626</v>
      </c>
      <c r="F667" s="6" t="s">
        <v>60</v>
      </c>
      <c r="G667" s="6" t="s">
        <v>75</v>
      </c>
      <c r="H667" s="8" t="n">
        <v>16826.49</v>
      </c>
      <c r="I667" s="6" t="n">
        <v>294512</v>
      </c>
      <c r="J667" s="6" t="n">
        <v>4553</v>
      </c>
      <c r="K667" s="6" t="n">
        <v>116</v>
      </c>
      <c r="L667" s="8" t="n">
        <v>111224.3</v>
      </c>
      <c r="M667" s="9" t="n">
        <v>0.0154594719400228</v>
      </c>
      <c r="N667" s="8" t="n">
        <v>3.69569294970349</v>
      </c>
      <c r="O667" s="8" t="n">
        <v>145.055948275862</v>
      </c>
      <c r="P667" s="10" t="n">
        <v>6.6100713814943</v>
      </c>
      <c r="Q667" s="9" t="n">
        <v>0.0254777070063694</v>
      </c>
    </row>
    <row r="668" customFormat="false" ht="15" hidden="false" customHeight="false" outlineLevel="0" collapsed="false">
      <c r="A668" s="6" t="n">
        <v>1586</v>
      </c>
      <c r="B668" s="6" t="s">
        <v>62</v>
      </c>
      <c r="C668" s="6" t="s">
        <v>71</v>
      </c>
      <c r="D668" s="7" t="n">
        <v>45311</v>
      </c>
      <c r="E668" s="7" t="n">
        <v>45329</v>
      </c>
      <c r="F668" s="6" t="s">
        <v>48</v>
      </c>
      <c r="G668" s="6" t="s">
        <v>57</v>
      </c>
      <c r="H668" s="8" t="n">
        <v>56483.14</v>
      </c>
      <c r="I668" s="6" t="n">
        <v>1968716</v>
      </c>
      <c r="J668" s="6" t="n">
        <v>28597</v>
      </c>
      <c r="K668" s="6" t="n">
        <v>1970</v>
      </c>
      <c r="L668" s="8" t="n">
        <v>2578019.07</v>
      </c>
      <c r="M668" s="9" t="n">
        <v>0.0145257111741866</v>
      </c>
      <c r="N668" s="8" t="n">
        <v>1.97514214777774</v>
      </c>
      <c r="O668" s="8" t="n">
        <v>28.6716446700508</v>
      </c>
      <c r="P668" s="10" t="n">
        <v>45.6422760845095</v>
      </c>
      <c r="Q668" s="9" t="n">
        <v>0.0688883449312865</v>
      </c>
    </row>
    <row r="669" customFormat="false" ht="15" hidden="false" customHeight="false" outlineLevel="0" collapsed="false">
      <c r="A669" s="6" t="n">
        <v>1796</v>
      </c>
      <c r="B669" s="6" t="s">
        <v>62</v>
      </c>
      <c r="C669" s="6" t="s">
        <v>71</v>
      </c>
      <c r="D669" s="7" t="n">
        <v>45307</v>
      </c>
      <c r="E669" s="7" t="n">
        <v>45322</v>
      </c>
      <c r="F669" s="6" t="s">
        <v>48</v>
      </c>
      <c r="G669" s="6" t="s">
        <v>57</v>
      </c>
      <c r="H669" s="8" t="n">
        <v>49218.6</v>
      </c>
      <c r="I669" s="6" t="n">
        <v>1270333</v>
      </c>
      <c r="J669" s="6" t="n">
        <v>37116</v>
      </c>
      <c r="K669" s="6" t="n">
        <v>2386</v>
      </c>
      <c r="L669" s="8" t="n">
        <v>2227488.76</v>
      </c>
      <c r="M669" s="9" t="n">
        <v>0.0292175358744518</v>
      </c>
      <c r="N669" s="8" t="n">
        <v>1.32607500808277</v>
      </c>
      <c r="O669" s="8" t="n">
        <v>20.6280804694049</v>
      </c>
      <c r="P669" s="10" t="n">
        <v>45.2570524151439</v>
      </c>
      <c r="Q669" s="9" t="n">
        <v>0.0642849444983296</v>
      </c>
    </row>
    <row r="670" customFormat="false" ht="15" hidden="false" customHeight="false" outlineLevel="0" collapsed="false">
      <c r="A670" s="6" t="n">
        <v>1744</v>
      </c>
      <c r="B670" s="6" t="s">
        <v>73</v>
      </c>
      <c r="C670" s="6" t="s">
        <v>47</v>
      </c>
      <c r="D670" s="7" t="n">
        <v>45569</v>
      </c>
      <c r="E670" s="7" t="n">
        <v>45594</v>
      </c>
      <c r="F670" s="6" t="s">
        <v>65</v>
      </c>
      <c r="G670" s="6" t="s">
        <v>61</v>
      </c>
      <c r="H670" s="8" t="n">
        <v>7660.85</v>
      </c>
      <c r="I670" s="6" t="n">
        <v>151494</v>
      </c>
      <c r="J670" s="6" t="n">
        <v>831</v>
      </c>
      <c r="K670" s="6" t="n">
        <v>25</v>
      </c>
      <c r="L670" s="8" t="n">
        <v>16256.92</v>
      </c>
      <c r="M670" s="9" t="n">
        <v>0.00548536575705969</v>
      </c>
      <c r="N670" s="8" t="n">
        <v>9.21883273164862</v>
      </c>
      <c r="O670" s="8" t="n">
        <v>306.434</v>
      </c>
      <c r="P670" s="10" t="n">
        <v>2.1220778373157</v>
      </c>
      <c r="Q670" s="9" t="n">
        <v>0.0300842358604091</v>
      </c>
    </row>
    <row r="671" customFormat="false" ht="15" hidden="false" customHeight="false" outlineLevel="0" collapsed="false">
      <c r="A671" s="6" t="n">
        <v>1303</v>
      </c>
      <c r="B671" s="6" t="s">
        <v>77</v>
      </c>
      <c r="C671" s="6" t="s">
        <v>71</v>
      </c>
      <c r="D671" s="7" t="n">
        <v>45594</v>
      </c>
      <c r="E671" s="7" t="n">
        <v>45622</v>
      </c>
      <c r="F671" s="6" t="s">
        <v>56</v>
      </c>
      <c r="G671" s="6" t="s">
        <v>72</v>
      </c>
      <c r="H671" s="8" t="n">
        <v>42276.09</v>
      </c>
      <c r="I671" s="6" t="n">
        <v>1024948</v>
      </c>
      <c r="J671" s="6" t="n">
        <v>10517</v>
      </c>
      <c r="K671" s="6" t="n">
        <v>681</v>
      </c>
      <c r="L671" s="8" t="n">
        <v>471581.62</v>
      </c>
      <c r="M671" s="9" t="n">
        <v>0.0102610083633511</v>
      </c>
      <c r="N671" s="8" t="n">
        <v>4.01978606066369</v>
      </c>
      <c r="O671" s="8" t="n">
        <v>62.0794273127753</v>
      </c>
      <c r="P671" s="10" t="n">
        <v>11.1548068896627</v>
      </c>
      <c r="Q671" s="9" t="n">
        <v>0.0647523057906247</v>
      </c>
    </row>
    <row r="672" customFormat="false" ht="15" hidden="false" customHeight="false" outlineLevel="0" collapsed="false">
      <c r="A672" s="6" t="n">
        <v>1634</v>
      </c>
      <c r="B672" s="6" t="s">
        <v>76</v>
      </c>
      <c r="C672" s="6" t="s">
        <v>63</v>
      </c>
      <c r="D672" s="7" t="n">
        <v>45417</v>
      </c>
      <c r="E672" s="7" t="n">
        <v>45436</v>
      </c>
      <c r="F672" s="6" t="s">
        <v>56</v>
      </c>
      <c r="G672" s="6" t="s">
        <v>57</v>
      </c>
      <c r="H672" s="8" t="n">
        <v>48348.86</v>
      </c>
      <c r="I672" s="6" t="n">
        <v>733552</v>
      </c>
      <c r="J672" s="6" t="n">
        <v>4379</v>
      </c>
      <c r="K672" s="6" t="n">
        <v>251</v>
      </c>
      <c r="L672" s="8" t="n">
        <v>403417.47</v>
      </c>
      <c r="M672" s="9" t="n">
        <v>0.00596958361506751</v>
      </c>
      <c r="N672" s="8" t="n">
        <v>11.0410733044074</v>
      </c>
      <c r="O672" s="8" t="n">
        <v>192.624940239044</v>
      </c>
      <c r="P672" s="10" t="n">
        <v>8.34388794275604</v>
      </c>
      <c r="Q672" s="9" t="n">
        <v>0.0573190226079013</v>
      </c>
    </row>
    <row r="673" customFormat="false" ht="15" hidden="false" customHeight="false" outlineLevel="0" collapsed="false">
      <c r="A673" s="6" t="n">
        <v>1690</v>
      </c>
      <c r="B673" s="6" t="s">
        <v>70</v>
      </c>
      <c r="C673" s="6" t="s">
        <v>59</v>
      </c>
      <c r="D673" s="7" t="n">
        <v>45364</v>
      </c>
      <c r="E673" s="7" t="n">
        <v>45376</v>
      </c>
      <c r="F673" s="6" t="s">
        <v>48</v>
      </c>
      <c r="G673" s="6" t="s">
        <v>57</v>
      </c>
      <c r="H673" s="8" t="n">
        <v>29125.51</v>
      </c>
      <c r="I673" s="6" t="n">
        <v>731257</v>
      </c>
      <c r="J673" s="6" t="n">
        <v>11517</v>
      </c>
      <c r="K673" s="6" t="n">
        <v>854</v>
      </c>
      <c r="L673" s="8" t="n">
        <v>1439528.65</v>
      </c>
      <c r="M673" s="9" t="n">
        <v>0.0157495928244106</v>
      </c>
      <c r="N673" s="8" t="n">
        <v>2.52891464791178</v>
      </c>
      <c r="O673" s="8" t="n">
        <v>34.10481264637</v>
      </c>
      <c r="P673" s="10" t="n">
        <v>49.4250109268473</v>
      </c>
      <c r="Q673" s="9" t="n">
        <v>0.074151254667014</v>
      </c>
    </row>
    <row r="674" customFormat="false" ht="15" hidden="false" customHeight="false" outlineLevel="0" collapsed="false">
      <c r="A674" s="6" t="n">
        <v>1145</v>
      </c>
      <c r="B674" s="6" t="s">
        <v>64</v>
      </c>
      <c r="C674" s="6" t="s">
        <v>50</v>
      </c>
      <c r="D674" s="7" t="n">
        <v>45595</v>
      </c>
      <c r="E674" s="7" t="n">
        <v>45607</v>
      </c>
      <c r="F674" s="6" t="s">
        <v>56</v>
      </c>
      <c r="G674" s="6" t="s">
        <v>54</v>
      </c>
      <c r="H674" s="8" t="n">
        <v>57598.79</v>
      </c>
      <c r="I674" s="6" t="n">
        <v>877354</v>
      </c>
      <c r="J674" s="6" t="n">
        <v>22695</v>
      </c>
      <c r="K674" s="6" t="n">
        <v>1525</v>
      </c>
      <c r="L674" s="8" t="n">
        <v>2718807.54</v>
      </c>
      <c r="M674" s="9" t="n">
        <v>0.0258675517522004</v>
      </c>
      <c r="N674" s="8" t="n">
        <v>2.53795064992289</v>
      </c>
      <c r="O674" s="8" t="n">
        <v>37.7696983606557</v>
      </c>
      <c r="P674" s="10" t="n">
        <v>47.2025113722007</v>
      </c>
      <c r="Q674" s="9" t="n">
        <v>0.0671954174928398</v>
      </c>
    </row>
    <row r="675" customFormat="false" ht="15" hidden="false" customHeight="false" outlineLevel="0" collapsed="false">
      <c r="A675" s="6" t="n">
        <v>1068</v>
      </c>
      <c r="B675" s="6" t="s">
        <v>78</v>
      </c>
      <c r="C675" s="6" t="s">
        <v>71</v>
      </c>
      <c r="D675" s="7" t="n">
        <v>45337</v>
      </c>
      <c r="E675" s="7" t="n">
        <v>45355</v>
      </c>
      <c r="F675" s="6" t="s">
        <v>48</v>
      </c>
      <c r="G675" s="6" t="s">
        <v>57</v>
      </c>
      <c r="H675" s="8" t="n">
        <v>20652.46</v>
      </c>
      <c r="I675" s="6" t="n">
        <v>613827</v>
      </c>
      <c r="J675" s="6" t="n">
        <v>12717</v>
      </c>
      <c r="K675" s="6" t="n">
        <v>479</v>
      </c>
      <c r="L675" s="8" t="n">
        <v>383151.2</v>
      </c>
      <c r="M675" s="9" t="n">
        <v>0.0207175637435303</v>
      </c>
      <c r="N675" s="8" t="n">
        <v>1.6240040890147</v>
      </c>
      <c r="O675" s="8" t="n">
        <v>43.1157828810021</v>
      </c>
      <c r="P675" s="10" t="n">
        <v>18.5523274224959</v>
      </c>
      <c r="Q675" s="9" t="n">
        <v>0.0376661162223795</v>
      </c>
    </row>
    <row r="676" customFormat="false" ht="15" hidden="false" customHeight="false" outlineLevel="0" collapsed="false">
      <c r="A676" s="6" t="n">
        <v>1159</v>
      </c>
      <c r="B676" s="6" t="s">
        <v>68</v>
      </c>
      <c r="C676" s="6" t="s">
        <v>50</v>
      </c>
      <c r="D676" s="7" t="n">
        <v>45576</v>
      </c>
      <c r="E676" s="7" t="n">
        <v>45604</v>
      </c>
      <c r="F676" s="6" t="s">
        <v>51</v>
      </c>
      <c r="G676" s="6" t="s">
        <v>61</v>
      </c>
      <c r="H676" s="8" t="n">
        <v>27489.68</v>
      </c>
      <c r="I676" s="6" t="n">
        <v>729880</v>
      </c>
      <c r="J676" s="6" t="n">
        <v>21251</v>
      </c>
      <c r="K676" s="6" t="n">
        <v>420</v>
      </c>
      <c r="L676" s="8" t="n">
        <v>154281.77</v>
      </c>
      <c r="M676" s="9" t="n">
        <v>0.0291157450539815</v>
      </c>
      <c r="N676" s="8" t="n">
        <v>1.29357112606466</v>
      </c>
      <c r="O676" s="8" t="n">
        <v>65.4516190476191</v>
      </c>
      <c r="P676" s="10" t="n">
        <v>5.61235234458895</v>
      </c>
      <c r="Q676" s="9" t="n">
        <v>0.0197637758223142</v>
      </c>
    </row>
    <row r="677" customFormat="false" ht="15" hidden="false" customHeight="false" outlineLevel="0" collapsed="false">
      <c r="A677" s="6" t="n">
        <v>1249</v>
      </c>
      <c r="B677" s="6" t="s">
        <v>66</v>
      </c>
      <c r="C677" s="6" t="s">
        <v>71</v>
      </c>
      <c r="D677" s="7" t="n">
        <v>45299</v>
      </c>
      <c r="E677" s="7" t="n">
        <v>45319</v>
      </c>
      <c r="F677" s="6" t="s">
        <v>56</v>
      </c>
      <c r="G677" s="6" t="s">
        <v>49</v>
      </c>
      <c r="H677" s="8" t="n">
        <v>25779.47</v>
      </c>
      <c r="I677" s="6" t="n">
        <v>587499</v>
      </c>
      <c r="J677" s="6" t="n">
        <v>17027</v>
      </c>
      <c r="K677" s="6" t="n">
        <v>1359</v>
      </c>
      <c r="L677" s="8" t="n">
        <v>1389363.43</v>
      </c>
      <c r="M677" s="9" t="n">
        <v>0.0289821769909396</v>
      </c>
      <c r="N677" s="8" t="n">
        <v>1.51403476830916</v>
      </c>
      <c r="O677" s="8" t="n">
        <v>18.9694407652686</v>
      </c>
      <c r="P677" s="10" t="n">
        <v>53.894181300081</v>
      </c>
      <c r="Q677" s="9" t="n">
        <v>0.0798144124038292</v>
      </c>
    </row>
    <row r="678" customFormat="false" ht="15" hidden="false" customHeight="false" outlineLevel="0" collapsed="false">
      <c r="A678" s="6" t="n">
        <v>1716</v>
      </c>
      <c r="B678" s="6" t="s">
        <v>79</v>
      </c>
      <c r="C678" s="6" t="s">
        <v>59</v>
      </c>
      <c r="D678" s="7" t="n">
        <v>45408</v>
      </c>
      <c r="E678" s="7" t="n">
        <v>45418</v>
      </c>
      <c r="F678" s="6" t="s">
        <v>48</v>
      </c>
      <c r="G678" s="6" t="s">
        <v>54</v>
      </c>
      <c r="H678" s="8" t="n">
        <v>62647.27</v>
      </c>
      <c r="I678" s="6" t="n">
        <v>1867371</v>
      </c>
      <c r="J678" s="6" t="n">
        <v>43036</v>
      </c>
      <c r="K678" s="6" t="n">
        <v>1956</v>
      </c>
      <c r="L678" s="8" t="n">
        <v>1494060.03</v>
      </c>
      <c r="M678" s="9" t="n">
        <v>0.0230463041356003</v>
      </c>
      <c r="N678" s="8" t="n">
        <v>1.45569453480807</v>
      </c>
      <c r="O678" s="8" t="n">
        <v>32.0282566462168</v>
      </c>
      <c r="P678" s="10" t="n">
        <v>23.8487651576836</v>
      </c>
      <c r="Q678" s="9" t="n">
        <v>0.0454503206617715</v>
      </c>
    </row>
    <row r="679" customFormat="false" ht="15" hidden="false" customHeight="false" outlineLevel="0" collapsed="false">
      <c r="A679" s="6" t="n">
        <v>1410</v>
      </c>
      <c r="B679" s="6" t="s">
        <v>68</v>
      </c>
      <c r="C679" s="6" t="s">
        <v>50</v>
      </c>
      <c r="D679" s="7" t="n">
        <v>45593</v>
      </c>
      <c r="E679" s="7" t="n">
        <v>45602</v>
      </c>
      <c r="F679" s="6" t="s">
        <v>53</v>
      </c>
      <c r="G679" s="6" t="s">
        <v>57</v>
      </c>
      <c r="H679" s="8" t="n">
        <v>14553.45</v>
      </c>
      <c r="I679" s="6" t="n">
        <v>312762</v>
      </c>
      <c r="J679" s="6" t="n">
        <v>6911</v>
      </c>
      <c r="K679" s="6" t="n">
        <v>179</v>
      </c>
      <c r="L679" s="8" t="n">
        <v>198415.4</v>
      </c>
      <c r="M679" s="9" t="n">
        <v>0.022096674148394</v>
      </c>
      <c r="N679" s="8" t="n">
        <v>2.10583851830415</v>
      </c>
      <c r="O679" s="8" t="n">
        <v>81.3041899441341</v>
      </c>
      <c r="P679" s="10" t="n">
        <v>13.6335645499864</v>
      </c>
      <c r="Q679" s="9" t="n">
        <v>0.0259007379539864</v>
      </c>
    </row>
    <row r="680" customFormat="false" ht="15" hidden="false" customHeight="false" outlineLevel="0" collapsed="false">
      <c r="A680" s="6" t="n">
        <v>1066</v>
      </c>
      <c r="B680" s="6" t="s">
        <v>66</v>
      </c>
      <c r="C680" s="6" t="s">
        <v>50</v>
      </c>
      <c r="D680" s="7" t="n">
        <v>45404</v>
      </c>
      <c r="E680" s="7" t="n">
        <v>45421</v>
      </c>
      <c r="F680" s="6" t="s">
        <v>69</v>
      </c>
      <c r="G680" s="6" t="s">
        <v>49</v>
      </c>
      <c r="H680" s="8" t="n">
        <v>13834.74</v>
      </c>
      <c r="I680" s="6" t="n">
        <v>278224</v>
      </c>
      <c r="J680" s="6" t="n">
        <v>9281</v>
      </c>
      <c r="K680" s="6" t="n">
        <v>591</v>
      </c>
      <c r="L680" s="8" t="n">
        <v>861697.68</v>
      </c>
      <c r="M680" s="9" t="n">
        <v>0.0333580136868135</v>
      </c>
      <c r="N680" s="8" t="n">
        <v>1.49065186941062</v>
      </c>
      <c r="O680" s="8" t="n">
        <v>23.4090355329949</v>
      </c>
      <c r="P680" s="10" t="n">
        <v>62.2850649885723</v>
      </c>
      <c r="Q680" s="9" t="n">
        <v>0.0636784829220989</v>
      </c>
    </row>
    <row r="681" customFormat="false" ht="15" hidden="false" customHeight="false" outlineLevel="0" collapsed="false">
      <c r="A681" s="6" t="n">
        <v>1193</v>
      </c>
      <c r="B681" s="6" t="s">
        <v>73</v>
      </c>
      <c r="C681" s="6" t="s">
        <v>59</v>
      </c>
      <c r="D681" s="7" t="n">
        <v>45348</v>
      </c>
      <c r="E681" s="7" t="n">
        <v>45371</v>
      </c>
      <c r="F681" s="6" t="s">
        <v>53</v>
      </c>
      <c r="G681" s="6" t="s">
        <v>75</v>
      </c>
      <c r="H681" s="8" t="n">
        <v>52057.8</v>
      </c>
      <c r="I681" s="6" t="n">
        <v>2016518</v>
      </c>
      <c r="J681" s="6" t="n">
        <v>57240</v>
      </c>
      <c r="K681" s="6" t="n">
        <v>873</v>
      </c>
      <c r="L681" s="8" t="n">
        <v>1221488.99</v>
      </c>
      <c r="M681" s="9" t="n">
        <v>0.02838556362998</v>
      </c>
      <c r="N681" s="8" t="n">
        <v>0.909465408805032</v>
      </c>
      <c r="O681" s="8" t="n">
        <v>59.6309278350516</v>
      </c>
      <c r="P681" s="10" t="n">
        <v>23.4640916442877</v>
      </c>
      <c r="Q681" s="9" t="n">
        <v>0.015251572327044</v>
      </c>
    </row>
    <row r="682" customFormat="false" ht="15" hidden="false" customHeight="false" outlineLevel="0" collapsed="false">
      <c r="A682" s="6" t="n">
        <v>1388</v>
      </c>
      <c r="B682" s="6" t="s">
        <v>73</v>
      </c>
      <c r="C682" s="6" t="s">
        <v>71</v>
      </c>
      <c r="D682" s="7" t="n">
        <v>45370</v>
      </c>
      <c r="E682" s="7" t="n">
        <v>45395</v>
      </c>
      <c r="F682" s="6" t="s">
        <v>53</v>
      </c>
      <c r="G682" s="6" t="s">
        <v>49</v>
      </c>
      <c r="H682" s="8" t="n">
        <v>25399.59</v>
      </c>
      <c r="I682" s="6" t="n">
        <v>468477</v>
      </c>
      <c r="J682" s="6" t="n">
        <v>14268</v>
      </c>
      <c r="K682" s="6" t="n">
        <v>581</v>
      </c>
      <c r="L682" s="8" t="n">
        <v>553598.45</v>
      </c>
      <c r="M682" s="9" t="n">
        <v>0.03045613765457</v>
      </c>
      <c r="N682" s="8" t="n">
        <v>1.7801787216148</v>
      </c>
      <c r="O682" s="8" t="n">
        <v>43.7170223752151</v>
      </c>
      <c r="P682" s="10" t="n">
        <v>21.7955663851267</v>
      </c>
      <c r="Q682" s="9" t="n">
        <v>0.0407204934118307</v>
      </c>
    </row>
    <row r="683" customFormat="false" ht="15" hidden="false" customHeight="false" outlineLevel="0" collapsed="false">
      <c r="A683" s="6" t="n">
        <v>1199</v>
      </c>
      <c r="B683" s="6" t="s">
        <v>76</v>
      </c>
      <c r="C683" s="6" t="s">
        <v>47</v>
      </c>
      <c r="D683" s="7" t="n">
        <v>45344</v>
      </c>
      <c r="E683" s="7" t="n">
        <v>45361</v>
      </c>
      <c r="F683" s="6" t="s">
        <v>69</v>
      </c>
      <c r="G683" s="6" t="s">
        <v>72</v>
      </c>
      <c r="H683" s="8" t="n">
        <v>1250.82</v>
      </c>
      <c r="I683" s="6" t="n">
        <v>35932</v>
      </c>
      <c r="J683" s="6" t="n">
        <v>1069</v>
      </c>
      <c r="K683" s="6" t="n">
        <v>69</v>
      </c>
      <c r="L683" s="8" t="n">
        <v>120515.28</v>
      </c>
      <c r="M683" s="9" t="n">
        <v>0.0297506400979628</v>
      </c>
      <c r="N683" s="8" t="n">
        <v>1.17008419083255</v>
      </c>
      <c r="O683" s="8" t="n">
        <v>18.1278260869565</v>
      </c>
      <c r="P683" s="10" t="n">
        <v>96.3490190435075</v>
      </c>
      <c r="Q683" s="9" t="n">
        <v>0.0645463049579046</v>
      </c>
    </row>
    <row r="684" customFormat="false" ht="15" hidden="false" customHeight="false" outlineLevel="0" collapsed="false">
      <c r="A684" s="6" t="n">
        <v>1764</v>
      </c>
      <c r="B684" s="6" t="s">
        <v>62</v>
      </c>
      <c r="C684" s="6" t="s">
        <v>47</v>
      </c>
      <c r="D684" s="7" t="n">
        <v>45397</v>
      </c>
      <c r="E684" s="7" t="n">
        <v>45423</v>
      </c>
      <c r="F684" s="6" t="s">
        <v>67</v>
      </c>
      <c r="G684" s="6" t="s">
        <v>75</v>
      </c>
      <c r="H684" s="8" t="n">
        <v>4056.55</v>
      </c>
      <c r="I684" s="6" t="n">
        <v>149600</v>
      </c>
      <c r="J684" s="6" t="n">
        <v>2284</v>
      </c>
      <c r="K684" s="6" t="n">
        <v>26</v>
      </c>
      <c r="L684" s="8" t="n">
        <v>28234.99</v>
      </c>
      <c r="M684" s="9" t="n">
        <v>0.0152673796791444</v>
      </c>
      <c r="N684" s="8" t="n">
        <v>1.77607267950963</v>
      </c>
      <c r="O684" s="8" t="n">
        <v>156.021153846154</v>
      </c>
      <c r="P684" s="10" t="n">
        <v>6.96034561388372</v>
      </c>
      <c r="Q684" s="9" t="n">
        <v>0.0113835376532399</v>
      </c>
    </row>
    <row r="685" customFormat="false" ht="15" hidden="false" customHeight="false" outlineLevel="0" collapsed="false">
      <c r="A685" s="6" t="n">
        <v>1255</v>
      </c>
      <c r="B685" s="6" t="s">
        <v>78</v>
      </c>
      <c r="C685" s="6" t="s">
        <v>50</v>
      </c>
      <c r="D685" s="7" t="n">
        <v>45609</v>
      </c>
      <c r="E685" s="7" t="n">
        <v>45621</v>
      </c>
      <c r="F685" s="6" t="s">
        <v>48</v>
      </c>
      <c r="G685" s="6" t="s">
        <v>61</v>
      </c>
      <c r="H685" s="8" t="n">
        <v>60470.25</v>
      </c>
      <c r="I685" s="6" t="n">
        <v>1902226</v>
      </c>
      <c r="J685" s="6" t="n">
        <v>40267</v>
      </c>
      <c r="K685" s="6" t="n">
        <v>1494</v>
      </c>
      <c r="L685" s="8" t="n">
        <v>1658192.34</v>
      </c>
      <c r="M685" s="9" t="n">
        <v>0.021168357492748</v>
      </c>
      <c r="N685" s="8" t="n">
        <v>1.50173218764745</v>
      </c>
      <c r="O685" s="8" t="n">
        <v>40.4754016064257</v>
      </c>
      <c r="P685" s="10" t="n">
        <v>27.4216220372828</v>
      </c>
      <c r="Q685" s="9" t="n">
        <v>0.0371023418680309</v>
      </c>
    </row>
    <row r="686" customFormat="false" ht="15" hidden="false" customHeight="false" outlineLevel="0" collapsed="false">
      <c r="A686" s="6" t="n">
        <v>1511</v>
      </c>
      <c r="B686" s="6" t="s">
        <v>66</v>
      </c>
      <c r="C686" s="6" t="s">
        <v>47</v>
      </c>
      <c r="D686" s="7" t="n">
        <v>45325</v>
      </c>
      <c r="E686" s="7" t="n">
        <v>45340</v>
      </c>
      <c r="F686" s="6" t="s">
        <v>48</v>
      </c>
      <c r="G686" s="6" t="s">
        <v>49</v>
      </c>
      <c r="H686" s="8" t="n">
        <v>7975.07</v>
      </c>
      <c r="I686" s="6" t="n">
        <v>216581</v>
      </c>
      <c r="J686" s="6" t="n">
        <v>5645</v>
      </c>
      <c r="K686" s="6" t="n">
        <v>244</v>
      </c>
      <c r="L686" s="8" t="n">
        <v>110861.2</v>
      </c>
      <c r="M686" s="9" t="n">
        <v>0.0260641515183696</v>
      </c>
      <c r="N686" s="8" t="n">
        <v>1.41276705048716</v>
      </c>
      <c r="O686" s="8" t="n">
        <v>32.6847131147541</v>
      </c>
      <c r="P686" s="10" t="n">
        <v>13.9009688943169</v>
      </c>
      <c r="Q686" s="9" t="n">
        <v>0.0432240921169176</v>
      </c>
    </row>
    <row r="687" customFormat="false" ht="15" hidden="false" customHeight="false" outlineLevel="0" collapsed="false">
      <c r="A687" s="6" t="n">
        <v>1486</v>
      </c>
      <c r="B687" s="6" t="s">
        <v>55</v>
      </c>
      <c r="C687" s="6" t="s">
        <v>63</v>
      </c>
      <c r="D687" s="7" t="n">
        <v>45479</v>
      </c>
      <c r="E687" s="7" t="n">
        <v>45498</v>
      </c>
      <c r="F687" s="6" t="s">
        <v>48</v>
      </c>
      <c r="G687" s="6" t="s">
        <v>49</v>
      </c>
      <c r="H687" s="8" t="n">
        <v>37562.34</v>
      </c>
      <c r="I687" s="6" t="n">
        <v>1418775</v>
      </c>
      <c r="J687" s="6" t="n">
        <v>9975</v>
      </c>
      <c r="K687" s="6" t="n">
        <v>392</v>
      </c>
      <c r="L687" s="8" t="n">
        <v>666569.29</v>
      </c>
      <c r="M687" s="9" t="n">
        <v>0.0070307131151874</v>
      </c>
      <c r="N687" s="8" t="n">
        <v>3.76564812030075</v>
      </c>
      <c r="O687" s="8" t="n">
        <v>95.8222959183673</v>
      </c>
      <c r="P687" s="10" t="n">
        <v>17.7456806471588</v>
      </c>
      <c r="Q687" s="9" t="n">
        <v>0.0392982456140351</v>
      </c>
    </row>
    <row r="688" customFormat="false" ht="15" hidden="false" customHeight="false" outlineLevel="0" collapsed="false">
      <c r="A688" s="6" t="n">
        <v>1561</v>
      </c>
      <c r="B688" s="6" t="s">
        <v>55</v>
      </c>
      <c r="C688" s="6" t="s">
        <v>50</v>
      </c>
      <c r="D688" s="7" t="n">
        <v>45557</v>
      </c>
      <c r="E688" s="7" t="n">
        <v>45581</v>
      </c>
      <c r="F688" s="6" t="s">
        <v>65</v>
      </c>
      <c r="G688" s="6" t="s">
        <v>61</v>
      </c>
      <c r="H688" s="8" t="n">
        <v>31856.75</v>
      </c>
      <c r="I688" s="6" t="n">
        <v>970551</v>
      </c>
      <c r="J688" s="6" t="n">
        <v>20748</v>
      </c>
      <c r="K688" s="6" t="n">
        <v>1502</v>
      </c>
      <c r="L688" s="8" t="n">
        <v>1794920.25</v>
      </c>
      <c r="M688" s="9" t="n">
        <v>0.0213775473931818</v>
      </c>
      <c r="N688" s="8" t="n">
        <v>1.53541305186042</v>
      </c>
      <c r="O688" s="8" t="n">
        <v>21.2095539280959</v>
      </c>
      <c r="P688" s="10" t="n">
        <v>56.3434829353277</v>
      </c>
      <c r="Q688" s="9" t="n">
        <v>0.0723925197609408</v>
      </c>
    </row>
    <row r="689" customFormat="false" ht="15" hidden="false" customHeight="false" outlineLevel="0" collapsed="false">
      <c r="A689" s="6" t="n">
        <v>1182</v>
      </c>
      <c r="B689" s="6" t="s">
        <v>73</v>
      </c>
      <c r="C689" s="6" t="s">
        <v>71</v>
      </c>
      <c r="D689" s="7" t="n">
        <v>45621</v>
      </c>
      <c r="E689" s="7" t="n">
        <v>45634</v>
      </c>
      <c r="F689" s="6" t="s">
        <v>67</v>
      </c>
      <c r="G689" s="6" t="s">
        <v>54</v>
      </c>
      <c r="H689" s="8" t="n">
        <v>54565.11</v>
      </c>
      <c r="I689" s="6" t="n">
        <v>1980148</v>
      </c>
      <c r="J689" s="6" t="n">
        <v>37167</v>
      </c>
      <c r="K689" s="6" t="n">
        <v>939</v>
      </c>
      <c r="L689" s="8" t="n">
        <v>740035.65</v>
      </c>
      <c r="M689" s="9" t="n">
        <v>0.0187698091253785</v>
      </c>
      <c r="N689" s="8" t="n">
        <v>1.4681063846961</v>
      </c>
      <c r="O689" s="8" t="n">
        <v>58.1098083067093</v>
      </c>
      <c r="P689" s="10" t="n">
        <v>13.5624330272586</v>
      </c>
      <c r="Q689" s="9" t="n">
        <v>0.025264347404956</v>
      </c>
    </row>
    <row r="690" customFormat="false" ht="15" hidden="false" customHeight="false" outlineLevel="0" collapsed="false">
      <c r="A690" s="6" t="n">
        <v>1660</v>
      </c>
      <c r="B690" s="6" t="s">
        <v>52</v>
      </c>
      <c r="C690" s="6" t="s">
        <v>63</v>
      </c>
      <c r="D690" s="7" t="n">
        <v>45384</v>
      </c>
      <c r="E690" s="7" t="n">
        <v>45400</v>
      </c>
      <c r="F690" s="6" t="s">
        <v>56</v>
      </c>
      <c r="G690" s="6" t="s">
        <v>49</v>
      </c>
      <c r="H690" s="8" t="n">
        <v>40608.5</v>
      </c>
      <c r="I690" s="6" t="n">
        <v>639563</v>
      </c>
      <c r="J690" s="6" t="n">
        <v>7113</v>
      </c>
      <c r="K690" s="6" t="n">
        <v>272</v>
      </c>
      <c r="L690" s="8" t="n">
        <v>242383.82</v>
      </c>
      <c r="M690" s="9" t="n">
        <v>0.0111216565060831</v>
      </c>
      <c r="N690" s="8" t="n">
        <v>5.7090538450724</v>
      </c>
      <c r="O690" s="8" t="n">
        <v>149.295955882353</v>
      </c>
      <c r="P690" s="10" t="n">
        <v>5.96879520297475</v>
      </c>
      <c r="Q690" s="9" t="n">
        <v>0.0382398425418248</v>
      </c>
    </row>
    <row r="691" customFormat="false" ht="15" hidden="false" customHeight="false" outlineLevel="0" collapsed="false">
      <c r="A691" s="6" t="n">
        <v>1265</v>
      </c>
      <c r="B691" s="6" t="s">
        <v>79</v>
      </c>
      <c r="C691" s="6" t="s">
        <v>47</v>
      </c>
      <c r="D691" s="7" t="n">
        <v>45512</v>
      </c>
      <c r="E691" s="7" t="n">
        <v>45527</v>
      </c>
      <c r="F691" s="6" t="s">
        <v>67</v>
      </c>
      <c r="G691" s="6" t="s">
        <v>57</v>
      </c>
      <c r="H691" s="8" t="n">
        <v>7468.97</v>
      </c>
      <c r="I691" s="6" t="n">
        <v>128764</v>
      </c>
      <c r="J691" s="6" t="n">
        <v>3238</v>
      </c>
      <c r="K691" s="6" t="n">
        <v>128</v>
      </c>
      <c r="L691" s="8" t="n">
        <v>109445.94</v>
      </c>
      <c r="M691" s="9" t="n">
        <v>0.0251467801559442</v>
      </c>
      <c r="N691" s="8" t="n">
        <v>2.30666151945646</v>
      </c>
      <c r="O691" s="8" t="n">
        <v>58.351328125</v>
      </c>
      <c r="P691" s="10" t="n">
        <v>14.6534180750492</v>
      </c>
      <c r="Q691" s="9" t="n">
        <v>0.0395305744286597</v>
      </c>
    </row>
    <row r="692" customFormat="false" ht="15" hidden="false" customHeight="false" outlineLevel="0" collapsed="false">
      <c r="A692" s="6" t="n">
        <v>1773</v>
      </c>
      <c r="B692" s="6" t="s">
        <v>46</v>
      </c>
      <c r="C692" s="6" t="s">
        <v>59</v>
      </c>
      <c r="D692" s="7" t="n">
        <v>45421</v>
      </c>
      <c r="E692" s="7" t="n">
        <v>45441</v>
      </c>
      <c r="F692" s="6" t="s">
        <v>51</v>
      </c>
      <c r="G692" s="6" t="s">
        <v>61</v>
      </c>
      <c r="H692" s="8" t="n">
        <v>49976.18</v>
      </c>
      <c r="I692" s="6" t="n">
        <v>1330871</v>
      </c>
      <c r="J692" s="6" t="n">
        <v>41884</v>
      </c>
      <c r="K692" s="6" t="n">
        <v>1777</v>
      </c>
      <c r="L692" s="8" t="n">
        <v>1693321.14</v>
      </c>
      <c r="M692" s="9" t="n">
        <v>0.031471119289548</v>
      </c>
      <c r="N692" s="8" t="n">
        <v>1.19320456498902</v>
      </c>
      <c r="O692" s="8" t="n">
        <v>28.1239054586382</v>
      </c>
      <c r="P692" s="10" t="n">
        <v>33.8825644537057</v>
      </c>
      <c r="Q692" s="9" t="n">
        <v>0.0424267023206953</v>
      </c>
    </row>
    <row r="693" customFormat="false" ht="15" hidden="false" customHeight="false" outlineLevel="0" collapsed="false">
      <c r="A693" s="6" t="n">
        <v>1006</v>
      </c>
      <c r="B693" s="6" t="s">
        <v>66</v>
      </c>
      <c r="C693" s="6" t="s">
        <v>47</v>
      </c>
      <c r="D693" s="7" t="n">
        <v>45350</v>
      </c>
      <c r="E693" s="7" t="n">
        <v>45376</v>
      </c>
      <c r="F693" s="6" t="s">
        <v>69</v>
      </c>
      <c r="G693" s="6" t="s">
        <v>49</v>
      </c>
      <c r="H693" s="8" t="n">
        <v>6256.14</v>
      </c>
      <c r="I693" s="6" t="n">
        <v>214053</v>
      </c>
      <c r="J693" s="6" t="n">
        <v>3254</v>
      </c>
      <c r="K693" s="6" t="n">
        <v>99</v>
      </c>
      <c r="L693" s="8" t="n">
        <v>113910</v>
      </c>
      <c r="M693" s="9" t="n">
        <v>0.0152018425343256</v>
      </c>
      <c r="N693" s="8" t="n">
        <v>1.92259987707437</v>
      </c>
      <c r="O693" s="8" t="n">
        <v>63.1933333333333</v>
      </c>
      <c r="P693" s="10" t="n">
        <v>18.2077127430013</v>
      </c>
      <c r="Q693" s="9" t="n">
        <v>0.0304240934234788</v>
      </c>
    </row>
    <row r="694" customFormat="false" ht="15" hidden="false" customHeight="false" outlineLevel="0" collapsed="false">
      <c r="A694" s="6" t="n">
        <v>1711</v>
      </c>
      <c r="B694" s="6" t="s">
        <v>46</v>
      </c>
      <c r="C694" s="6" t="s">
        <v>63</v>
      </c>
      <c r="D694" s="7" t="n">
        <v>45526</v>
      </c>
      <c r="E694" s="7" t="n">
        <v>45552</v>
      </c>
      <c r="F694" s="6" t="s">
        <v>67</v>
      </c>
      <c r="G694" s="6" t="s">
        <v>49</v>
      </c>
      <c r="H694" s="8" t="n">
        <v>20648.43</v>
      </c>
      <c r="I694" s="6" t="n">
        <v>325921</v>
      </c>
      <c r="J694" s="6" t="n">
        <v>10156</v>
      </c>
      <c r="K694" s="6" t="n">
        <v>760</v>
      </c>
      <c r="L694" s="8" t="n">
        <v>277767.02</v>
      </c>
      <c r="M694" s="9" t="n">
        <v>0.0311609255003513</v>
      </c>
      <c r="N694" s="8" t="n">
        <v>2.03312623079953</v>
      </c>
      <c r="O694" s="8" t="n">
        <v>27.1689868421053</v>
      </c>
      <c r="P694" s="10" t="n">
        <v>13.452210168037</v>
      </c>
      <c r="Q694" s="9" t="n">
        <v>0.0748326112642773</v>
      </c>
    </row>
    <row r="695" customFormat="false" ht="15" hidden="false" customHeight="false" outlineLevel="0" collapsed="false">
      <c r="A695" s="6" t="n">
        <v>1570</v>
      </c>
      <c r="B695" s="6" t="s">
        <v>55</v>
      </c>
      <c r="C695" s="6" t="s">
        <v>71</v>
      </c>
      <c r="D695" s="7" t="n">
        <v>45439</v>
      </c>
      <c r="E695" s="7" t="n">
        <v>45461</v>
      </c>
      <c r="F695" s="6" t="s">
        <v>60</v>
      </c>
      <c r="G695" s="6" t="s">
        <v>49</v>
      </c>
      <c r="H695" s="8" t="n">
        <v>30039.42</v>
      </c>
      <c r="I695" s="6" t="n">
        <v>990715</v>
      </c>
      <c r="J695" s="6" t="n">
        <v>27809</v>
      </c>
      <c r="K695" s="6" t="n">
        <v>784</v>
      </c>
      <c r="L695" s="8" t="n">
        <v>1366074.73</v>
      </c>
      <c r="M695" s="9" t="n">
        <v>0.0280696264818843</v>
      </c>
      <c r="N695" s="8" t="n">
        <v>1.08020496961415</v>
      </c>
      <c r="O695" s="8" t="n">
        <v>38.3155867346939</v>
      </c>
      <c r="P695" s="10" t="n">
        <v>45.4760687789578</v>
      </c>
      <c r="Q695" s="9" t="n">
        <v>0.0281923118414902</v>
      </c>
    </row>
    <row r="696" customFormat="false" ht="15" hidden="false" customHeight="false" outlineLevel="0" collapsed="false">
      <c r="A696" s="6" t="n">
        <v>1128</v>
      </c>
      <c r="B696" s="6" t="s">
        <v>76</v>
      </c>
      <c r="C696" s="6" t="s">
        <v>59</v>
      </c>
      <c r="D696" s="7" t="n">
        <v>45460</v>
      </c>
      <c r="E696" s="7" t="n">
        <v>45479</v>
      </c>
      <c r="F696" s="6" t="s">
        <v>60</v>
      </c>
      <c r="G696" s="6" t="s">
        <v>49</v>
      </c>
      <c r="H696" s="8" t="n">
        <v>47296.22</v>
      </c>
      <c r="I696" s="6" t="n">
        <v>1683195</v>
      </c>
      <c r="J696" s="6" t="n">
        <v>41290</v>
      </c>
      <c r="K696" s="6" t="n">
        <v>2130</v>
      </c>
      <c r="L696" s="8" t="n">
        <v>1673394.38</v>
      </c>
      <c r="M696" s="9" t="n">
        <v>0.0245307287628587</v>
      </c>
      <c r="N696" s="8" t="n">
        <v>1.14546427706466</v>
      </c>
      <c r="O696" s="8" t="n">
        <v>22.2047981220657</v>
      </c>
      <c r="P696" s="10" t="n">
        <v>35.3811442013759</v>
      </c>
      <c r="Q696" s="9" t="n">
        <v>0.0515863405182853</v>
      </c>
    </row>
    <row r="697" customFormat="false" ht="15" hidden="false" customHeight="false" outlineLevel="0" collapsed="false">
      <c r="A697" s="6" t="n">
        <v>1542</v>
      </c>
      <c r="B697" s="6" t="s">
        <v>66</v>
      </c>
      <c r="C697" s="6" t="s">
        <v>63</v>
      </c>
      <c r="D697" s="7" t="n">
        <v>45541</v>
      </c>
      <c r="E697" s="7" t="n">
        <v>45554</v>
      </c>
      <c r="F697" s="6" t="s">
        <v>67</v>
      </c>
      <c r="G697" s="6" t="s">
        <v>49</v>
      </c>
      <c r="H697" s="8" t="n">
        <v>26185.03</v>
      </c>
      <c r="I697" s="6" t="n">
        <v>934641</v>
      </c>
      <c r="J697" s="6" t="n">
        <v>13116</v>
      </c>
      <c r="K697" s="6" t="n">
        <v>437</v>
      </c>
      <c r="L697" s="8" t="n">
        <v>481073.65</v>
      </c>
      <c r="M697" s="9" t="n">
        <v>0.0140331956334036</v>
      </c>
      <c r="N697" s="8" t="n">
        <v>1.99641887770662</v>
      </c>
      <c r="O697" s="8" t="n">
        <v>59.9199771167048</v>
      </c>
      <c r="P697" s="10" t="n">
        <v>18.3720870283517</v>
      </c>
      <c r="Q697" s="9" t="n">
        <v>0.0333180847819457</v>
      </c>
    </row>
    <row r="698" customFormat="false" ht="15" hidden="false" customHeight="false" outlineLevel="0" collapsed="false">
      <c r="A698" s="6" t="n">
        <v>1259</v>
      </c>
      <c r="B698" s="6" t="s">
        <v>46</v>
      </c>
      <c r="C698" s="6" t="s">
        <v>59</v>
      </c>
      <c r="D698" s="7" t="n">
        <v>45550</v>
      </c>
      <c r="E698" s="7" t="n">
        <v>45565</v>
      </c>
      <c r="F698" s="6" t="s">
        <v>60</v>
      </c>
      <c r="G698" s="6" t="s">
        <v>54</v>
      </c>
      <c r="H698" s="8" t="n">
        <v>26863.23</v>
      </c>
      <c r="I698" s="6" t="n">
        <v>1073477</v>
      </c>
      <c r="J698" s="6" t="n">
        <v>19634</v>
      </c>
      <c r="K698" s="6" t="n">
        <v>680</v>
      </c>
      <c r="L698" s="8" t="n">
        <v>548742.83</v>
      </c>
      <c r="M698" s="9" t="n">
        <v>0.0182900984371347</v>
      </c>
      <c r="N698" s="8" t="n">
        <v>1.3681995517979</v>
      </c>
      <c r="O698" s="8" t="n">
        <v>39.50475</v>
      </c>
      <c r="P698" s="10" t="n">
        <v>20.4272840607775</v>
      </c>
      <c r="Q698" s="9" t="n">
        <v>0.034633798512784</v>
      </c>
    </row>
    <row r="699" customFormat="false" ht="15" hidden="false" customHeight="false" outlineLevel="0" collapsed="false">
      <c r="A699" s="6" t="n">
        <v>1402</v>
      </c>
      <c r="B699" s="6" t="s">
        <v>62</v>
      </c>
      <c r="C699" s="6" t="s">
        <v>50</v>
      </c>
      <c r="D699" s="7" t="n">
        <v>45384</v>
      </c>
      <c r="E699" s="7" t="n">
        <v>45389</v>
      </c>
      <c r="F699" s="6" t="s">
        <v>48</v>
      </c>
      <c r="G699" s="6" t="s">
        <v>61</v>
      </c>
      <c r="H699" s="8" t="n">
        <v>14095.12</v>
      </c>
      <c r="I699" s="6" t="n">
        <v>348832</v>
      </c>
      <c r="J699" s="6" t="n">
        <v>5093</v>
      </c>
      <c r="K699" s="6" t="n">
        <v>198</v>
      </c>
      <c r="L699" s="8" t="n">
        <v>162382.93</v>
      </c>
      <c r="M699" s="9" t="n">
        <v>0.0146001513622603</v>
      </c>
      <c r="N699" s="8" t="n">
        <v>2.76754761437267</v>
      </c>
      <c r="O699" s="8" t="n">
        <v>71.1874747474748</v>
      </c>
      <c r="P699" s="10" t="n">
        <v>11.5205070974919</v>
      </c>
      <c r="Q699" s="9" t="n">
        <v>0.0388768898488121</v>
      </c>
    </row>
    <row r="700" customFormat="false" ht="15" hidden="false" customHeight="false" outlineLevel="0" collapsed="false">
      <c r="A700" s="6" t="n">
        <v>1757</v>
      </c>
      <c r="B700" s="6" t="s">
        <v>46</v>
      </c>
      <c r="C700" s="6" t="s">
        <v>59</v>
      </c>
      <c r="D700" s="7" t="n">
        <v>45452</v>
      </c>
      <c r="E700" s="7" t="n">
        <v>45467</v>
      </c>
      <c r="F700" s="6" t="s">
        <v>65</v>
      </c>
      <c r="G700" s="6" t="s">
        <v>72</v>
      </c>
      <c r="H700" s="8" t="n">
        <v>57451.12</v>
      </c>
      <c r="I700" s="6" t="n">
        <v>1362328</v>
      </c>
      <c r="J700" s="6" t="n">
        <v>19332</v>
      </c>
      <c r="K700" s="6" t="n">
        <v>1310</v>
      </c>
      <c r="L700" s="8" t="n">
        <v>1441817.51</v>
      </c>
      <c r="M700" s="9" t="n">
        <v>0.0141904152303997</v>
      </c>
      <c r="N700" s="8" t="n">
        <v>2.97181460790399</v>
      </c>
      <c r="O700" s="8" t="n">
        <v>43.8558167938931</v>
      </c>
      <c r="P700" s="10" t="n">
        <v>25.0964212708125</v>
      </c>
      <c r="Q700" s="9" t="n">
        <v>0.0677632940202773</v>
      </c>
    </row>
    <row r="701" customFormat="false" ht="15" hidden="false" customHeight="false" outlineLevel="0" collapsed="false">
      <c r="A701" s="6" t="n">
        <v>1049</v>
      </c>
      <c r="B701" s="6" t="s">
        <v>55</v>
      </c>
      <c r="C701" s="6" t="s">
        <v>50</v>
      </c>
      <c r="D701" s="7" t="n">
        <v>45306</v>
      </c>
      <c r="E701" s="7" t="n">
        <v>45312</v>
      </c>
      <c r="F701" s="6" t="s">
        <v>67</v>
      </c>
      <c r="G701" s="6" t="s">
        <v>54</v>
      </c>
      <c r="H701" s="8" t="n">
        <v>65730.04</v>
      </c>
      <c r="I701" s="6" t="n">
        <v>1468027</v>
      </c>
      <c r="J701" s="6" t="n">
        <v>23848</v>
      </c>
      <c r="K701" s="6" t="n">
        <v>481</v>
      </c>
      <c r="L701" s="8" t="n">
        <v>538811.95</v>
      </c>
      <c r="M701" s="9" t="n">
        <v>0.016244932824805</v>
      </c>
      <c r="N701" s="8" t="n">
        <v>2.75620764844012</v>
      </c>
      <c r="O701" s="8" t="n">
        <v>136.65288981289</v>
      </c>
      <c r="P701" s="10" t="n">
        <v>8.1973470577532</v>
      </c>
      <c r="Q701" s="9" t="n">
        <v>0.0201694062395169</v>
      </c>
    </row>
    <row r="702" customFormat="false" ht="15" hidden="false" customHeight="false" outlineLevel="0" collapsed="false">
      <c r="A702" s="6" t="n">
        <v>1275</v>
      </c>
      <c r="B702" s="6" t="s">
        <v>73</v>
      </c>
      <c r="C702" s="6" t="s">
        <v>50</v>
      </c>
      <c r="D702" s="7" t="n">
        <v>45452</v>
      </c>
      <c r="E702" s="7" t="n">
        <v>45469</v>
      </c>
      <c r="F702" s="6" t="s">
        <v>60</v>
      </c>
      <c r="G702" s="6" t="s">
        <v>54</v>
      </c>
      <c r="H702" s="8" t="n">
        <v>75739.74</v>
      </c>
      <c r="I702" s="6" t="n">
        <v>2219050</v>
      </c>
      <c r="J702" s="6" t="n">
        <v>46788</v>
      </c>
      <c r="K702" s="6" t="n">
        <v>2568</v>
      </c>
      <c r="L702" s="8" t="n">
        <v>1376716.55</v>
      </c>
      <c r="M702" s="9" t="n">
        <v>0.021084698406976</v>
      </c>
      <c r="N702" s="8" t="n">
        <v>1.6187855860477</v>
      </c>
      <c r="O702" s="8" t="n">
        <v>29.4936682242991</v>
      </c>
      <c r="P702" s="10" t="n">
        <v>18.176937892842</v>
      </c>
      <c r="Q702" s="9" t="n">
        <v>0.054885868171326</v>
      </c>
    </row>
    <row r="703" customFormat="false" ht="15" hidden="false" customHeight="false" outlineLevel="0" collapsed="false">
      <c r="A703" s="6" t="n">
        <v>1063</v>
      </c>
      <c r="B703" s="6" t="s">
        <v>52</v>
      </c>
      <c r="C703" s="6" t="s">
        <v>59</v>
      </c>
      <c r="D703" s="7" t="n">
        <v>45471</v>
      </c>
      <c r="E703" s="7" t="n">
        <v>45493</v>
      </c>
      <c r="F703" s="6" t="s">
        <v>53</v>
      </c>
      <c r="G703" s="6" t="s">
        <v>61</v>
      </c>
      <c r="H703" s="8" t="n">
        <v>23616.4</v>
      </c>
      <c r="I703" s="6" t="n">
        <v>518715</v>
      </c>
      <c r="J703" s="6" t="n">
        <v>6112</v>
      </c>
      <c r="K703" s="6" t="n">
        <v>244</v>
      </c>
      <c r="L703" s="8" t="n">
        <v>283869.67</v>
      </c>
      <c r="M703" s="9" t="n">
        <v>0.011782963669838</v>
      </c>
      <c r="N703" s="8" t="n">
        <v>3.86393979057592</v>
      </c>
      <c r="O703" s="8" t="n">
        <v>96.788524590164</v>
      </c>
      <c r="P703" s="10" t="n">
        <v>12.0200229501533</v>
      </c>
      <c r="Q703" s="9" t="n">
        <v>0.0399214659685864</v>
      </c>
    </row>
    <row r="704" customFormat="false" ht="15" hidden="false" customHeight="false" outlineLevel="0" collapsed="false">
      <c r="A704" s="6" t="n">
        <v>1067</v>
      </c>
      <c r="B704" s="6" t="s">
        <v>62</v>
      </c>
      <c r="C704" s="6" t="s">
        <v>47</v>
      </c>
      <c r="D704" s="7" t="n">
        <v>45328</v>
      </c>
      <c r="E704" s="7" t="n">
        <v>45345</v>
      </c>
      <c r="F704" s="6" t="s">
        <v>48</v>
      </c>
      <c r="G704" s="6" t="s">
        <v>57</v>
      </c>
      <c r="H704" s="8" t="n">
        <v>1296.12</v>
      </c>
      <c r="I704" s="6" t="n">
        <v>20049</v>
      </c>
      <c r="J704" s="6" t="n">
        <v>654</v>
      </c>
      <c r="K704" s="6" t="n">
        <v>46</v>
      </c>
      <c r="L704" s="8" t="n">
        <v>54503.14</v>
      </c>
      <c r="M704" s="9" t="n">
        <v>0.032620080802035</v>
      </c>
      <c r="N704" s="8" t="n">
        <v>1.98183486238532</v>
      </c>
      <c r="O704" s="8" t="n">
        <v>28.1765217391304</v>
      </c>
      <c r="P704" s="10" t="n">
        <v>42.050998364349</v>
      </c>
      <c r="Q704" s="9" t="n">
        <v>0.0703363914373089</v>
      </c>
    </row>
    <row r="705" customFormat="false" ht="15" hidden="false" customHeight="false" outlineLevel="0" collapsed="false">
      <c r="A705" s="6" t="n">
        <v>1129</v>
      </c>
      <c r="B705" s="6" t="s">
        <v>52</v>
      </c>
      <c r="C705" s="6" t="s">
        <v>63</v>
      </c>
      <c r="D705" s="7" t="n">
        <v>45484</v>
      </c>
      <c r="E705" s="7" t="n">
        <v>45497</v>
      </c>
      <c r="F705" s="6" t="s">
        <v>48</v>
      </c>
      <c r="G705" s="6" t="s">
        <v>49</v>
      </c>
      <c r="H705" s="8" t="n">
        <v>22060.68</v>
      </c>
      <c r="I705" s="6" t="n">
        <v>844961</v>
      </c>
      <c r="J705" s="6" t="n">
        <v>9289</v>
      </c>
      <c r="K705" s="6" t="n">
        <v>741</v>
      </c>
      <c r="L705" s="8" t="n">
        <v>452672.79</v>
      </c>
      <c r="M705" s="9" t="n">
        <v>0.01099340679629</v>
      </c>
      <c r="N705" s="8" t="n">
        <v>2.37492518032081</v>
      </c>
      <c r="O705" s="8" t="n">
        <v>29.7714979757085</v>
      </c>
      <c r="P705" s="10" t="n">
        <v>20.5194395639663</v>
      </c>
      <c r="Q705" s="9" t="n">
        <v>0.0797717730649155</v>
      </c>
    </row>
    <row r="706" customFormat="false" ht="15" hidden="false" customHeight="false" outlineLevel="0" collapsed="false">
      <c r="A706" s="6" t="n">
        <v>1190</v>
      </c>
      <c r="B706" s="6" t="s">
        <v>70</v>
      </c>
      <c r="C706" s="6" t="s">
        <v>47</v>
      </c>
      <c r="D706" s="7" t="n">
        <v>45400</v>
      </c>
      <c r="E706" s="7" t="n">
        <v>45428</v>
      </c>
      <c r="F706" s="6" t="s">
        <v>56</v>
      </c>
      <c r="G706" s="6" t="s">
        <v>49</v>
      </c>
      <c r="H706" s="8" t="n">
        <v>5127.85</v>
      </c>
      <c r="I706" s="6" t="n">
        <v>98580</v>
      </c>
      <c r="J706" s="6" t="n">
        <v>1577</v>
      </c>
      <c r="K706" s="6" t="n">
        <v>87</v>
      </c>
      <c r="L706" s="8" t="n">
        <v>35163.4</v>
      </c>
      <c r="M706" s="9" t="n">
        <v>0.0159971596672753</v>
      </c>
      <c r="N706" s="8" t="n">
        <v>3.25164870006341</v>
      </c>
      <c r="O706" s="8" t="n">
        <v>58.9408045977012</v>
      </c>
      <c r="P706" s="10" t="n">
        <v>6.85733787064754</v>
      </c>
      <c r="Q706" s="9" t="n">
        <v>0.0551680405833862</v>
      </c>
    </row>
    <row r="707" customFormat="false" ht="15" hidden="false" customHeight="false" outlineLevel="0" collapsed="false">
      <c r="A707" s="6" t="n">
        <v>1539</v>
      </c>
      <c r="B707" s="6" t="s">
        <v>66</v>
      </c>
      <c r="C707" s="6" t="s">
        <v>71</v>
      </c>
      <c r="D707" s="7" t="n">
        <v>45433</v>
      </c>
      <c r="E707" s="7" t="n">
        <v>45445</v>
      </c>
      <c r="F707" s="6" t="s">
        <v>53</v>
      </c>
      <c r="G707" s="6" t="s">
        <v>72</v>
      </c>
      <c r="H707" s="8" t="n">
        <v>44374.64</v>
      </c>
      <c r="I707" s="6" t="n">
        <v>1114424</v>
      </c>
      <c r="J707" s="6" t="n">
        <v>18707</v>
      </c>
      <c r="K707" s="6" t="n">
        <v>475</v>
      </c>
      <c r="L707" s="8" t="n">
        <v>733827.29</v>
      </c>
      <c r="M707" s="9" t="n">
        <v>0.0167862501166522</v>
      </c>
      <c r="N707" s="8" t="n">
        <v>2.37208745389426</v>
      </c>
      <c r="O707" s="8" t="n">
        <v>93.4202947368421</v>
      </c>
      <c r="P707" s="10" t="n">
        <v>16.5370871741157</v>
      </c>
      <c r="Q707" s="9" t="n">
        <v>0.025391564654942</v>
      </c>
    </row>
    <row r="708" customFormat="false" ht="15" hidden="false" customHeight="false" outlineLevel="0" collapsed="false">
      <c r="A708" s="6" t="n">
        <v>1769</v>
      </c>
      <c r="B708" s="6" t="s">
        <v>77</v>
      </c>
      <c r="C708" s="6" t="s">
        <v>71</v>
      </c>
      <c r="D708" s="7" t="n">
        <v>45383</v>
      </c>
      <c r="E708" s="7" t="n">
        <v>45392</v>
      </c>
      <c r="F708" s="6" t="s">
        <v>48</v>
      </c>
      <c r="G708" s="6" t="s">
        <v>54</v>
      </c>
      <c r="H708" s="8" t="n">
        <v>56471.81</v>
      </c>
      <c r="I708" s="6" t="n">
        <v>1193879</v>
      </c>
      <c r="J708" s="6" t="n">
        <v>6282</v>
      </c>
      <c r="K708" s="6" t="n">
        <v>438</v>
      </c>
      <c r="L708" s="8" t="n">
        <v>640008.65</v>
      </c>
      <c r="M708" s="9" t="n">
        <v>0.00526183976768165</v>
      </c>
      <c r="N708" s="8" t="n">
        <v>8.9894635466412</v>
      </c>
      <c r="O708" s="8" t="n">
        <v>128.931073059361</v>
      </c>
      <c r="P708" s="10" t="n">
        <v>11.3332413110187</v>
      </c>
      <c r="Q708" s="9" t="n">
        <v>0.0697230181470869</v>
      </c>
    </row>
    <row r="709" customFormat="false" ht="15" hidden="false" customHeight="false" outlineLevel="0" collapsed="false">
      <c r="A709" s="6" t="n">
        <v>1640</v>
      </c>
      <c r="B709" s="6" t="s">
        <v>77</v>
      </c>
      <c r="C709" s="6" t="s">
        <v>50</v>
      </c>
      <c r="D709" s="7" t="n">
        <v>45547</v>
      </c>
      <c r="E709" s="7" t="n">
        <v>45566</v>
      </c>
      <c r="F709" s="6" t="s">
        <v>48</v>
      </c>
      <c r="G709" s="6" t="s">
        <v>57</v>
      </c>
      <c r="H709" s="8" t="n">
        <v>73889.18</v>
      </c>
      <c r="I709" s="6" t="n">
        <v>2782485</v>
      </c>
      <c r="J709" s="6" t="n">
        <v>84029</v>
      </c>
      <c r="K709" s="6" t="n">
        <v>5814</v>
      </c>
      <c r="L709" s="8" t="n">
        <v>8636562.03</v>
      </c>
      <c r="M709" s="9" t="n">
        <v>0.030199264326672</v>
      </c>
      <c r="N709" s="8" t="n">
        <v>0.879329517190494</v>
      </c>
      <c r="O709" s="8" t="n">
        <v>12.7088372893017</v>
      </c>
      <c r="P709" s="10" t="n">
        <v>116.885341399106</v>
      </c>
      <c r="Q709" s="9" t="n">
        <v>0.0691903985528806</v>
      </c>
    </row>
    <row r="710" customFormat="false" ht="15" hidden="false" customHeight="false" outlineLevel="0" collapsed="false">
      <c r="A710" s="6" t="n">
        <v>1018</v>
      </c>
      <c r="B710" s="6" t="s">
        <v>78</v>
      </c>
      <c r="C710" s="6" t="s">
        <v>63</v>
      </c>
      <c r="D710" s="7" t="n">
        <v>45478</v>
      </c>
      <c r="E710" s="7" t="n">
        <v>45508</v>
      </c>
      <c r="F710" s="6" t="s">
        <v>67</v>
      </c>
      <c r="G710" s="6" t="s">
        <v>61</v>
      </c>
      <c r="H710" s="8" t="n">
        <v>45552.68</v>
      </c>
      <c r="I710" s="6" t="n">
        <v>922528</v>
      </c>
      <c r="J710" s="6" t="n">
        <v>11518</v>
      </c>
      <c r="K710" s="6" t="n">
        <v>198</v>
      </c>
      <c r="L710" s="8" t="n">
        <v>293271.37</v>
      </c>
      <c r="M710" s="9" t="n">
        <v>0.0124852579000312</v>
      </c>
      <c r="N710" s="8" t="n">
        <v>3.95491231116513</v>
      </c>
      <c r="O710" s="8" t="n">
        <v>230.06404040404</v>
      </c>
      <c r="P710" s="10" t="n">
        <v>6.43807060309075</v>
      </c>
      <c r="Q710" s="9" t="n">
        <v>0.0171904844591075</v>
      </c>
    </row>
    <row r="711" customFormat="false" ht="15" hidden="false" customHeight="false" outlineLevel="0" collapsed="false">
      <c r="A711" s="6" t="n">
        <v>1364</v>
      </c>
      <c r="B711" s="6" t="s">
        <v>58</v>
      </c>
      <c r="C711" s="6" t="s">
        <v>50</v>
      </c>
      <c r="D711" s="7" t="n">
        <v>45620</v>
      </c>
      <c r="E711" s="7" t="n">
        <v>45645</v>
      </c>
      <c r="F711" s="6" t="s">
        <v>69</v>
      </c>
      <c r="G711" s="6" t="s">
        <v>72</v>
      </c>
      <c r="H711" s="8" t="n">
        <v>54110.94</v>
      </c>
      <c r="I711" s="6" t="n">
        <v>1881734</v>
      </c>
      <c r="J711" s="6" t="n">
        <v>17091</v>
      </c>
      <c r="K711" s="6" t="n">
        <v>650</v>
      </c>
      <c r="L711" s="8" t="n">
        <v>819669.24</v>
      </c>
      <c r="M711" s="9" t="n">
        <v>0.00908258021590724</v>
      </c>
      <c r="N711" s="8" t="n">
        <v>3.16604879761278</v>
      </c>
      <c r="O711" s="8" t="n">
        <v>83.2476</v>
      </c>
      <c r="P711" s="10" t="n">
        <v>15.1479394000548</v>
      </c>
      <c r="Q711" s="9" t="n">
        <v>0.0380317125972734</v>
      </c>
    </row>
    <row r="712" customFormat="false" ht="15" hidden="false" customHeight="false" outlineLevel="0" collapsed="false">
      <c r="A712" s="6" t="n">
        <v>1633</v>
      </c>
      <c r="B712" s="6" t="s">
        <v>68</v>
      </c>
      <c r="C712" s="6" t="s">
        <v>59</v>
      </c>
      <c r="D712" s="7" t="n">
        <v>45381</v>
      </c>
      <c r="E712" s="7" t="n">
        <v>45401</v>
      </c>
      <c r="F712" s="6" t="s">
        <v>65</v>
      </c>
      <c r="G712" s="6" t="s">
        <v>61</v>
      </c>
      <c r="H712" s="8" t="n">
        <v>84103.93</v>
      </c>
      <c r="I712" s="6" t="n">
        <v>1940118</v>
      </c>
      <c r="J712" s="6" t="n">
        <v>26753</v>
      </c>
      <c r="K712" s="6" t="n">
        <v>1942</v>
      </c>
      <c r="L712" s="8" t="n">
        <v>1262611.77</v>
      </c>
      <c r="M712" s="9" t="n">
        <v>0.0137893674508458</v>
      </c>
      <c r="N712" s="8" t="n">
        <v>3.14371958285052</v>
      </c>
      <c r="O712" s="8" t="n">
        <v>43.3078939237899</v>
      </c>
      <c r="P712" s="10" t="n">
        <v>15.012518083281</v>
      </c>
      <c r="Q712" s="9" t="n">
        <v>0.0725899899076739</v>
      </c>
    </row>
    <row r="713" customFormat="false" ht="15" hidden="false" customHeight="false" outlineLevel="0" collapsed="false">
      <c r="A713" s="6" t="n">
        <v>1472</v>
      </c>
      <c r="B713" s="6" t="s">
        <v>62</v>
      </c>
      <c r="C713" s="6" t="s">
        <v>71</v>
      </c>
      <c r="D713" s="7" t="n">
        <v>45536</v>
      </c>
      <c r="E713" s="7" t="n">
        <v>45559</v>
      </c>
      <c r="F713" s="6" t="s">
        <v>60</v>
      </c>
      <c r="G713" s="6" t="s">
        <v>61</v>
      </c>
      <c r="H713" s="8" t="n">
        <v>21471.17</v>
      </c>
      <c r="I713" s="6" t="n">
        <v>690651</v>
      </c>
      <c r="J713" s="6" t="n">
        <v>18230</v>
      </c>
      <c r="K713" s="6" t="n">
        <v>1021</v>
      </c>
      <c r="L713" s="8" t="n">
        <v>568566.01</v>
      </c>
      <c r="M713" s="9" t="n">
        <v>0.026395386381834</v>
      </c>
      <c r="N713" s="8" t="n">
        <v>1.17779319802523</v>
      </c>
      <c r="O713" s="8" t="n">
        <v>21.0295494613124</v>
      </c>
      <c r="P713" s="10" t="n">
        <v>26.4804391190606</v>
      </c>
      <c r="Q713" s="9" t="n">
        <v>0.056006582556226</v>
      </c>
    </row>
    <row r="714" customFormat="false" ht="15" hidden="false" customHeight="false" outlineLevel="0" collapsed="false">
      <c r="A714" s="6" t="n">
        <v>1572</v>
      </c>
      <c r="B714" s="6" t="s">
        <v>76</v>
      </c>
      <c r="C714" s="6" t="s">
        <v>50</v>
      </c>
      <c r="D714" s="7" t="n">
        <v>45618</v>
      </c>
      <c r="E714" s="7" t="n">
        <v>45640</v>
      </c>
      <c r="F714" s="6" t="s">
        <v>51</v>
      </c>
      <c r="G714" s="6" t="s">
        <v>49</v>
      </c>
      <c r="H714" s="8" t="n">
        <v>38602.76</v>
      </c>
      <c r="I714" s="6" t="n">
        <v>1138366</v>
      </c>
      <c r="J714" s="6" t="n">
        <v>8408</v>
      </c>
      <c r="K714" s="6" t="n">
        <v>612</v>
      </c>
      <c r="L714" s="8" t="n">
        <v>703554.84</v>
      </c>
      <c r="M714" s="9" t="n">
        <v>0.00738602523265804</v>
      </c>
      <c r="N714" s="8" t="n">
        <v>4.59119410085633</v>
      </c>
      <c r="O714" s="8" t="n">
        <v>63.0764052287582</v>
      </c>
      <c r="P714" s="10" t="n">
        <v>18.2255061555184</v>
      </c>
      <c r="Q714" s="9" t="n">
        <v>0.0727878211227403</v>
      </c>
    </row>
    <row r="715" customFormat="false" ht="15" hidden="false" customHeight="false" outlineLevel="0" collapsed="false">
      <c r="A715" s="6" t="n">
        <v>1629</v>
      </c>
      <c r="B715" s="6" t="s">
        <v>58</v>
      </c>
      <c r="C715" s="6" t="s">
        <v>63</v>
      </c>
      <c r="D715" s="7" t="n">
        <v>45437</v>
      </c>
      <c r="E715" s="7" t="n">
        <v>45459</v>
      </c>
      <c r="F715" s="6" t="s">
        <v>69</v>
      </c>
      <c r="G715" s="6" t="s">
        <v>49</v>
      </c>
      <c r="H715" s="8" t="n">
        <v>27593.3</v>
      </c>
      <c r="I715" s="6" t="n">
        <v>575815</v>
      </c>
      <c r="J715" s="6" t="n">
        <v>18791</v>
      </c>
      <c r="K715" s="6" t="n">
        <v>361</v>
      </c>
      <c r="L715" s="8" t="n">
        <v>444147.88</v>
      </c>
      <c r="M715" s="9" t="n">
        <v>0.0326337452133064</v>
      </c>
      <c r="N715" s="8" t="n">
        <v>1.46843169602469</v>
      </c>
      <c r="O715" s="8" t="n">
        <v>76.4357340720222</v>
      </c>
      <c r="P715" s="10" t="n">
        <v>16.0962219089417</v>
      </c>
      <c r="Q715" s="9" t="n">
        <v>0.019211324570273</v>
      </c>
    </row>
    <row r="716" customFormat="false" ht="15" hidden="false" customHeight="false" outlineLevel="0" collapsed="false">
      <c r="A716" s="6" t="n">
        <v>1617</v>
      </c>
      <c r="B716" s="6" t="s">
        <v>62</v>
      </c>
      <c r="C716" s="6" t="s">
        <v>71</v>
      </c>
      <c r="D716" s="7" t="n">
        <v>45343</v>
      </c>
      <c r="E716" s="7" t="n">
        <v>45363</v>
      </c>
      <c r="F716" s="6" t="s">
        <v>48</v>
      </c>
      <c r="G716" s="6" t="s">
        <v>72</v>
      </c>
      <c r="H716" s="8" t="n">
        <v>43712.89</v>
      </c>
      <c r="I716" s="6" t="n">
        <v>1419335</v>
      </c>
      <c r="J716" s="6" t="n">
        <v>45965</v>
      </c>
      <c r="K716" s="6" t="n">
        <v>2610</v>
      </c>
      <c r="L716" s="8" t="n">
        <v>4059732.69</v>
      </c>
      <c r="M716" s="9" t="n">
        <v>0.0323848844705443</v>
      </c>
      <c r="N716" s="8" t="n">
        <v>0.951003807244643</v>
      </c>
      <c r="O716" s="8" t="n">
        <v>16.7482337164751</v>
      </c>
      <c r="P716" s="10" t="n">
        <v>92.8726673070575</v>
      </c>
      <c r="Q716" s="9" t="n">
        <v>0.056782334384858</v>
      </c>
    </row>
    <row r="717" customFormat="false" ht="15" hidden="false" customHeight="false" outlineLevel="0" collapsed="false">
      <c r="A717" s="6" t="n">
        <v>1421</v>
      </c>
      <c r="B717" s="6" t="s">
        <v>76</v>
      </c>
      <c r="C717" s="6" t="s">
        <v>63</v>
      </c>
      <c r="D717" s="7" t="n">
        <v>45325</v>
      </c>
      <c r="E717" s="7" t="n">
        <v>45333</v>
      </c>
      <c r="F717" s="6" t="s">
        <v>60</v>
      </c>
      <c r="G717" s="6" t="s">
        <v>61</v>
      </c>
      <c r="H717" s="8" t="n">
        <v>44839.82</v>
      </c>
      <c r="I717" s="6" t="n">
        <v>819217</v>
      </c>
      <c r="J717" s="6" t="n">
        <v>8756</v>
      </c>
      <c r="K717" s="6" t="n">
        <v>413</v>
      </c>
      <c r="L717" s="8" t="n">
        <v>560363.83</v>
      </c>
      <c r="M717" s="9" t="n">
        <v>0.0106882547603382</v>
      </c>
      <c r="N717" s="8" t="n">
        <v>5.12103928734582</v>
      </c>
      <c r="O717" s="8" t="n">
        <v>108.570992736077</v>
      </c>
      <c r="P717" s="10" t="n">
        <v>12.4970133689207</v>
      </c>
      <c r="Q717" s="9" t="n">
        <v>0.0471676564641389</v>
      </c>
    </row>
    <row r="718" customFormat="false" ht="15" hidden="false" customHeight="false" outlineLevel="0" collapsed="false">
      <c r="A718" s="6" t="n">
        <v>1247</v>
      </c>
      <c r="B718" s="6" t="s">
        <v>78</v>
      </c>
      <c r="C718" s="6" t="s">
        <v>47</v>
      </c>
      <c r="D718" s="7" t="n">
        <v>45388</v>
      </c>
      <c r="E718" s="7" t="n">
        <v>45406</v>
      </c>
      <c r="F718" s="6" t="s">
        <v>48</v>
      </c>
      <c r="G718" s="6" t="s">
        <v>57</v>
      </c>
      <c r="H718" s="8" t="n">
        <v>4059.74</v>
      </c>
      <c r="I718" s="6" t="n">
        <v>86258</v>
      </c>
      <c r="J718" s="6" t="n">
        <v>2281</v>
      </c>
      <c r="K718" s="6" t="n">
        <v>125</v>
      </c>
      <c r="L718" s="8" t="n">
        <v>193902.37</v>
      </c>
      <c r="M718" s="9" t="n">
        <v>0.026443924041828</v>
      </c>
      <c r="N718" s="8" t="n">
        <v>1.77980710214818</v>
      </c>
      <c r="O718" s="8" t="n">
        <v>32.47792</v>
      </c>
      <c r="P718" s="10" t="n">
        <v>47.7622631005927</v>
      </c>
      <c r="Q718" s="9" t="n">
        <v>0.0548005260850504</v>
      </c>
    </row>
    <row r="719" customFormat="false" ht="15" hidden="false" customHeight="false" outlineLevel="0" collapsed="false">
      <c r="A719" s="6" t="n">
        <v>1213</v>
      </c>
      <c r="B719" s="6" t="s">
        <v>46</v>
      </c>
      <c r="C719" s="6" t="s">
        <v>47</v>
      </c>
      <c r="D719" s="7" t="n">
        <v>45591</v>
      </c>
      <c r="E719" s="7" t="n">
        <v>45597</v>
      </c>
      <c r="F719" s="6" t="s">
        <v>53</v>
      </c>
      <c r="G719" s="6" t="s">
        <v>49</v>
      </c>
      <c r="H719" s="8" t="n">
        <v>6937.76</v>
      </c>
      <c r="I719" s="6" t="n">
        <v>166107</v>
      </c>
      <c r="J719" s="6" t="n">
        <v>3336</v>
      </c>
      <c r="K719" s="6" t="n">
        <v>101</v>
      </c>
      <c r="L719" s="8" t="n">
        <v>135796.93</v>
      </c>
      <c r="M719" s="9" t="n">
        <v>0.0200834401921653</v>
      </c>
      <c r="N719" s="8" t="n">
        <v>2.07966426858513</v>
      </c>
      <c r="O719" s="8" t="n">
        <v>68.6906930693069</v>
      </c>
      <c r="P719" s="10" t="n">
        <v>19.5735986831485</v>
      </c>
      <c r="Q719" s="9" t="n">
        <v>0.0302757793764988</v>
      </c>
    </row>
    <row r="720" customFormat="false" ht="15" hidden="false" customHeight="false" outlineLevel="0" collapsed="false">
      <c r="A720" s="6" t="n">
        <v>1417</v>
      </c>
      <c r="B720" s="6" t="s">
        <v>76</v>
      </c>
      <c r="C720" s="6" t="s">
        <v>63</v>
      </c>
      <c r="D720" s="7" t="n">
        <v>45321</v>
      </c>
      <c r="E720" s="7" t="n">
        <v>45333</v>
      </c>
      <c r="F720" s="6" t="s">
        <v>56</v>
      </c>
      <c r="G720" s="6" t="s">
        <v>72</v>
      </c>
      <c r="H720" s="8" t="n">
        <v>42044.09</v>
      </c>
      <c r="I720" s="6" t="n">
        <v>1218700</v>
      </c>
      <c r="J720" s="6" t="n">
        <v>8089</v>
      </c>
      <c r="K720" s="6" t="n">
        <v>275</v>
      </c>
      <c r="L720" s="8" t="n">
        <v>485633.67</v>
      </c>
      <c r="M720" s="9" t="n">
        <v>0.00663740050873882</v>
      </c>
      <c r="N720" s="8" t="n">
        <v>5.19768698232167</v>
      </c>
      <c r="O720" s="8" t="n">
        <v>152.8876</v>
      </c>
      <c r="P720" s="10" t="n">
        <v>11.5505810685878</v>
      </c>
      <c r="Q720" s="9" t="n">
        <v>0.0339967857584374</v>
      </c>
    </row>
    <row r="721" customFormat="false" ht="15" hidden="false" customHeight="false" outlineLevel="0" collapsed="false">
      <c r="A721" s="6" t="n">
        <v>1055</v>
      </c>
      <c r="B721" s="6" t="s">
        <v>46</v>
      </c>
      <c r="C721" s="6" t="s">
        <v>50</v>
      </c>
      <c r="D721" s="7" t="n">
        <v>45623</v>
      </c>
      <c r="E721" s="7" t="n">
        <v>45630</v>
      </c>
      <c r="F721" s="6" t="s">
        <v>65</v>
      </c>
      <c r="G721" s="6" t="s">
        <v>57</v>
      </c>
      <c r="H721" s="8" t="n">
        <v>67669.87</v>
      </c>
      <c r="I721" s="6" t="n">
        <v>2553501</v>
      </c>
      <c r="J721" s="6" t="n">
        <v>35916</v>
      </c>
      <c r="K721" s="6" t="n">
        <v>1385</v>
      </c>
      <c r="L721" s="8" t="n">
        <v>765457.19</v>
      </c>
      <c r="M721" s="9" t="n">
        <v>0.0140653949225005</v>
      </c>
      <c r="N721" s="8" t="n">
        <v>1.88411487916249</v>
      </c>
      <c r="O721" s="8" t="n">
        <v>48.8591119133574</v>
      </c>
      <c r="P721" s="10" t="n">
        <v>11.3116397297645</v>
      </c>
      <c r="Q721" s="9" t="n">
        <v>0.0385622006905001</v>
      </c>
    </row>
    <row r="722" customFormat="false" ht="15" hidden="false" customHeight="false" outlineLevel="0" collapsed="false">
      <c r="A722" s="6" t="n">
        <v>1482</v>
      </c>
      <c r="B722" s="6" t="s">
        <v>58</v>
      </c>
      <c r="C722" s="6" t="s">
        <v>71</v>
      </c>
      <c r="D722" s="7" t="n">
        <v>45497</v>
      </c>
      <c r="E722" s="7" t="n">
        <v>45503</v>
      </c>
      <c r="F722" s="6" t="s">
        <v>56</v>
      </c>
      <c r="G722" s="6" t="s">
        <v>57</v>
      </c>
      <c r="H722" s="8" t="n">
        <v>59500.74</v>
      </c>
      <c r="I722" s="6" t="n">
        <v>2274562</v>
      </c>
      <c r="J722" s="6" t="n">
        <v>40462</v>
      </c>
      <c r="K722" s="6" t="n">
        <v>2150</v>
      </c>
      <c r="L722" s="8" t="n">
        <v>1035991.2</v>
      </c>
      <c r="M722" s="9" t="n">
        <v>0.0177889193611781</v>
      </c>
      <c r="N722" s="8" t="n">
        <v>1.47053383421482</v>
      </c>
      <c r="O722" s="8" t="n">
        <v>27.6747627906977</v>
      </c>
      <c r="P722" s="10" t="n">
        <v>17.4114002615766</v>
      </c>
      <c r="Q722" s="9" t="n">
        <v>0.0531362760120607</v>
      </c>
    </row>
    <row r="723" customFormat="false" ht="15" hidden="false" customHeight="false" outlineLevel="0" collapsed="false">
      <c r="A723" s="6" t="n">
        <v>1641</v>
      </c>
      <c r="B723" s="6" t="s">
        <v>46</v>
      </c>
      <c r="C723" s="6" t="s">
        <v>71</v>
      </c>
      <c r="D723" s="7" t="n">
        <v>45320</v>
      </c>
      <c r="E723" s="7" t="n">
        <v>45339</v>
      </c>
      <c r="F723" s="6" t="s">
        <v>53</v>
      </c>
      <c r="G723" s="6" t="s">
        <v>54</v>
      </c>
      <c r="H723" s="8" t="n">
        <v>35193.34</v>
      </c>
      <c r="I723" s="6" t="n">
        <v>743188</v>
      </c>
      <c r="J723" s="6" t="n">
        <v>21491</v>
      </c>
      <c r="K723" s="6" t="n">
        <v>489</v>
      </c>
      <c r="L723" s="8" t="n">
        <v>835057.22</v>
      </c>
      <c r="M723" s="9" t="n">
        <v>0.0289173129813721</v>
      </c>
      <c r="N723" s="8" t="n">
        <v>1.6375850355963</v>
      </c>
      <c r="O723" s="8" t="n">
        <v>71.9700204498978</v>
      </c>
      <c r="P723" s="10" t="n">
        <v>23.727705867076</v>
      </c>
      <c r="Q723" s="9" t="n">
        <v>0.022753710855707</v>
      </c>
    </row>
    <row r="724" customFormat="false" ht="15" hidden="false" customHeight="false" outlineLevel="0" collapsed="false">
      <c r="A724" s="6" t="n">
        <v>1041</v>
      </c>
      <c r="B724" s="6" t="s">
        <v>77</v>
      </c>
      <c r="C724" s="6" t="s">
        <v>50</v>
      </c>
      <c r="D724" s="7" t="n">
        <v>45457</v>
      </c>
      <c r="E724" s="7" t="n">
        <v>45481</v>
      </c>
      <c r="F724" s="6" t="s">
        <v>60</v>
      </c>
      <c r="G724" s="6" t="s">
        <v>75</v>
      </c>
      <c r="H724" s="8" t="n">
        <v>11810.54</v>
      </c>
      <c r="I724" s="6" t="n">
        <v>244751</v>
      </c>
      <c r="J724" s="6" t="n">
        <v>6174</v>
      </c>
      <c r="K724" s="6" t="n">
        <v>433</v>
      </c>
      <c r="L724" s="8" t="n">
        <v>1376716.55</v>
      </c>
      <c r="M724" s="9" t="n">
        <v>0.0252256374846272</v>
      </c>
      <c r="N724" s="8" t="n">
        <v>1.91294784580499</v>
      </c>
      <c r="O724" s="8" t="n">
        <v>27.2760739030023</v>
      </c>
      <c r="P724" s="10" t="n">
        <v>116.566774254183</v>
      </c>
      <c r="Q724" s="9" t="n">
        <v>0.0701328150307742</v>
      </c>
    </row>
    <row r="725" customFormat="false" ht="15" hidden="false" customHeight="false" outlineLevel="0" collapsed="false">
      <c r="A725" s="6" t="n">
        <v>1732</v>
      </c>
      <c r="B725" s="6" t="s">
        <v>73</v>
      </c>
      <c r="C725" s="6" t="s">
        <v>71</v>
      </c>
      <c r="D725" s="7" t="n">
        <v>45613</v>
      </c>
      <c r="E725" s="7" t="n">
        <v>45641</v>
      </c>
      <c r="F725" s="6" t="s">
        <v>69</v>
      </c>
      <c r="G725" s="6" t="s">
        <v>61</v>
      </c>
      <c r="H725" s="8" t="n">
        <v>22633.69</v>
      </c>
      <c r="I725" s="6" t="n">
        <v>654262</v>
      </c>
      <c r="J725" s="6" t="n">
        <v>13298</v>
      </c>
      <c r="K725" s="6" t="n">
        <v>281</v>
      </c>
      <c r="L725" s="8" t="n">
        <v>180486.18</v>
      </c>
      <c r="M725" s="9" t="n">
        <v>0.0203251908256937</v>
      </c>
      <c r="N725" s="8" t="n">
        <v>1.70203714844338</v>
      </c>
      <c r="O725" s="8" t="n">
        <v>80.5469395017794</v>
      </c>
      <c r="P725" s="10" t="n">
        <v>7.97422691571723</v>
      </c>
      <c r="Q725" s="9" t="n">
        <v>0.0211309971424274</v>
      </c>
    </row>
    <row r="726" customFormat="false" ht="15" hidden="false" customHeight="false" outlineLevel="0" collapsed="false">
      <c r="A726" s="6" t="n">
        <v>1566</v>
      </c>
      <c r="B726" s="6" t="s">
        <v>58</v>
      </c>
      <c r="C726" s="6" t="s">
        <v>50</v>
      </c>
      <c r="D726" s="7" t="n">
        <v>45545</v>
      </c>
      <c r="E726" s="7" t="n">
        <v>45572</v>
      </c>
      <c r="F726" s="6" t="s">
        <v>65</v>
      </c>
      <c r="G726" s="6" t="s">
        <v>54</v>
      </c>
      <c r="H726" s="8" t="n">
        <v>66939.74</v>
      </c>
      <c r="I726" s="6" t="n">
        <v>2506291</v>
      </c>
      <c r="J726" s="6" t="n">
        <v>77100</v>
      </c>
      <c r="K726" s="6" t="n">
        <v>3164</v>
      </c>
      <c r="L726" s="8" t="n">
        <v>2496213.84</v>
      </c>
      <c r="M726" s="9" t="n">
        <v>0.0307625890209876</v>
      </c>
      <c r="N726" s="8" t="n">
        <v>0.868219714656291</v>
      </c>
      <c r="O726" s="8" t="n">
        <v>21.1566814159292</v>
      </c>
      <c r="P726" s="10" t="n">
        <v>37.2904621380364</v>
      </c>
      <c r="Q726" s="9" t="n">
        <v>0.0410376134889754</v>
      </c>
    </row>
    <row r="727" customFormat="false" ht="15" hidden="false" customHeight="false" outlineLevel="0" collapsed="false">
      <c r="A727" s="6" t="n">
        <v>1043</v>
      </c>
      <c r="B727" s="6" t="s">
        <v>78</v>
      </c>
      <c r="C727" s="6" t="s">
        <v>47</v>
      </c>
      <c r="D727" s="7" t="n">
        <v>45555</v>
      </c>
      <c r="E727" s="7" t="n">
        <v>45560</v>
      </c>
      <c r="F727" s="6" t="s">
        <v>60</v>
      </c>
      <c r="G727" s="6" t="s">
        <v>72</v>
      </c>
      <c r="H727" s="8" t="n">
        <v>7085.57</v>
      </c>
      <c r="I727" s="6" t="n">
        <v>188117</v>
      </c>
      <c r="J727" s="6" t="n">
        <v>1246</v>
      </c>
      <c r="K727" s="6" t="n">
        <v>57</v>
      </c>
      <c r="L727" s="8" t="n">
        <v>71410.69</v>
      </c>
      <c r="M727" s="9" t="n">
        <v>0.00662353747933467</v>
      </c>
      <c r="N727" s="8" t="n">
        <v>5.6866532905297</v>
      </c>
      <c r="O727" s="8" t="n">
        <v>124.308245614035</v>
      </c>
      <c r="P727" s="10" t="n">
        <v>10.0783267965739</v>
      </c>
      <c r="Q727" s="9" t="n">
        <v>0.0457463884430177</v>
      </c>
    </row>
    <row r="728" customFormat="false" ht="15" hidden="false" customHeight="false" outlineLevel="0" collapsed="false">
      <c r="A728" s="6" t="n">
        <v>1385</v>
      </c>
      <c r="B728" s="6" t="s">
        <v>70</v>
      </c>
      <c r="C728" s="6" t="s">
        <v>47</v>
      </c>
      <c r="D728" s="7" t="n">
        <v>45539</v>
      </c>
      <c r="E728" s="7" t="n">
        <v>45548</v>
      </c>
      <c r="F728" s="6" t="s">
        <v>53</v>
      </c>
      <c r="G728" s="6" t="s">
        <v>61</v>
      </c>
      <c r="H728" s="8" t="n">
        <v>2396.39</v>
      </c>
      <c r="I728" s="6" t="n">
        <v>72236</v>
      </c>
      <c r="J728" s="6" t="n">
        <v>579</v>
      </c>
      <c r="K728" s="6" t="n">
        <v>22</v>
      </c>
      <c r="L728" s="8" t="n">
        <v>39401.17</v>
      </c>
      <c r="M728" s="9" t="n">
        <v>0.00801539398637798</v>
      </c>
      <c r="N728" s="8" t="n">
        <v>4.13884283246978</v>
      </c>
      <c r="O728" s="8" t="n">
        <v>108.926818181818</v>
      </c>
      <c r="P728" s="10" t="n">
        <v>16.4418855027771</v>
      </c>
      <c r="Q728" s="9" t="n">
        <v>0.0379965457685665</v>
      </c>
    </row>
    <row r="729" customFormat="false" ht="15" hidden="false" customHeight="false" outlineLevel="0" collapsed="false">
      <c r="A729" s="6" t="n">
        <v>1801</v>
      </c>
      <c r="B729" s="6" t="s">
        <v>70</v>
      </c>
      <c r="C729" s="6" t="s">
        <v>50</v>
      </c>
      <c r="D729" s="7" t="n">
        <v>45574</v>
      </c>
      <c r="E729" s="7" t="n">
        <v>45600</v>
      </c>
      <c r="F729" s="6" t="s">
        <v>67</v>
      </c>
      <c r="G729" s="6" t="s">
        <v>57</v>
      </c>
      <c r="H729" s="8" t="n">
        <v>17030.5</v>
      </c>
      <c r="I729" s="6" t="n">
        <v>427316</v>
      </c>
      <c r="J729" s="6" t="n">
        <v>14068</v>
      </c>
      <c r="K729" s="6" t="n">
        <v>447</v>
      </c>
      <c r="L729" s="8" t="n">
        <v>725502.54</v>
      </c>
      <c r="M729" s="9" t="n">
        <v>0.0329217721779667</v>
      </c>
      <c r="N729" s="8" t="n">
        <v>1.21058430480523</v>
      </c>
      <c r="O729" s="8" t="n">
        <v>38.0995525727069</v>
      </c>
      <c r="P729" s="10" t="n">
        <v>42.60019024691</v>
      </c>
      <c r="Q729" s="9" t="n">
        <v>0.0317742394085869</v>
      </c>
    </row>
    <row r="730" customFormat="false" ht="15" hidden="false" customHeight="false" outlineLevel="0" collapsed="false">
      <c r="A730" s="6" t="n">
        <v>1175</v>
      </c>
      <c r="B730" s="6" t="s">
        <v>70</v>
      </c>
      <c r="C730" s="6" t="s">
        <v>63</v>
      </c>
      <c r="D730" s="7" t="n">
        <v>45313</v>
      </c>
      <c r="E730" s="7" t="n">
        <v>45331</v>
      </c>
      <c r="F730" s="6" t="s">
        <v>56</v>
      </c>
      <c r="G730" s="6" t="s">
        <v>61</v>
      </c>
      <c r="H730" s="8" t="n">
        <v>49484.32</v>
      </c>
      <c r="I730" s="6" t="n">
        <v>1280893</v>
      </c>
      <c r="J730" s="6" t="n">
        <v>44726</v>
      </c>
      <c r="K730" s="6" t="n">
        <v>2410</v>
      </c>
      <c r="L730" s="8" t="n">
        <v>3758290.82</v>
      </c>
      <c r="M730" s="9" t="n">
        <v>0.0349178268598548</v>
      </c>
      <c r="N730" s="8" t="n">
        <v>1.10638823055941</v>
      </c>
      <c r="O730" s="8" t="n">
        <v>20.5329128630705</v>
      </c>
      <c r="P730" s="10" t="n">
        <v>75.9491252986805</v>
      </c>
      <c r="Q730" s="9" t="n">
        <v>0.0538836470956491</v>
      </c>
    </row>
    <row r="731" customFormat="false" ht="15" hidden="false" customHeight="false" outlineLevel="0" collapsed="false">
      <c r="A731" s="6" t="n">
        <v>1318</v>
      </c>
      <c r="B731" s="6" t="s">
        <v>55</v>
      </c>
      <c r="C731" s="6" t="s">
        <v>63</v>
      </c>
      <c r="D731" s="7" t="n">
        <v>45470</v>
      </c>
      <c r="E731" s="7" t="n">
        <v>45488</v>
      </c>
      <c r="F731" s="6" t="s">
        <v>67</v>
      </c>
      <c r="G731" s="6" t="s">
        <v>49</v>
      </c>
      <c r="H731" s="8" t="n">
        <v>30539.26</v>
      </c>
      <c r="I731" s="6" t="n">
        <v>604603</v>
      </c>
      <c r="J731" s="6" t="n">
        <v>20918</v>
      </c>
      <c r="K731" s="6" t="n">
        <v>1639</v>
      </c>
      <c r="L731" s="8" t="n">
        <v>2044546.56</v>
      </c>
      <c r="M731" s="9" t="n">
        <v>0.0345979097027306</v>
      </c>
      <c r="N731" s="8" t="n">
        <v>1.45995123816808</v>
      </c>
      <c r="O731" s="8" t="n">
        <v>18.6328615009152</v>
      </c>
      <c r="P731" s="10" t="n">
        <v>66.9481369227676</v>
      </c>
      <c r="Q731" s="9" t="n">
        <v>0.078353571087102</v>
      </c>
    </row>
    <row r="732" customFormat="false" ht="15" hidden="false" customHeight="false" outlineLevel="0" collapsed="false">
      <c r="A732" s="6" t="n">
        <v>1375</v>
      </c>
      <c r="B732" s="6" t="s">
        <v>74</v>
      </c>
      <c r="C732" s="6" t="s">
        <v>63</v>
      </c>
      <c r="D732" s="7" t="n">
        <v>45339</v>
      </c>
      <c r="E732" s="7" t="n">
        <v>45356</v>
      </c>
      <c r="F732" s="6" t="s">
        <v>60</v>
      </c>
      <c r="G732" s="6" t="s">
        <v>72</v>
      </c>
      <c r="H732" s="8" t="n">
        <v>13832.48</v>
      </c>
      <c r="I732" s="6" t="n">
        <v>541212</v>
      </c>
      <c r="J732" s="6" t="n">
        <v>16758</v>
      </c>
      <c r="K732" s="6" t="n">
        <v>272</v>
      </c>
      <c r="L732" s="8" t="n">
        <v>431365.2</v>
      </c>
      <c r="M732" s="9" t="n">
        <v>0.0309638367220239</v>
      </c>
      <c r="N732" s="8" t="n">
        <v>0.825425468432987</v>
      </c>
      <c r="O732" s="8" t="n">
        <v>50.8547058823529</v>
      </c>
      <c r="P732" s="10" t="n">
        <v>31.1849502041572</v>
      </c>
      <c r="Q732" s="9" t="n">
        <v>0.0162310538250388</v>
      </c>
    </row>
    <row r="733" customFormat="false" ht="15" hidden="false" customHeight="false" outlineLevel="0" collapsed="false">
      <c r="A733" s="6" t="n">
        <v>1774</v>
      </c>
      <c r="B733" s="6" t="s">
        <v>52</v>
      </c>
      <c r="C733" s="6" t="s">
        <v>71</v>
      </c>
      <c r="D733" s="7" t="n">
        <v>45473</v>
      </c>
      <c r="E733" s="7" t="n">
        <v>45494</v>
      </c>
      <c r="F733" s="6" t="s">
        <v>67</v>
      </c>
      <c r="G733" s="6" t="s">
        <v>49</v>
      </c>
      <c r="H733" s="8" t="n">
        <v>32809.62</v>
      </c>
      <c r="I733" s="6" t="n">
        <v>1258230</v>
      </c>
      <c r="J733" s="6" t="n">
        <v>39079</v>
      </c>
      <c r="K733" s="6" t="n">
        <v>1702</v>
      </c>
      <c r="L733" s="8" t="n">
        <v>1465591.4</v>
      </c>
      <c r="M733" s="9" t="n">
        <v>0.0310587094569355</v>
      </c>
      <c r="N733" s="8" t="n">
        <v>0.839571636940556</v>
      </c>
      <c r="O733" s="8" t="n">
        <v>19.2770975323149</v>
      </c>
      <c r="P733" s="10" t="n">
        <v>44.669563378058</v>
      </c>
      <c r="Q733" s="9" t="n">
        <v>0.0435528032958878</v>
      </c>
    </row>
    <row r="734" customFormat="false" ht="15" hidden="false" customHeight="false" outlineLevel="0" collapsed="false">
      <c r="A734" s="6" t="n">
        <v>1379</v>
      </c>
      <c r="B734" s="6" t="s">
        <v>70</v>
      </c>
      <c r="C734" s="6" t="s">
        <v>47</v>
      </c>
      <c r="D734" s="7" t="n">
        <v>45452</v>
      </c>
      <c r="E734" s="7" t="n">
        <v>45475</v>
      </c>
      <c r="F734" s="6" t="s">
        <v>67</v>
      </c>
      <c r="G734" s="6" t="s">
        <v>54</v>
      </c>
      <c r="H734" s="8" t="n">
        <v>4184.99</v>
      </c>
      <c r="I734" s="6" t="n">
        <v>132900</v>
      </c>
      <c r="J734" s="6" t="n">
        <v>3151</v>
      </c>
      <c r="K734" s="6" t="n">
        <v>89</v>
      </c>
      <c r="L734" s="8" t="n">
        <v>155905.17</v>
      </c>
      <c r="M734" s="9" t="n">
        <v>0.0237095560571859</v>
      </c>
      <c r="N734" s="8" t="n">
        <v>1.3281466201206</v>
      </c>
      <c r="O734" s="8" t="n">
        <v>47.0223595505618</v>
      </c>
      <c r="P734" s="10" t="n">
        <v>37.2534151813983</v>
      </c>
      <c r="Q734" s="9" t="n">
        <v>0.0282450015867978</v>
      </c>
    </row>
    <row r="735" customFormat="false" ht="15" hidden="false" customHeight="false" outlineLevel="0" collapsed="false">
      <c r="A735" s="6" t="n">
        <v>1330</v>
      </c>
      <c r="B735" s="6" t="s">
        <v>58</v>
      </c>
      <c r="C735" s="6" t="s">
        <v>50</v>
      </c>
      <c r="D735" s="7" t="n">
        <v>45448</v>
      </c>
      <c r="E735" s="7" t="n">
        <v>45458</v>
      </c>
      <c r="F735" s="6" t="s">
        <v>56</v>
      </c>
      <c r="G735" s="6" t="s">
        <v>57</v>
      </c>
      <c r="H735" s="8" t="n">
        <v>25874.74</v>
      </c>
      <c r="I735" s="6" t="n">
        <v>628692</v>
      </c>
      <c r="J735" s="6" t="n">
        <v>8578</v>
      </c>
      <c r="K735" s="6" t="n">
        <v>593</v>
      </c>
      <c r="L735" s="8" t="n">
        <v>335098.72</v>
      </c>
      <c r="M735" s="9" t="n">
        <v>0.0136442009759946</v>
      </c>
      <c r="N735" s="8" t="n">
        <v>3.01640708789928</v>
      </c>
      <c r="O735" s="8" t="n">
        <v>43.6336256323777</v>
      </c>
      <c r="P735" s="10" t="n">
        <v>12.9508053027779</v>
      </c>
      <c r="Q735" s="9" t="n">
        <v>0.0691303334110515</v>
      </c>
    </row>
    <row r="736" customFormat="false" ht="15" hidden="false" customHeight="false" outlineLevel="0" collapsed="false">
      <c r="A736" s="6" t="n">
        <v>1234</v>
      </c>
      <c r="B736" s="6" t="s">
        <v>66</v>
      </c>
      <c r="C736" s="6" t="s">
        <v>50</v>
      </c>
      <c r="D736" s="7" t="n">
        <v>45485</v>
      </c>
      <c r="E736" s="7" t="n">
        <v>45508</v>
      </c>
      <c r="F736" s="6" t="s">
        <v>51</v>
      </c>
      <c r="G736" s="6" t="s">
        <v>57</v>
      </c>
      <c r="H736" s="8" t="n">
        <v>63897.7</v>
      </c>
      <c r="I736" s="6" t="n">
        <v>2168485</v>
      </c>
      <c r="J736" s="6" t="n">
        <v>73375</v>
      </c>
      <c r="K736" s="6" t="n">
        <v>3090</v>
      </c>
      <c r="L736" s="8" t="n">
        <v>3145757.94</v>
      </c>
      <c r="M736" s="9" t="n">
        <v>0.0338369875742742</v>
      </c>
      <c r="N736" s="8" t="n">
        <v>0.870837478705281</v>
      </c>
      <c r="O736" s="8" t="n">
        <v>20.6788673139159</v>
      </c>
      <c r="P736" s="10" t="n">
        <v>49.2311607460049</v>
      </c>
      <c r="Q736" s="9" t="n">
        <v>0.0421124361158433</v>
      </c>
    </row>
    <row r="737" customFormat="false" ht="15" hidden="false" customHeight="false" outlineLevel="0" collapsed="false">
      <c r="A737" s="6" t="n">
        <v>1524</v>
      </c>
      <c r="B737" s="6" t="s">
        <v>74</v>
      </c>
      <c r="C737" s="6" t="s">
        <v>71</v>
      </c>
      <c r="D737" s="7" t="n">
        <v>45503</v>
      </c>
      <c r="E737" s="7" t="n">
        <v>45510</v>
      </c>
      <c r="F737" s="6" t="s">
        <v>69</v>
      </c>
      <c r="G737" s="6" t="s">
        <v>49</v>
      </c>
      <c r="H737" s="8" t="n">
        <v>57879.29</v>
      </c>
      <c r="I737" s="6" t="n">
        <v>978612</v>
      </c>
      <c r="J737" s="6" t="n">
        <v>25072</v>
      </c>
      <c r="K737" s="6" t="n">
        <v>909</v>
      </c>
      <c r="L737" s="8" t="n">
        <v>731470.62</v>
      </c>
      <c r="M737" s="9" t="n">
        <v>0.0256199596980213</v>
      </c>
      <c r="N737" s="8" t="n">
        <v>2.30852305360562</v>
      </c>
      <c r="O737" s="8" t="n">
        <v>63.6735863586359</v>
      </c>
      <c r="P737" s="10" t="n">
        <v>12.6378644243908</v>
      </c>
      <c r="Q737" s="9" t="n">
        <v>0.0362555839183153</v>
      </c>
    </row>
    <row r="738" customFormat="false" ht="15" hidden="false" customHeight="false" outlineLevel="0" collapsed="false">
      <c r="A738" s="6" t="n">
        <v>1276</v>
      </c>
      <c r="B738" s="6" t="s">
        <v>68</v>
      </c>
      <c r="C738" s="6" t="s">
        <v>71</v>
      </c>
      <c r="D738" s="7" t="n">
        <v>45389</v>
      </c>
      <c r="E738" s="7" t="n">
        <v>45403</v>
      </c>
      <c r="F738" s="6" t="s">
        <v>69</v>
      </c>
      <c r="G738" s="6" t="s">
        <v>54</v>
      </c>
      <c r="H738" s="8" t="n">
        <v>28698.07</v>
      </c>
      <c r="I738" s="6" t="n">
        <v>648973</v>
      </c>
      <c r="J738" s="6" t="n">
        <v>19357</v>
      </c>
      <c r="K738" s="6" t="n">
        <v>818</v>
      </c>
      <c r="L738" s="8" t="n">
        <v>787382.39</v>
      </c>
      <c r="M738" s="9" t="n">
        <v>0.0298271268604395</v>
      </c>
      <c r="N738" s="8" t="n">
        <v>1.48256806323294</v>
      </c>
      <c r="O738" s="8" t="n">
        <v>35.0832151589242</v>
      </c>
      <c r="P738" s="10" t="n">
        <v>27.4367715320229</v>
      </c>
      <c r="Q738" s="9" t="n">
        <v>0.0422586144547192</v>
      </c>
    </row>
    <row r="739" customFormat="false" ht="15" hidden="false" customHeight="false" outlineLevel="0" collapsed="false">
      <c r="A739" s="6" t="n">
        <v>1153</v>
      </c>
      <c r="B739" s="6" t="s">
        <v>55</v>
      </c>
      <c r="C739" s="6" t="s">
        <v>71</v>
      </c>
      <c r="D739" s="7" t="n">
        <v>45488</v>
      </c>
      <c r="E739" s="7" t="n">
        <v>45497</v>
      </c>
      <c r="F739" s="6" t="s">
        <v>48</v>
      </c>
      <c r="G739" s="6" t="s">
        <v>75</v>
      </c>
      <c r="H739" s="8" t="n">
        <v>56420.32</v>
      </c>
      <c r="I739" s="6" t="n">
        <v>2055794</v>
      </c>
      <c r="J739" s="6" t="n">
        <v>44376</v>
      </c>
      <c r="K739" s="6" t="n">
        <v>3282</v>
      </c>
      <c r="L739" s="8" t="n">
        <v>4673454.61</v>
      </c>
      <c r="M739" s="9" t="n">
        <v>0.0215858203691615</v>
      </c>
      <c r="N739" s="8" t="n">
        <v>1.27141517937624</v>
      </c>
      <c r="O739" s="8" t="n">
        <v>17.1908348567946</v>
      </c>
      <c r="P739" s="10" t="n">
        <v>82.8328270736501</v>
      </c>
      <c r="Q739" s="9" t="n">
        <v>0.0739588967009194</v>
      </c>
    </row>
    <row r="740" customFormat="false" ht="15" hidden="false" customHeight="false" outlineLevel="0" collapsed="false">
      <c r="A740" s="6" t="n">
        <v>1423</v>
      </c>
      <c r="B740" s="6" t="s">
        <v>76</v>
      </c>
      <c r="C740" s="6" t="s">
        <v>59</v>
      </c>
      <c r="D740" s="7" t="n">
        <v>45534</v>
      </c>
      <c r="E740" s="7" t="n">
        <v>45547</v>
      </c>
      <c r="F740" s="6" t="s">
        <v>51</v>
      </c>
      <c r="G740" s="6" t="s">
        <v>72</v>
      </c>
      <c r="H740" s="8" t="n">
        <v>45070.96</v>
      </c>
      <c r="I740" s="6" t="n">
        <v>1714031</v>
      </c>
      <c r="J740" s="6" t="n">
        <v>38599</v>
      </c>
      <c r="K740" s="6" t="n">
        <v>484</v>
      </c>
      <c r="L740" s="8" t="n">
        <v>323463.55</v>
      </c>
      <c r="M740" s="9" t="n">
        <v>0.0225194293452102</v>
      </c>
      <c r="N740" s="8" t="n">
        <v>1.16767170133941</v>
      </c>
      <c r="O740" s="8" t="n">
        <v>93.1218181818182</v>
      </c>
      <c r="P740" s="10" t="n">
        <v>7.17676193273895</v>
      </c>
      <c r="Q740" s="9" t="n">
        <v>0.0125391849529781</v>
      </c>
    </row>
    <row r="741" customFormat="false" ht="15" hidden="false" customHeight="false" outlineLevel="0" collapsed="false">
      <c r="A741" s="6" t="n">
        <v>1242</v>
      </c>
      <c r="B741" s="6" t="s">
        <v>46</v>
      </c>
      <c r="C741" s="6" t="s">
        <v>50</v>
      </c>
      <c r="D741" s="7" t="n">
        <v>45529</v>
      </c>
      <c r="E741" s="7" t="n">
        <v>45554</v>
      </c>
      <c r="F741" s="6" t="s">
        <v>67</v>
      </c>
      <c r="G741" s="6" t="s">
        <v>49</v>
      </c>
      <c r="H741" s="8" t="n">
        <v>70778.04</v>
      </c>
      <c r="I741" s="6" t="n">
        <v>2195146</v>
      </c>
      <c r="J741" s="6" t="n">
        <v>72125</v>
      </c>
      <c r="K741" s="6" t="n">
        <v>2850</v>
      </c>
      <c r="L741" s="8" t="n">
        <v>3527871.65</v>
      </c>
      <c r="M741" s="9" t="n">
        <v>0.0328565844823078</v>
      </c>
      <c r="N741" s="8" t="n">
        <v>0.981324644714038</v>
      </c>
      <c r="O741" s="8" t="n">
        <v>24.8344</v>
      </c>
      <c r="P741" s="10" t="n">
        <v>49.8441557579159</v>
      </c>
      <c r="Q741" s="9" t="n">
        <v>0.0395147313691508</v>
      </c>
    </row>
    <row r="742" customFormat="false" ht="15" hidden="false" customHeight="false" outlineLevel="0" collapsed="false">
      <c r="A742" s="6" t="n">
        <v>1126</v>
      </c>
      <c r="B742" s="6" t="s">
        <v>66</v>
      </c>
      <c r="C742" s="6" t="s">
        <v>50</v>
      </c>
      <c r="D742" s="7" t="n">
        <v>45344</v>
      </c>
      <c r="E742" s="7" t="n">
        <v>45349</v>
      </c>
      <c r="F742" s="6" t="s">
        <v>60</v>
      </c>
      <c r="G742" s="6" t="s">
        <v>49</v>
      </c>
      <c r="H742" s="8" t="n">
        <v>34774</v>
      </c>
      <c r="I742" s="6" t="n">
        <v>602515</v>
      </c>
      <c r="J742" s="6" t="n">
        <v>13822</v>
      </c>
      <c r="K742" s="6" t="n">
        <v>452</v>
      </c>
      <c r="L742" s="8" t="n">
        <v>410684.93</v>
      </c>
      <c r="M742" s="9" t="n">
        <v>0.0229405077052024</v>
      </c>
      <c r="N742" s="8" t="n">
        <v>2.51584430617856</v>
      </c>
      <c r="O742" s="8" t="n">
        <v>76.9336283185841</v>
      </c>
      <c r="P742" s="10" t="n">
        <v>11.8101147408984</v>
      </c>
      <c r="Q742" s="9" t="n">
        <v>0.0327014903776588</v>
      </c>
    </row>
    <row r="743" customFormat="false" ht="15" hidden="false" customHeight="false" outlineLevel="0" collapsed="false">
      <c r="A743" s="6" t="n">
        <v>1577</v>
      </c>
      <c r="B743" s="6" t="s">
        <v>70</v>
      </c>
      <c r="C743" s="6" t="s">
        <v>71</v>
      </c>
      <c r="D743" s="7" t="n">
        <v>45391</v>
      </c>
      <c r="E743" s="7" t="n">
        <v>45414</v>
      </c>
      <c r="F743" s="6" t="s">
        <v>67</v>
      </c>
      <c r="G743" s="6" t="s">
        <v>57</v>
      </c>
      <c r="H743" s="8" t="n">
        <v>55375.62</v>
      </c>
      <c r="I743" s="6" t="n">
        <v>1285662</v>
      </c>
      <c r="J743" s="6" t="n">
        <v>37245</v>
      </c>
      <c r="K743" s="6" t="n">
        <v>2920</v>
      </c>
      <c r="L743" s="8" t="n">
        <v>1999591.23</v>
      </c>
      <c r="M743" s="9" t="n">
        <v>0.028969511426798</v>
      </c>
      <c r="N743" s="8" t="n">
        <v>1.48679339508659</v>
      </c>
      <c r="O743" s="8" t="n">
        <v>18.9642534246575</v>
      </c>
      <c r="P743" s="10" t="n">
        <v>36.1095953417768</v>
      </c>
      <c r="Q743" s="9" t="n">
        <v>0.0783997852060679</v>
      </c>
    </row>
    <row r="744" customFormat="false" ht="15" hidden="false" customHeight="false" outlineLevel="0" collapsed="false">
      <c r="A744" s="6" t="n">
        <v>1810</v>
      </c>
      <c r="B744" s="6" t="s">
        <v>70</v>
      </c>
      <c r="C744" s="6" t="s">
        <v>59</v>
      </c>
      <c r="D744" s="7" t="n">
        <v>45459</v>
      </c>
      <c r="E744" s="7" t="n">
        <v>45488</v>
      </c>
      <c r="F744" s="6" t="s">
        <v>69</v>
      </c>
      <c r="G744" s="6" t="s">
        <v>75</v>
      </c>
      <c r="H744" s="8" t="n">
        <v>72726.49</v>
      </c>
      <c r="I744" s="6" t="n">
        <v>1854027</v>
      </c>
      <c r="J744" s="6" t="n">
        <v>28253</v>
      </c>
      <c r="K744" s="6" t="n">
        <v>1233</v>
      </c>
      <c r="L744" s="8" t="n">
        <v>766542.79</v>
      </c>
      <c r="M744" s="9" t="n">
        <v>0.0152387209032015</v>
      </c>
      <c r="N744" s="8" t="n">
        <v>2.57411566913248</v>
      </c>
      <c r="O744" s="8" t="n">
        <v>58.9833657745337</v>
      </c>
      <c r="P744" s="10" t="n">
        <v>10.5400768000766</v>
      </c>
      <c r="Q744" s="9" t="n">
        <v>0.0436413832159417</v>
      </c>
    </row>
    <row r="745" customFormat="false" ht="15" hidden="false" customHeight="false" outlineLevel="0" collapsed="false">
      <c r="A745" s="6" t="n">
        <v>1415</v>
      </c>
      <c r="B745" s="6" t="s">
        <v>70</v>
      </c>
      <c r="C745" s="6" t="s">
        <v>63</v>
      </c>
      <c r="D745" s="7" t="n">
        <v>45465</v>
      </c>
      <c r="E745" s="7" t="n">
        <v>45490</v>
      </c>
      <c r="F745" s="6" t="s">
        <v>53</v>
      </c>
      <c r="G745" s="6" t="s">
        <v>49</v>
      </c>
      <c r="H745" s="8" t="n">
        <v>40448.88</v>
      </c>
      <c r="I745" s="6" t="n">
        <v>1065905</v>
      </c>
      <c r="J745" s="6" t="n">
        <v>15824</v>
      </c>
      <c r="K745" s="6" t="n">
        <v>371</v>
      </c>
      <c r="L745" s="8" t="n">
        <v>185091.9</v>
      </c>
      <c r="M745" s="9" t="n">
        <v>0.0148456006867404</v>
      </c>
      <c r="N745" s="8" t="n">
        <v>2.55617290192113</v>
      </c>
      <c r="O745" s="8" t="n">
        <v>109.026630727763</v>
      </c>
      <c r="P745" s="10" t="n">
        <v>4.57594623139133</v>
      </c>
      <c r="Q745" s="9" t="n">
        <v>0.0234453993933266</v>
      </c>
    </row>
    <row r="746" customFormat="false" ht="15" hidden="false" customHeight="false" outlineLevel="0" collapsed="false">
      <c r="A746" s="6" t="n">
        <v>1820</v>
      </c>
      <c r="B746" s="6" t="s">
        <v>70</v>
      </c>
      <c r="C746" s="6" t="s">
        <v>63</v>
      </c>
      <c r="D746" s="7" t="n">
        <v>45328</v>
      </c>
      <c r="E746" s="7" t="n">
        <v>45346</v>
      </c>
      <c r="F746" s="6" t="s">
        <v>51</v>
      </c>
      <c r="G746" s="6" t="s">
        <v>54</v>
      </c>
      <c r="H746" s="8" t="n">
        <v>33889.6</v>
      </c>
      <c r="I746" s="6" t="n">
        <v>576256</v>
      </c>
      <c r="J746" s="6" t="n">
        <v>16022</v>
      </c>
      <c r="K746" s="6" t="n">
        <v>677</v>
      </c>
      <c r="L746" s="8" t="n">
        <v>905786.37</v>
      </c>
      <c r="M746" s="9" t="n">
        <v>0.0278036150599733</v>
      </c>
      <c r="N746" s="8" t="n">
        <v>2.11519161153414</v>
      </c>
      <c r="O746" s="8" t="n">
        <v>50.0584933530281</v>
      </c>
      <c r="P746" s="10" t="n">
        <v>26.7275615528068</v>
      </c>
      <c r="Q746" s="9" t="n">
        <v>0.0422544001997254</v>
      </c>
    </row>
    <row r="747" customFormat="false" ht="15" hidden="false" customHeight="false" outlineLevel="0" collapsed="false">
      <c r="A747" s="6" t="n">
        <v>1543</v>
      </c>
      <c r="B747" s="6" t="s">
        <v>77</v>
      </c>
      <c r="C747" s="6" t="s">
        <v>47</v>
      </c>
      <c r="D747" s="7" t="n">
        <v>45364</v>
      </c>
      <c r="E747" s="7" t="n">
        <v>45380</v>
      </c>
      <c r="F747" s="6" t="s">
        <v>65</v>
      </c>
      <c r="G747" s="6" t="s">
        <v>54</v>
      </c>
      <c r="H747" s="8" t="n">
        <v>1216.33</v>
      </c>
      <c r="I747" s="6" t="n">
        <v>35808</v>
      </c>
      <c r="J747" s="6" t="n">
        <v>926</v>
      </c>
      <c r="K747" s="6" t="n">
        <v>37</v>
      </c>
      <c r="L747" s="8" t="n">
        <v>24018.4</v>
      </c>
      <c r="M747" s="9" t="n">
        <v>0.0258601429848079</v>
      </c>
      <c r="N747" s="8" t="n">
        <v>1.3135313174946</v>
      </c>
      <c r="O747" s="8" t="n">
        <v>32.8737837837838</v>
      </c>
      <c r="P747" s="10" t="n">
        <v>19.7466148167027</v>
      </c>
      <c r="Q747" s="9" t="n">
        <v>0.0399568034557235</v>
      </c>
    </row>
    <row r="748" customFormat="false" ht="15" hidden="false" customHeight="false" outlineLevel="0" collapsed="false">
      <c r="A748" s="6" t="n">
        <v>1282</v>
      </c>
      <c r="B748" s="6" t="s">
        <v>73</v>
      </c>
      <c r="C748" s="6" t="s">
        <v>50</v>
      </c>
      <c r="D748" s="7" t="n">
        <v>45360</v>
      </c>
      <c r="E748" s="7" t="n">
        <v>45368</v>
      </c>
      <c r="F748" s="6" t="s">
        <v>51</v>
      </c>
      <c r="G748" s="6" t="s">
        <v>49</v>
      </c>
      <c r="H748" s="8" t="n">
        <v>70158.56</v>
      </c>
      <c r="I748" s="6" t="n">
        <v>1629798</v>
      </c>
      <c r="J748" s="6" t="n">
        <v>28379</v>
      </c>
      <c r="K748" s="6" t="n">
        <v>700</v>
      </c>
      <c r="L748" s="8" t="n">
        <v>457186.75</v>
      </c>
      <c r="M748" s="9" t="n">
        <v>0.017412587326773</v>
      </c>
      <c r="N748" s="8" t="n">
        <v>2.47219986609817</v>
      </c>
      <c r="O748" s="8" t="n">
        <v>100.226514285714</v>
      </c>
      <c r="P748" s="10" t="n">
        <v>6.51647853091626</v>
      </c>
      <c r="Q748" s="9" t="n">
        <v>0.0246661263610416</v>
      </c>
    </row>
    <row r="749" customFormat="false" ht="15" hidden="false" customHeight="false" outlineLevel="0" collapsed="false">
      <c r="A749" s="6" t="n">
        <v>1529</v>
      </c>
      <c r="B749" s="6" t="s">
        <v>52</v>
      </c>
      <c r="C749" s="6" t="s">
        <v>47</v>
      </c>
      <c r="D749" s="7" t="n">
        <v>45354</v>
      </c>
      <c r="E749" s="7" t="n">
        <v>45359</v>
      </c>
      <c r="F749" s="6" t="s">
        <v>48</v>
      </c>
      <c r="G749" s="6" t="s">
        <v>72</v>
      </c>
      <c r="H749" s="8" t="n">
        <v>5818.05</v>
      </c>
      <c r="I749" s="6" t="n">
        <v>191530</v>
      </c>
      <c r="J749" s="6" t="n">
        <v>2185</v>
      </c>
      <c r="K749" s="6" t="n">
        <v>108</v>
      </c>
      <c r="L749" s="8" t="n">
        <v>88156.49</v>
      </c>
      <c r="M749" s="9" t="n">
        <v>0.0114081344959014</v>
      </c>
      <c r="N749" s="8" t="n">
        <v>2.66272311212815</v>
      </c>
      <c r="O749" s="8" t="n">
        <v>53.8708333333333</v>
      </c>
      <c r="P749" s="10" t="n">
        <v>15.1522400116878</v>
      </c>
      <c r="Q749" s="9" t="n">
        <v>0.0494279176201373</v>
      </c>
    </row>
    <row r="750" customFormat="false" ht="15" hidden="false" customHeight="false" outlineLevel="0" collapsed="false">
      <c r="A750" s="6" t="n">
        <v>1742</v>
      </c>
      <c r="B750" s="6" t="s">
        <v>66</v>
      </c>
      <c r="C750" s="6" t="s">
        <v>63</v>
      </c>
      <c r="D750" s="7" t="n">
        <v>45586</v>
      </c>
      <c r="E750" s="7" t="n">
        <v>45591</v>
      </c>
      <c r="F750" s="6" t="s">
        <v>53</v>
      </c>
      <c r="G750" s="6" t="s">
        <v>75</v>
      </c>
      <c r="H750" s="8" t="n">
        <v>47118.23</v>
      </c>
      <c r="I750" s="6" t="n">
        <v>1489686</v>
      </c>
      <c r="J750" s="6" t="n">
        <v>14809</v>
      </c>
      <c r="K750" s="6" t="n">
        <v>383</v>
      </c>
      <c r="L750" s="8" t="n">
        <v>528211.31</v>
      </c>
      <c r="M750" s="9" t="n">
        <v>0.0099410211279424</v>
      </c>
      <c r="N750" s="8" t="n">
        <v>3.18172935377136</v>
      </c>
      <c r="O750" s="8" t="n">
        <v>123.02409921671</v>
      </c>
      <c r="P750" s="10" t="n">
        <v>11.2103385462484</v>
      </c>
      <c r="Q750" s="9" t="n">
        <v>0.025862651090553</v>
      </c>
    </row>
    <row r="751" customFormat="false" ht="15" hidden="false" customHeight="false" outlineLevel="0" collapsed="false">
      <c r="A751" s="6" t="n">
        <v>1371</v>
      </c>
      <c r="B751" s="6" t="s">
        <v>77</v>
      </c>
      <c r="C751" s="6" t="s">
        <v>50</v>
      </c>
      <c r="D751" s="7" t="n">
        <v>45453</v>
      </c>
      <c r="E751" s="7" t="n">
        <v>45481</v>
      </c>
      <c r="F751" s="6" t="s">
        <v>56</v>
      </c>
      <c r="G751" s="6" t="s">
        <v>72</v>
      </c>
      <c r="H751" s="8" t="n">
        <v>63457.28</v>
      </c>
      <c r="I751" s="6" t="n">
        <v>1191830</v>
      </c>
      <c r="J751" s="6" t="n">
        <v>36459</v>
      </c>
      <c r="K751" s="6" t="n">
        <v>2042</v>
      </c>
      <c r="L751" s="8" t="n">
        <v>3078150.14</v>
      </c>
      <c r="M751" s="9" t="n">
        <v>0.0305907721738839</v>
      </c>
      <c r="N751" s="8" t="n">
        <v>1.74051071066129</v>
      </c>
      <c r="O751" s="8" t="n">
        <v>31.0760430950049</v>
      </c>
      <c r="P751" s="10" t="n">
        <v>48.5074390203929</v>
      </c>
      <c r="Q751" s="9" t="n">
        <v>0.0560081187086865</v>
      </c>
    </row>
    <row r="752" customFormat="false" ht="15" hidden="false" customHeight="false" outlineLevel="0" collapsed="false">
      <c r="A752" s="6" t="n">
        <v>1091</v>
      </c>
      <c r="B752" s="6" t="s">
        <v>68</v>
      </c>
      <c r="C752" s="6" t="s">
        <v>50</v>
      </c>
      <c r="D752" s="7" t="n">
        <v>45580</v>
      </c>
      <c r="E752" s="7" t="n">
        <v>45586</v>
      </c>
      <c r="F752" s="6" t="s">
        <v>48</v>
      </c>
      <c r="G752" s="6" t="s">
        <v>57</v>
      </c>
      <c r="H752" s="8" t="n">
        <v>15685.6</v>
      </c>
      <c r="I752" s="6" t="n">
        <v>607247</v>
      </c>
      <c r="J752" s="6" t="n">
        <v>17082</v>
      </c>
      <c r="K752" s="6" t="n">
        <v>487</v>
      </c>
      <c r="L752" s="8" t="n">
        <v>319312.34</v>
      </c>
      <c r="M752" s="9" t="n">
        <v>0.0281302336610967</v>
      </c>
      <c r="N752" s="8" t="n">
        <v>0.918253131951762</v>
      </c>
      <c r="O752" s="8" t="n">
        <v>32.2086242299795</v>
      </c>
      <c r="P752" s="10" t="n">
        <v>20.3570370275922</v>
      </c>
      <c r="Q752" s="9" t="n">
        <v>0.0285095422081723</v>
      </c>
    </row>
    <row r="753" customFormat="false" ht="15" hidden="false" customHeight="false" outlineLevel="0" collapsed="false">
      <c r="A753" s="6" t="n">
        <v>1350</v>
      </c>
      <c r="B753" s="6" t="s">
        <v>46</v>
      </c>
      <c r="C753" s="6" t="s">
        <v>63</v>
      </c>
      <c r="D753" s="7" t="n">
        <v>45308</v>
      </c>
      <c r="E753" s="7" t="n">
        <v>45326</v>
      </c>
      <c r="F753" s="6" t="s">
        <v>69</v>
      </c>
      <c r="G753" s="6" t="s">
        <v>57</v>
      </c>
      <c r="H753" s="8" t="n">
        <v>22879.71</v>
      </c>
      <c r="I753" s="6" t="n">
        <v>523121</v>
      </c>
      <c r="J753" s="6" t="n">
        <v>8521</v>
      </c>
      <c r="K753" s="6" t="n">
        <v>359</v>
      </c>
      <c r="L753" s="8" t="n">
        <v>142755.17</v>
      </c>
      <c r="M753" s="9" t="n">
        <v>0.0162887744900319</v>
      </c>
      <c r="N753" s="8" t="n">
        <v>2.68509681962211</v>
      </c>
      <c r="O753" s="8" t="n">
        <v>63.731782729805</v>
      </c>
      <c r="P753" s="10" t="n">
        <v>6.23937847114321</v>
      </c>
      <c r="Q753" s="9" t="n">
        <v>0.0421312052575989</v>
      </c>
    </row>
    <row r="754" customFormat="false" ht="15" hidden="false" customHeight="false" outlineLevel="0" collapsed="false">
      <c r="A754" s="6" t="n">
        <v>1652</v>
      </c>
      <c r="B754" s="6" t="s">
        <v>62</v>
      </c>
      <c r="C754" s="6" t="s">
        <v>59</v>
      </c>
      <c r="D754" s="7" t="n">
        <v>45554</v>
      </c>
      <c r="E754" s="7" t="n">
        <v>45570</v>
      </c>
      <c r="F754" s="6" t="s">
        <v>69</v>
      </c>
      <c r="G754" s="6" t="s">
        <v>49</v>
      </c>
      <c r="H754" s="8" t="n">
        <v>57428.59</v>
      </c>
      <c r="I754" s="6" t="n">
        <v>2290904</v>
      </c>
      <c r="J754" s="6" t="n">
        <v>77418</v>
      </c>
      <c r="K754" s="6" t="n">
        <v>5505</v>
      </c>
      <c r="L754" s="8" t="n">
        <v>4537504.6</v>
      </c>
      <c r="M754" s="9" t="n">
        <v>0.0337936465255637</v>
      </c>
      <c r="N754" s="8" t="n">
        <v>0.74179893564804</v>
      </c>
      <c r="O754" s="8" t="n">
        <v>10.4320781108084</v>
      </c>
      <c r="P754" s="10" t="n">
        <v>79.011248578452</v>
      </c>
      <c r="Q754" s="9" t="n">
        <v>0.0711074943811517</v>
      </c>
    </row>
    <row r="755" customFormat="false" ht="15" hidden="false" customHeight="false" outlineLevel="0" collapsed="false">
      <c r="A755" s="6" t="n">
        <v>1354</v>
      </c>
      <c r="B755" s="6" t="s">
        <v>52</v>
      </c>
      <c r="C755" s="6" t="s">
        <v>71</v>
      </c>
      <c r="D755" s="7" t="n">
        <v>45515</v>
      </c>
      <c r="E755" s="7" t="n">
        <v>45526</v>
      </c>
      <c r="F755" s="6" t="s">
        <v>48</v>
      </c>
      <c r="G755" s="6" t="s">
        <v>72</v>
      </c>
      <c r="H755" s="8" t="n">
        <v>41043.1</v>
      </c>
      <c r="I755" s="6" t="n">
        <v>1615156</v>
      </c>
      <c r="J755" s="6" t="n">
        <v>11725</v>
      </c>
      <c r="K755" s="6" t="n">
        <v>815</v>
      </c>
      <c r="L755" s="8" t="n">
        <v>538239.16</v>
      </c>
      <c r="M755" s="9" t="n">
        <v>0.00725936070571511</v>
      </c>
      <c r="N755" s="8" t="n">
        <v>3.5004776119403</v>
      </c>
      <c r="O755" s="8" t="n">
        <v>50.3596319018405</v>
      </c>
      <c r="P755" s="10" t="n">
        <v>13.1139986989287</v>
      </c>
      <c r="Q755" s="9" t="n">
        <v>0.0695095948827292</v>
      </c>
    </row>
    <row r="756" customFormat="false" ht="15" hidden="false" customHeight="false" outlineLevel="0" collapsed="false">
      <c r="A756" s="6" t="n">
        <v>1387</v>
      </c>
      <c r="B756" s="6" t="s">
        <v>74</v>
      </c>
      <c r="C756" s="6" t="s">
        <v>50</v>
      </c>
      <c r="D756" s="7" t="n">
        <v>45526</v>
      </c>
      <c r="E756" s="7" t="n">
        <v>45555</v>
      </c>
      <c r="F756" s="6" t="s">
        <v>51</v>
      </c>
      <c r="G756" s="6" t="s">
        <v>54</v>
      </c>
      <c r="H756" s="8" t="n">
        <v>78226.18</v>
      </c>
      <c r="I756" s="6" t="n">
        <v>2702034</v>
      </c>
      <c r="J756" s="6" t="n">
        <v>62929</v>
      </c>
      <c r="K756" s="6" t="n">
        <v>4410</v>
      </c>
      <c r="L756" s="8" t="n">
        <v>2194895.18</v>
      </c>
      <c r="M756" s="9" t="n">
        <v>0.0232894922861815</v>
      </c>
      <c r="N756" s="8" t="n">
        <v>1.24308633539386</v>
      </c>
      <c r="O756" s="8" t="n">
        <v>17.7383628117914</v>
      </c>
      <c r="P756" s="10" t="n">
        <v>28.0583198617138</v>
      </c>
      <c r="Q756" s="9" t="n">
        <v>0.0700789778957238</v>
      </c>
    </row>
    <row r="757" customFormat="false" ht="15" hidden="false" customHeight="false" outlineLevel="0" collapsed="false">
      <c r="A757" s="6" t="n">
        <v>1252</v>
      </c>
      <c r="B757" s="6" t="s">
        <v>62</v>
      </c>
      <c r="C757" s="6" t="s">
        <v>50</v>
      </c>
      <c r="D757" s="7" t="n">
        <v>45589</v>
      </c>
      <c r="E757" s="7" t="n">
        <v>45619</v>
      </c>
      <c r="F757" s="6" t="s">
        <v>69</v>
      </c>
      <c r="G757" s="6" t="s">
        <v>75</v>
      </c>
      <c r="H757" s="8" t="n">
        <v>43268.95</v>
      </c>
      <c r="I757" s="6" t="n">
        <v>1293971</v>
      </c>
      <c r="J757" s="6" t="n">
        <v>20887</v>
      </c>
      <c r="K757" s="6" t="n">
        <v>339</v>
      </c>
      <c r="L757" s="8" t="n">
        <v>196166.68</v>
      </c>
      <c r="M757" s="9" t="n">
        <v>0.0161417837030351</v>
      </c>
      <c r="N757" s="8" t="n">
        <v>2.0715732273663</v>
      </c>
      <c r="O757" s="8" t="n">
        <v>127.637020648968</v>
      </c>
      <c r="P757" s="10" t="n">
        <v>4.5336593561896</v>
      </c>
      <c r="Q757" s="9" t="n">
        <v>0.0162301910279121</v>
      </c>
    </row>
    <row r="758" customFormat="false" ht="15" hidden="false" customHeight="false" outlineLevel="0" collapsed="false">
      <c r="A758" s="6" t="n">
        <v>1808</v>
      </c>
      <c r="B758" s="6" t="s">
        <v>66</v>
      </c>
      <c r="C758" s="6" t="s">
        <v>47</v>
      </c>
      <c r="D758" s="7" t="n">
        <v>45536</v>
      </c>
      <c r="E758" s="7" t="n">
        <v>45553</v>
      </c>
      <c r="F758" s="6" t="s">
        <v>67</v>
      </c>
      <c r="G758" s="6" t="s">
        <v>61</v>
      </c>
      <c r="H758" s="8" t="n">
        <v>2123.21</v>
      </c>
      <c r="I758" s="6" t="n">
        <v>43555</v>
      </c>
      <c r="J758" s="6" t="n">
        <v>1400</v>
      </c>
      <c r="K758" s="6" t="n">
        <v>15</v>
      </c>
      <c r="L758" s="8" t="n">
        <v>10348.66</v>
      </c>
      <c r="M758" s="9" t="n">
        <v>0.0321432671335094</v>
      </c>
      <c r="N758" s="8" t="n">
        <v>1.51657857142857</v>
      </c>
      <c r="O758" s="8" t="n">
        <v>141.547333333333</v>
      </c>
      <c r="P758" s="10" t="n">
        <v>4.87406332863918</v>
      </c>
      <c r="Q758" s="9" t="n">
        <v>0.0107142857142857</v>
      </c>
    </row>
    <row r="759" customFormat="false" ht="15" hidden="false" customHeight="false" outlineLevel="0" collapsed="false">
      <c r="A759" s="6" t="n">
        <v>1678</v>
      </c>
      <c r="B759" s="6" t="s">
        <v>52</v>
      </c>
      <c r="C759" s="6" t="s">
        <v>47</v>
      </c>
      <c r="D759" s="7" t="n">
        <v>45389</v>
      </c>
      <c r="E759" s="7" t="n">
        <v>45412</v>
      </c>
      <c r="F759" s="6" t="s">
        <v>53</v>
      </c>
      <c r="G759" s="6" t="s">
        <v>61</v>
      </c>
      <c r="H759" s="8" t="n">
        <v>7361.81</v>
      </c>
      <c r="I759" s="6" t="n">
        <v>239300</v>
      </c>
      <c r="J759" s="6" t="n">
        <v>5220</v>
      </c>
      <c r="K759" s="6" t="n">
        <v>328</v>
      </c>
      <c r="L759" s="8" t="n">
        <v>370793.77</v>
      </c>
      <c r="M759" s="9" t="n">
        <v>0.0218136230672796</v>
      </c>
      <c r="N759" s="8" t="n">
        <v>1.41030842911877</v>
      </c>
      <c r="O759" s="8" t="n">
        <v>22.4445426829268</v>
      </c>
      <c r="P759" s="10" t="n">
        <v>50.3672018158578</v>
      </c>
      <c r="Q759" s="9" t="n">
        <v>0.0628352490421456</v>
      </c>
    </row>
    <row r="760" customFormat="false" ht="15" hidden="false" customHeight="false" outlineLevel="0" collapsed="false">
      <c r="A760" s="6" t="n">
        <v>1003</v>
      </c>
      <c r="B760" s="6" t="s">
        <v>58</v>
      </c>
      <c r="C760" s="6" t="s">
        <v>59</v>
      </c>
      <c r="D760" s="7" t="n">
        <v>45343</v>
      </c>
      <c r="E760" s="7" t="n">
        <v>45360</v>
      </c>
      <c r="F760" s="6" t="s">
        <v>65</v>
      </c>
      <c r="G760" s="6" t="s">
        <v>61</v>
      </c>
      <c r="H760" s="8" t="n">
        <v>49005.77</v>
      </c>
      <c r="I760" s="6" t="n">
        <v>1756992</v>
      </c>
      <c r="J760" s="6" t="n">
        <v>17358</v>
      </c>
      <c r="K760" s="6" t="n">
        <v>605</v>
      </c>
      <c r="L760" s="8" t="n">
        <v>799661.17</v>
      </c>
      <c r="M760" s="9" t="n">
        <v>0.00987938476669216</v>
      </c>
      <c r="N760" s="8" t="n">
        <v>2.82323827629911</v>
      </c>
      <c r="O760" s="8" t="n">
        <v>81.0012727272727</v>
      </c>
      <c r="P760" s="10" t="n">
        <v>16.3176942225375</v>
      </c>
      <c r="Q760" s="9" t="n">
        <v>0.0348542458808619</v>
      </c>
    </row>
    <row r="761" customFormat="false" ht="15" hidden="false" customHeight="false" outlineLevel="0" collapsed="false">
      <c r="A761" s="6" t="n">
        <v>1051</v>
      </c>
      <c r="B761" s="6" t="s">
        <v>46</v>
      </c>
      <c r="C761" s="6" t="s">
        <v>59</v>
      </c>
      <c r="D761" s="7" t="n">
        <v>45539</v>
      </c>
      <c r="E761" s="7" t="n">
        <v>45547</v>
      </c>
      <c r="F761" s="6" t="s">
        <v>60</v>
      </c>
      <c r="G761" s="6" t="s">
        <v>49</v>
      </c>
      <c r="H761" s="8" t="n">
        <v>43602.32</v>
      </c>
      <c r="I761" s="6" t="n">
        <v>1045321</v>
      </c>
      <c r="J761" s="6" t="n">
        <v>14505</v>
      </c>
      <c r="K761" s="6" t="n">
        <v>855</v>
      </c>
      <c r="L761" s="8" t="n">
        <v>326449.62</v>
      </c>
      <c r="M761" s="9" t="n">
        <v>0.0138761203496342</v>
      </c>
      <c r="N761" s="8" t="n">
        <v>3.00601999310583</v>
      </c>
      <c r="O761" s="8" t="n">
        <v>50.996865497076</v>
      </c>
      <c r="P761" s="10" t="n">
        <v>7.48697821583806</v>
      </c>
      <c r="Q761" s="9" t="n">
        <v>0.0589451913133402</v>
      </c>
    </row>
    <row r="762" customFormat="false" ht="15" hidden="false" customHeight="false" outlineLevel="0" collapsed="false">
      <c r="A762" s="6" t="n">
        <v>1614</v>
      </c>
      <c r="B762" s="6" t="s">
        <v>52</v>
      </c>
      <c r="C762" s="6" t="s">
        <v>47</v>
      </c>
      <c r="D762" s="7" t="n">
        <v>45303</v>
      </c>
      <c r="E762" s="7" t="n">
        <v>45322</v>
      </c>
      <c r="F762" s="6" t="s">
        <v>56</v>
      </c>
      <c r="G762" s="6" t="s">
        <v>72</v>
      </c>
      <c r="H762" s="8" t="n">
        <v>4195.12</v>
      </c>
      <c r="I762" s="6" t="n">
        <v>123332</v>
      </c>
      <c r="J762" s="6" t="n">
        <v>2226</v>
      </c>
      <c r="K762" s="6" t="n">
        <v>84</v>
      </c>
      <c r="L762" s="8" t="n">
        <v>130992.94</v>
      </c>
      <c r="M762" s="9" t="n">
        <v>0.018048843771284</v>
      </c>
      <c r="N762" s="8" t="n">
        <v>1.88460017969452</v>
      </c>
      <c r="O762" s="8" t="n">
        <v>49.9419047619048</v>
      </c>
      <c r="P762" s="10" t="n">
        <v>31.2250758023608</v>
      </c>
      <c r="Q762" s="9" t="n">
        <v>0.0377358490566038</v>
      </c>
    </row>
    <row r="763" customFormat="false" ht="15" hidden="false" customHeight="false" outlineLevel="0" collapsed="false">
      <c r="A763" s="6" t="n">
        <v>1046</v>
      </c>
      <c r="B763" s="6" t="s">
        <v>55</v>
      </c>
      <c r="C763" s="6" t="s">
        <v>71</v>
      </c>
      <c r="D763" s="7" t="n">
        <v>45468</v>
      </c>
      <c r="E763" s="7" t="n">
        <v>45483</v>
      </c>
      <c r="F763" s="6" t="s">
        <v>51</v>
      </c>
      <c r="G763" s="6" t="s">
        <v>49</v>
      </c>
      <c r="H763" s="8" t="n">
        <v>47669.38</v>
      </c>
      <c r="I763" s="6" t="n">
        <v>1164574</v>
      </c>
      <c r="J763" s="6" t="n">
        <v>38414</v>
      </c>
      <c r="K763" s="6" t="n">
        <v>2722</v>
      </c>
      <c r="L763" s="8" t="n">
        <v>4823719.39</v>
      </c>
      <c r="M763" s="9" t="n">
        <v>0.0329854521911016</v>
      </c>
      <c r="N763" s="8" t="n">
        <v>1.24093767897121</v>
      </c>
      <c r="O763" s="8" t="n">
        <v>17.5126304188097</v>
      </c>
      <c r="P763" s="10" t="n">
        <v>101.191150168095</v>
      </c>
      <c r="Q763" s="9" t="n">
        <v>0.0708595824439007</v>
      </c>
    </row>
    <row r="764" customFormat="false" ht="15" hidden="false" customHeight="false" outlineLevel="0" collapsed="false">
      <c r="A764" s="6" t="n">
        <v>1479</v>
      </c>
      <c r="B764" s="6" t="s">
        <v>62</v>
      </c>
      <c r="C764" s="6" t="s">
        <v>47</v>
      </c>
      <c r="D764" s="7" t="n">
        <v>45312</v>
      </c>
      <c r="E764" s="7" t="n">
        <v>45321</v>
      </c>
      <c r="F764" s="6" t="s">
        <v>67</v>
      </c>
      <c r="G764" s="6" t="s">
        <v>72</v>
      </c>
      <c r="H764" s="8" t="n">
        <v>3947.39</v>
      </c>
      <c r="I764" s="6" t="n">
        <v>91896</v>
      </c>
      <c r="J764" s="6" t="n">
        <v>546</v>
      </c>
      <c r="K764" s="6" t="n">
        <v>30</v>
      </c>
      <c r="L764" s="8" t="n">
        <v>51754.35</v>
      </c>
      <c r="M764" s="9" t="n">
        <v>0.00594149908592322</v>
      </c>
      <c r="N764" s="8" t="n">
        <v>7.22965201465201</v>
      </c>
      <c r="O764" s="8" t="n">
        <v>131.579666666667</v>
      </c>
      <c r="P764" s="10" t="n">
        <v>13.1110303263676</v>
      </c>
      <c r="Q764" s="9" t="n">
        <v>0.0549450549450549</v>
      </c>
    </row>
    <row r="765" customFormat="false" ht="15" hidden="false" customHeight="false" outlineLevel="0" collapsed="false">
      <c r="A765" s="6" t="n">
        <v>1446</v>
      </c>
      <c r="B765" s="6" t="s">
        <v>62</v>
      </c>
      <c r="C765" s="6" t="s">
        <v>71</v>
      </c>
      <c r="D765" s="7" t="n">
        <v>45543</v>
      </c>
      <c r="E765" s="7" t="n">
        <v>45560</v>
      </c>
      <c r="F765" s="6" t="s">
        <v>48</v>
      </c>
      <c r="G765" s="6" t="s">
        <v>75</v>
      </c>
      <c r="H765" s="8" t="n">
        <v>56894.82</v>
      </c>
      <c r="I765" s="6" t="n">
        <v>2233822</v>
      </c>
      <c r="J765" s="6" t="n">
        <v>36175</v>
      </c>
      <c r="K765" s="6" t="n">
        <v>1601</v>
      </c>
      <c r="L765" s="8" t="n">
        <v>2048512.56</v>
      </c>
      <c r="M765" s="9" t="n">
        <v>0.0161942178024928</v>
      </c>
      <c r="N765" s="8" t="n">
        <v>1.57276627505183</v>
      </c>
      <c r="O765" s="8" t="n">
        <v>35.5370518425984</v>
      </c>
      <c r="P765" s="10" t="n">
        <v>36.0052560145194</v>
      </c>
      <c r="Q765" s="9" t="n">
        <v>0.0442570836212854</v>
      </c>
    </row>
    <row r="766" customFormat="false" ht="15" hidden="false" customHeight="false" outlineLevel="0" collapsed="false">
      <c r="A766" s="6" t="n">
        <v>1520</v>
      </c>
      <c r="B766" s="6" t="s">
        <v>78</v>
      </c>
      <c r="C766" s="6" t="s">
        <v>71</v>
      </c>
      <c r="D766" s="7" t="n">
        <v>45584</v>
      </c>
      <c r="E766" s="7" t="n">
        <v>45602</v>
      </c>
      <c r="F766" s="6" t="s">
        <v>56</v>
      </c>
      <c r="G766" s="6" t="s">
        <v>57</v>
      </c>
      <c r="H766" s="8" t="n">
        <v>36898.46</v>
      </c>
      <c r="I766" s="6" t="n">
        <v>914493</v>
      </c>
      <c r="J766" s="6" t="n">
        <v>21479</v>
      </c>
      <c r="K766" s="6" t="n">
        <v>806</v>
      </c>
      <c r="L766" s="8" t="n">
        <v>342382.71</v>
      </c>
      <c r="M766" s="9" t="n">
        <v>0.0234873312316223</v>
      </c>
      <c r="N766" s="8" t="n">
        <v>1.71788537641417</v>
      </c>
      <c r="O766" s="8" t="n">
        <v>45.7797270471464</v>
      </c>
      <c r="P766" s="10" t="n">
        <v>9.27905148344945</v>
      </c>
      <c r="Q766" s="9" t="n">
        <v>0.0375250244424787</v>
      </c>
    </row>
    <row r="767" customFormat="false" ht="15" hidden="false" customHeight="false" outlineLevel="0" collapsed="false">
      <c r="A767" s="6" t="n">
        <v>1042</v>
      </c>
      <c r="B767" s="6" t="s">
        <v>70</v>
      </c>
      <c r="C767" s="6" t="s">
        <v>59</v>
      </c>
      <c r="D767" s="7" t="n">
        <v>45617</v>
      </c>
      <c r="E767" s="7" t="n">
        <v>45637</v>
      </c>
      <c r="F767" s="6" t="s">
        <v>60</v>
      </c>
      <c r="G767" s="6" t="s">
        <v>49</v>
      </c>
      <c r="H767" s="8" t="n">
        <v>50250.78</v>
      </c>
      <c r="I767" s="6" t="n">
        <v>1266756</v>
      </c>
      <c r="J767" s="6" t="n">
        <v>18534</v>
      </c>
      <c r="K767" s="6" t="n">
        <v>321</v>
      </c>
      <c r="L767" s="8" t="n">
        <v>187205.93</v>
      </c>
      <c r="M767" s="9" t="n">
        <v>0.0146310733874558</v>
      </c>
      <c r="N767" s="8" t="n">
        <v>2.71127549368728</v>
      </c>
      <c r="O767" s="8" t="n">
        <v>156.544485981308</v>
      </c>
      <c r="P767" s="10" t="n">
        <v>3.72543331665698</v>
      </c>
      <c r="Q767" s="9" t="n">
        <v>0.0173195208805439</v>
      </c>
    </row>
    <row r="768" customFormat="false" ht="15" hidden="false" customHeight="false" outlineLevel="0" collapsed="false">
      <c r="A768" s="6" t="n">
        <v>1481</v>
      </c>
      <c r="B768" s="6" t="s">
        <v>64</v>
      </c>
      <c r="C768" s="6" t="s">
        <v>59</v>
      </c>
      <c r="D768" s="7" t="n">
        <v>45553</v>
      </c>
      <c r="E768" s="7" t="n">
        <v>45563</v>
      </c>
      <c r="F768" s="6" t="s">
        <v>56</v>
      </c>
      <c r="G768" s="6" t="s">
        <v>54</v>
      </c>
      <c r="H768" s="8" t="n">
        <v>36085.41</v>
      </c>
      <c r="I768" s="6" t="n">
        <v>645044</v>
      </c>
      <c r="J768" s="6" t="n">
        <v>8324</v>
      </c>
      <c r="K768" s="6" t="n">
        <v>491</v>
      </c>
      <c r="L768" s="8" t="n">
        <v>646243.96</v>
      </c>
      <c r="M768" s="9" t="n">
        <v>0.0129045460464712</v>
      </c>
      <c r="N768" s="8" t="n">
        <v>4.33510451705911</v>
      </c>
      <c r="O768" s="8" t="n">
        <v>73.4937067209776</v>
      </c>
      <c r="P768" s="10" t="n">
        <v>17.9087326429158</v>
      </c>
      <c r="Q768" s="9" t="n">
        <v>0.0589860643921192</v>
      </c>
    </row>
    <row r="769" customFormat="false" ht="15" hidden="false" customHeight="false" outlineLevel="0" collapsed="false">
      <c r="A769" s="6" t="n">
        <v>1817</v>
      </c>
      <c r="B769" s="6" t="s">
        <v>66</v>
      </c>
      <c r="C769" s="6" t="s">
        <v>63</v>
      </c>
      <c r="D769" s="7" t="n">
        <v>45523</v>
      </c>
      <c r="E769" s="7" t="n">
        <v>45533</v>
      </c>
      <c r="F769" s="6" t="s">
        <v>48</v>
      </c>
      <c r="G769" s="6" t="s">
        <v>61</v>
      </c>
      <c r="H769" s="8" t="n">
        <v>29445.3</v>
      </c>
      <c r="I769" s="6" t="n">
        <v>859282</v>
      </c>
      <c r="J769" s="6" t="n">
        <v>28879</v>
      </c>
      <c r="K769" s="6" t="n">
        <v>1147</v>
      </c>
      <c r="L769" s="8" t="n">
        <v>1417549.42</v>
      </c>
      <c r="M769" s="9" t="n">
        <v>0.0336082915736627</v>
      </c>
      <c r="N769" s="8" t="n">
        <v>1.01960940475778</v>
      </c>
      <c r="O769" s="8" t="n">
        <v>25.6715780296425</v>
      </c>
      <c r="P769" s="10" t="n">
        <v>48.1417890121683</v>
      </c>
      <c r="Q769" s="9" t="n">
        <v>0.0397174417396724</v>
      </c>
    </row>
    <row r="770" customFormat="false" ht="15" hidden="false" customHeight="false" outlineLevel="0" collapsed="false">
      <c r="A770" s="6" t="n">
        <v>1322</v>
      </c>
      <c r="B770" s="6" t="s">
        <v>77</v>
      </c>
      <c r="C770" s="6" t="s">
        <v>59</v>
      </c>
      <c r="D770" s="7" t="n">
        <v>45404</v>
      </c>
      <c r="E770" s="7" t="n">
        <v>45418</v>
      </c>
      <c r="F770" s="6" t="s">
        <v>48</v>
      </c>
      <c r="G770" s="6" t="s">
        <v>49</v>
      </c>
      <c r="H770" s="8" t="n">
        <v>26759.11</v>
      </c>
      <c r="I770" s="6" t="n">
        <v>932933</v>
      </c>
      <c r="J770" s="6" t="n">
        <v>31330</v>
      </c>
      <c r="K770" s="6" t="n">
        <v>2299</v>
      </c>
      <c r="L770" s="8" t="n">
        <v>2731846.75</v>
      </c>
      <c r="M770" s="9" t="n">
        <v>0.0335822615343224</v>
      </c>
      <c r="N770" s="8" t="n">
        <v>0.854105011171401</v>
      </c>
      <c r="O770" s="8" t="n">
        <v>11.6394562853415</v>
      </c>
      <c r="P770" s="10" t="n">
        <v>102.090344185588</v>
      </c>
      <c r="Q770" s="9" t="n">
        <v>0.0733801468241302</v>
      </c>
    </row>
    <row r="771" customFormat="false" ht="15" hidden="false" customHeight="false" outlineLevel="0" collapsed="false">
      <c r="A771" s="6" t="n">
        <v>1044</v>
      </c>
      <c r="B771" s="6" t="s">
        <v>62</v>
      </c>
      <c r="C771" s="6" t="s">
        <v>50</v>
      </c>
      <c r="D771" s="7" t="n">
        <v>45373</v>
      </c>
      <c r="E771" s="7" t="n">
        <v>45387</v>
      </c>
      <c r="F771" s="6" t="s">
        <v>65</v>
      </c>
      <c r="G771" s="6" t="s">
        <v>75</v>
      </c>
      <c r="H771" s="8" t="n">
        <v>10957.21</v>
      </c>
      <c r="I771" s="6" t="n">
        <v>276119</v>
      </c>
      <c r="J771" s="6" t="n">
        <v>3241</v>
      </c>
      <c r="K771" s="6" t="n">
        <v>223</v>
      </c>
      <c r="L771" s="8" t="n">
        <v>114737.65</v>
      </c>
      <c r="M771" s="9" t="n">
        <v>0.0117376928063625</v>
      </c>
      <c r="N771" s="8" t="n">
        <v>3.38081147793891</v>
      </c>
      <c r="O771" s="8" t="n">
        <v>49.1354708520179</v>
      </c>
      <c r="P771" s="10" t="n">
        <v>10.4714293145792</v>
      </c>
      <c r="Q771" s="9" t="n">
        <v>0.0688059240975008</v>
      </c>
    </row>
    <row r="772" customFormat="false" ht="15" hidden="false" customHeight="false" outlineLevel="0" collapsed="false">
      <c r="A772" s="6" t="n">
        <v>1637</v>
      </c>
      <c r="B772" s="6" t="s">
        <v>52</v>
      </c>
      <c r="C772" s="6" t="s">
        <v>63</v>
      </c>
      <c r="D772" s="7" t="n">
        <v>45363</v>
      </c>
      <c r="E772" s="7" t="n">
        <v>45372</v>
      </c>
      <c r="F772" s="6" t="s">
        <v>69</v>
      </c>
      <c r="G772" s="6" t="s">
        <v>49</v>
      </c>
      <c r="H772" s="8" t="n">
        <v>18690.94</v>
      </c>
      <c r="I772" s="6" t="n">
        <v>383641</v>
      </c>
      <c r="J772" s="6" t="n">
        <v>6186</v>
      </c>
      <c r="K772" s="6" t="n">
        <v>218</v>
      </c>
      <c r="L772" s="8" t="n">
        <v>168354.1</v>
      </c>
      <c r="M772" s="9" t="n">
        <v>0.0161244496808214</v>
      </c>
      <c r="N772" s="8" t="n">
        <v>3.0214904623343</v>
      </c>
      <c r="O772" s="8" t="n">
        <v>85.7382568807339</v>
      </c>
      <c r="P772" s="10" t="n">
        <v>9.00725699189019</v>
      </c>
      <c r="Q772" s="9" t="n">
        <v>0.0352408664726802</v>
      </c>
    </row>
    <row r="773" customFormat="false" ht="15" hidden="false" customHeight="false" outlineLevel="0" collapsed="false">
      <c r="A773" s="6" t="n">
        <v>1514</v>
      </c>
      <c r="B773" s="6" t="s">
        <v>52</v>
      </c>
      <c r="C773" s="6" t="s">
        <v>63</v>
      </c>
      <c r="D773" s="7" t="n">
        <v>45331</v>
      </c>
      <c r="E773" s="7" t="n">
        <v>45359</v>
      </c>
      <c r="F773" s="6" t="s">
        <v>65</v>
      </c>
      <c r="G773" s="6" t="s">
        <v>54</v>
      </c>
      <c r="H773" s="8" t="n">
        <v>31453.53</v>
      </c>
      <c r="I773" s="6" t="n">
        <v>585521</v>
      </c>
      <c r="J773" s="6" t="n">
        <v>14592</v>
      </c>
      <c r="K773" s="6" t="n">
        <v>987</v>
      </c>
      <c r="L773" s="8" t="n">
        <v>1396424.43</v>
      </c>
      <c r="M773" s="9" t="n">
        <v>0.0249213947919887</v>
      </c>
      <c r="N773" s="8" t="n">
        <v>2.15553248355263</v>
      </c>
      <c r="O773" s="8" t="n">
        <v>31.867811550152</v>
      </c>
      <c r="P773" s="10" t="n">
        <v>44.3964295899379</v>
      </c>
      <c r="Q773" s="9" t="n">
        <v>0.0676398026315789</v>
      </c>
    </row>
    <row r="774" customFormat="false" ht="15" hidden="false" customHeight="false" outlineLevel="0" collapsed="false">
      <c r="A774" s="6" t="n">
        <v>1296</v>
      </c>
      <c r="B774" s="6" t="s">
        <v>76</v>
      </c>
      <c r="C774" s="6" t="s">
        <v>47</v>
      </c>
      <c r="D774" s="7" t="n">
        <v>45367</v>
      </c>
      <c r="E774" s="7" t="n">
        <v>45393</v>
      </c>
      <c r="F774" s="6" t="s">
        <v>69</v>
      </c>
      <c r="G774" s="6" t="s">
        <v>61</v>
      </c>
      <c r="H774" s="8" t="n">
        <v>4170.82</v>
      </c>
      <c r="I774" s="6" t="n">
        <v>92957</v>
      </c>
      <c r="J774" s="6" t="n">
        <v>2181</v>
      </c>
      <c r="K774" s="6" t="n">
        <v>90</v>
      </c>
      <c r="L774" s="8" t="n">
        <v>58338.85</v>
      </c>
      <c r="M774" s="9" t="n">
        <v>0.0234624611379455</v>
      </c>
      <c r="N774" s="8" t="n">
        <v>1.91234296194406</v>
      </c>
      <c r="O774" s="8" t="n">
        <v>46.3424444444444</v>
      </c>
      <c r="P774" s="10" t="n">
        <v>13.9873813782422</v>
      </c>
      <c r="Q774" s="9" t="n">
        <v>0.0412654745529574</v>
      </c>
    </row>
    <row r="775" customFormat="false" ht="15" hidden="false" customHeight="false" outlineLevel="0" collapsed="false">
      <c r="A775" s="6" t="n">
        <v>1782</v>
      </c>
      <c r="B775" s="6" t="s">
        <v>70</v>
      </c>
      <c r="C775" s="6" t="s">
        <v>63</v>
      </c>
      <c r="D775" s="7" t="n">
        <v>45343</v>
      </c>
      <c r="E775" s="7" t="n">
        <v>45350</v>
      </c>
      <c r="F775" s="6" t="s">
        <v>53</v>
      </c>
      <c r="G775" s="6" t="s">
        <v>72</v>
      </c>
      <c r="H775" s="8" t="n">
        <v>41032.55</v>
      </c>
      <c r="I775" s="6" t="n">
        <v>624197</v>
      </c>
      <c r="J775" s="6" t="n">
        <v>13239</v>
      </c>
      <c r="K775" s="6" t="n">
        <v>588</v>
      </c>
      <c r="L775" s="8" t="n">
        <v>284507.81</v>
      </c>
      <c r="M775" s="9" t="n">
        <v>0.0212096501585237</v>
      </c>
      <c r="N775" s="8" t="n">
        <v>3.09936928771055</v>
      </c>
      <c r="O775" s="8" t="n">
        <v>69.7832482993197</v>
      </c>
      <c r="P775" s="10" t="n">
        <v>6.93371018861855</v>
      </c>
      <c r="Q775" s="9" t="n">
        <v>0.0444142306820757</v>
      </c>
    </row>
    <row r="776" customFormat="false" ht="15" hidden="false" customHeight="false" outlineLevel="0" collapsed="false">
      <c r="A776" s="6" t="n">
        <v>1180</v>
      </c>
      <c r="B776" s="6" t="s">
        <v>79</v>
      </c>
      <c r="C776" s="6" t="s">
        <v>63</v>
      </c>
      <c r="D776" s="7" t="n">
        <v>45550</v>
      </c>
      <c r="E776" s="7" t="n">
        <v>45567</v>
      </c>
      <c r="F776" s="6" t="s">
        <v>51</v>
      </c>
      <c r="G776" s="6" t="s">
        <v>72</v>
      </c>
      <c r="H776" s="8" t="n">
        <v>46615.24</v>
      </c>
      <c r="I776" s="6" t="n">
        <v>1493056</v>
      </c>
      <c r="J776" s="6" t="n">
        <v>18302</v>
      </c>
      <c r="K776" s="6" t="n">
        <v>809</v>
      </c>
      <c r="L776" s="8" t="n">
        <v>806451.63</v>
      </c>
      <c r="M776" s="9" t="n">
        <v>0.0122580800720134</v>
      </c>
      <c r="N776" s="8" t="n">
        <v>2.54700251338652</v>
      </c>
      <c r="O776" s="8" t="n">
        <v>57.6208158220025</v>
      </c>
      <c r="P776" s="10" t="n">
        <v>17.3001711457455</v>
      </c>
      <c r="Q776" s="9" t="n">
        <v>0.0442028193640039</v>
      </c>
    </row>
    <row r="777" customFormat="false" ht="15" hidden="false" customHeight="false" outlineLevel="0" collapsed="false">
      <c r="A777" s="6" t="n">
        <v>1155</v>
      </c>
      <c r="B777" s="6" t="s">
        <v>76</v>
      </c>
      <c r="C777" s="6" t="s">
        <v>59</v>
      </c>
      <c r="D777" s="7" t="n">
        <v>45369</v>
      </c>
      <c r="E777" s="7" t="n">
        <v>45374</v>
      </c>
      <c r="F777" s="6" t="s">
        <v>65</v>
      </c>
      <c r="G777" s="6" t="s">
        <v>61</v>
      </c>
      <c r="H777" s="8" t="n">
        <v>16793.27</v>
      </c>
      <c r="I777" s="6" t="n">
        <v>479256</v>
      </c>
      <c r="J777" s="6" t="n">
        <v>11539</v>
      </c>
      <c r="K777" s="6" t="n">
        <v>675</v>
      </c>
      <c r="L777" s="8" t="n">
        <v>245640.93</v>
      </c>
      <c r="M777" s="9" t="n">
        <v>0.0240769025322583</v>
      </c>
      <c r="N777" s="8" t="n">
        <v>1.4553488170552</v>
      </c>
      <c r="O777" s="8" t="n">
        <v>24.8789185185185</v>
      </c>
      <c r="P777" s="10" t="n">
        <v>14.6273435727527</v>
      </c>
      <c r="Q777" s="9" t="n">
        <v>0.0584972701273941</v>
      </c>
    </row>
    <row r="778" customFormat="false" ht="15" hidden="false" customHeight="false" outlineLevel="0" collapsed="false">
      <c r="A778" s="6" t="n">
        <v>1079</v>
      </c>
      <c r="B778" s="6" t="s">
        <v>76</v>
      </c>
      <c r="C778" s="6" t="s">
        <v>63</v>
      </c>
      <c r="D778" s="7" t="n">
        <v>45572</v>
      </c>
      <c r="E778" s="7" t="n">
        <v>45600</v>
      </c>
      <c r="F778" s="6" t="s">
        <v>56</v>
      </c>
      <c r="G778" s="6" t="s">
        <v>54</v>
      </c>
      <c r="H778" s="8" t="n">
        <v>29221.95</v>
      </c>
      <c r="I778" s="6" t="n">
        <v>519556</v>
      </c>
      <c r="J778" s="6" t="n">
        <v>7088</v>
      </c>
      <c r="K778" s="6" t="n">
        <v>220</v>
      </c>
      <c r="L778" s="8" t="n">
        <v>92232.07</v>
      </c>
      <c r="M778" s="9" t="n">
        <v>0.0136424177567</v>
      </c>
      <c r="N778" s="8" t="n">
        <v>4.12273560948081</v>
      </c>
      <c r="O778" s="8" t="n">
        <v>132.827045454545</v>
      </c>
      <c r="P778" s="10" t="n">
        <v>3.15625993474084</v>
      </c>
      <c r="Q778" s="9" t="n">
        <v>0.031038374717833</v>
      </c>
    </row>
    <row r="779" customFormat="false" ht="15" hidden="false" customHeight="false" outlineLevel="0" collapsed="false">
      <c r="A779" s="6" t="n">
        <v>1787</v>
      </c>
      <c r="B779" s="6" t="s">
        <v>52</v>
      </c>
      <c r="C779" s="6" t="s">
        <v>47</v>
      </c>
      <c r="D779" s="7" t="n">
        <v>45491</v>
      </c>
      <c r="E779" s="7" t="n">
        <v>45501</v>
      </c>
      <c r="F779" s="6" t="s">
        <v>67</v>
      </c>
      <c r="G779" s="6" t="s">
        <v>75</v>
      </c>
      <c r="H779" s="8" t="n">
        <v>4244.53</v>
      </c>
      <c r="I779" s="6" t="n">
        <v>166231</v>
      </c>
      <c r="J779" s="6" t="n">
        <v>4739</v>
      </c>
      <c r="K779" s="6" t="n">
        <v>333</v>
      </c>
      <c r="L779" s="8" t="n">
        <v>333645.27</v>
      </c>
      <c r="M779" s="9" t="n">
        <v>0.0285085212746118</v>
      </c>
      <c r="N779" s="8" t="n">
        <v>0.895659421818949</v>
      </c>
      <c r="O779" s="8" t="n">
        <v>12.7463363363363</v>
      </c>
      <c r="P779" s="10" t="n">
        <v>78.6059398802694</v>
      </c>
      <c r="Q779" s="9" t="n">
        <v>0.0702679890272209</v>
      </c>
    </row>
    <row r="780" customFormat="false" ht="15" hidden="false" customHeight="false" outlineLevel="0" collapsed="false">
      <c r="A780" s="6" t="n">
        <v>1535</v>
      </c>
      <c r="B780" s="6" t="s">
        <v>77</v>
      </c>
      <c r="C780" s="6" t="s">
        <v>63</v>
      </c>
      <c r="D780" s="7" t="n">
        <v>45623</v>
      </c>
      <c r="E780" s="7" t="n">
        <v>45651</v>
      </c>
      <c r="F780" s="6" t="s">
        <v>65</v>
      </c>
      <c r="G780" s="6" t="s">
        <v>72</v>
      </c>
      <c r="H780" s="8" t="n">
        <v>36578.46</v>
      </c>
      <c r="I780" s="6" t="n">
        <v>617393</v>
      </c>
      <c r="J780" s="6" t="n">
        <v>12247</v>
      </c>
      <c r="K780" s="6" t="n">
        <v>304</v>
      </c>
      <c r="L780" s="8" t="n">
        <v>401955.94</v>
      </c>
      <c r="M780" s="9" t="n">
        <v>0.0198366356599443</v>
      </c>
      <c r="N780" s="8" t="n">
        <v>2.98672817832939</v>
      </c>
      <c r="O780" s="8" t="n">
        <v>120.323881578947</v>
      </c>
      <c r="P780" s="10" t="n">
        <v>10.9888699524256</v>
      </c>
      <c r="Q780" s="9" t="n">
        <v>0.0248224054870581</v>
      </c>
    </row>
    <row r="781" customFormat="false" ht="15" hidden="false" customHeight="false" outlineLevel="0" collapsed="false">
      <c r="A781" s="6" t="n">
        <v>1503</v>
      </c>
      <c r="B781" s="6" t="s">
        <v>74</v>
      </c>
      <c r="C781" s="6" t="s">
        <v>59</v>
      </c>
      <c r="D781" s="7" t="n">
        <v>45486</v>
      </c>
      <c r="E781" s="7" t="n">
        <v>45496</v>
      </c>
      <c r="F781" s="6" t="s">
        <v>60</v>
      </c>
      <c r="G781" s="6" t="s">
        <v>49</v>
      </c>
      <c r="H781" s="8" t="n">
        <v>75250.44</v>
      </c>
      <c r="I781" s="6" t="n">
        <v>2345268</v>
      </c>
      <c r="J781" s="6" t="n">
        <v>25427</v>
      </c>
      <c r="K781" s="6" t="n">
        <v>447</v>
      </c>
      <c r="L781" s="8" t="n">
        <v>206881.63</v>
      </c>
      <c r="M781" s="9" t="n">
        <v>0.0108418312960395</v>
      </c>
      <c r="N781" s="8" t="n">
        <v>2.95946985487867</v>
      </c>
      <c r="O781" s="8" t="n">
        <v>168.345503355705</v>
      </c>
      <c r="P781" s="10" t="n">
        <v>2.7492414662293</v>
      </c>
      <c r="Q781" s="9" t="n">
        <v>0.0175797380737012</v>
      </c>
    </row>
    <row r="782" customFormat="false" ht="15" hidden="false" customHeight="false" outlineLevel="0" collapsed="false">
      <c r="A782" s="6" t="n">
        <v>1295</v>
      </c>
      <c r="B782" s="6" t="s">
        <v>70</v>
      </c>
      <c r="C782" s="6" t="s">
        <v>47</v>
      </c>
      <c r="D782" s="7" t="n">
        <v>45350</v>
      </c>
      <c r="E782" s="7" t="n">
        <v>45373</v>
      </c>
      <c r="F782" s="6" t="s">
        <v>51</v>
      </c>
      <c r="G782" s="6" t="s">
        <v>61</v>
      </c>
      <c r="H782" s="8" t="n">
        <v>4240.36</v>
      </c>
      <c r="I782" s="6" t="n">
        <v>122449</v>
      </c>
      <c r="J782" s="6" t="n">
        <v>3631</v>
      </c>
      <c r="K782" s="6" t="n">
        <v>81</v>
      </c>
      <c r="L782" s="8" t="n">
        <v>140618.51</v>
      </c>
      <c r="M782" s="9" t="n">
        <v>0.029653161724473</v>
      </c>
      <c r="N782" s="8" t="n">
        <v>1.16782153676673</v>
      </c>
      <c r="O782" s="8" t="n">
        <v>52.3501234567901</v>
      </c>
      <c r="P782" s="10" t="n">
        <v>33.1619272891924</v>
      </c>
      <c r="Q782" s="9" t="n">
        <v>0.022307904158634</v>
      </c>
    </row>
    <row r="783" customFormat="false" ht="15" hidden="false" customHeight="false" outlineLevel="0" collapsed="false">
      <c r="A783" s="6" t="n">
        <v>1489</v>
      </c>
      <c r="B783" s="6" t="s">
        <v>74</v>
      </c>
      <c r="C783" s="6" t="s">
        <v>71</v>
      </c>
      <c r="D783" s="7" t="n">
        <v>45334</v>
      </c>
      <c r="E783" s="7" t="n">
        <v>45361</v>
      </c>
      <c r="F783" s="6" t="s">
        <v>48</v>
      </c>
      <c r="G783" s="6" t="s">
        <v>72</v>
      </c>
      <c r="H783" s="8" t="n">
        <v>32762.45</v>
      </c>
      <c r="I783" s="6" t="n">
        <v>398534</v>
      </c>
      <c r="J783" s="6" t="n">
        <v>12733</v>
      </c>
      <c r="K783" s="6" t="n">
        <v>390</v>
      </c>
      <c r="L783" s="8" t="n">
        <v>693665.26</v>
      </c>
      <c r="M783" s="9" t="n">
        <v>0.0319495952666523</v>
      </c>
      <c r="N783" s="8" t="n">
        <v>2.57303463441451</v>
      </c>
      <c r="O783" s="8" t="n">
        <v>84.0062820512821</v>
      </c>
      <c r="P783" s="10" t="n">
        <v>21.1725698169703</v>
      </c>
      <c r="Q783" s="9" t="n">
        <v>0.0306290740595304</v>
      </c>
    </row>
    <row r="784" customFormat="false" ht="15" hidden="false" customHeight="false" outlineLevel="0" collapsed="false">
      <c r="A784" s="6" t="n">
        <v>1553</v>
      </c>
      <c r="B784" s="6" t="s">
        <v>46</v>
      </c>
      <c r="C784" s="6" t="s">
        <v>47</v>
      </c>
      <c r="D784" s="7" t="n">
        <v>45535</v>
      </c>
      <c r="E784" s="7" t="n">
        <v>45555</v>
      </c>
      <c r="F784" s="6" t="s">
        <v>65</v>
      </c>
      <c r="G784" s="6" t="s">
        <v>61</v>
      </c>
      <c r="H784" s="8" t="n">
        <v>3026.14</v>
      </c>
      <c r="I784" s="6" t="n">
        <v>52958</v>
      </c>
      <c r="J784" s="6" t="n">
        <v>1200</v>
      </c>
      <c r="K784" s="6" t="n">
        <v>42</v>
      </c>
      <c r="L784" s="8" t="n">
        <v>31458.54</v>
      </c>
      <c r="M784" s="9" t="n">
        <v>0.0226594659919181</v>
      </c>
      <c r="N784" s="8" t="n">
        <v>2.52178333333333</v>
      </c>
      <c r="O784" s="8" t="n">
        <v>72.0509523809524</v>
      </c>
      <c r="P784" s="10" t="n">
        <v>10.3955996748333</v>
      </c>
      <c r="Q784" s="9" t="n">
        <v>0.035</v>
      </c>
    </row>
    <row r="785" customFormat="false" ht="15" hidden="false" customHeight="false" outlineLevel="0" collapsed="false">
      <c r="A785" s="6" t="n">
        <v>1591</v>
      </c>
      <c r="B785" s="6" t="s">
        <v>77</v>
      </c>
      <c r="C785" s="6" t="s">
        <v>50</v>
      </c>
      <c r="D785" s="7" t="n">
        <v>45606</v>
      </c>
      <c r="E785" s="7" t="n">
        <v>45630</v>
      </c>
      <c r="F785" s="6" t="s">
        <v>53</v>
      </c>
      <c r="G785" s="6" t="s">
        <v>61</v>
      </c>
      <c r="H785" s="8" t="n">
        <v>19045.07</v>
      </c>
      <c r="I785" s="6" t="n">
        <v>542673</v>
      </c>
      <c r="J785" s="6" t="n">
        <v>18184</v>
      </c>
      <c r="K785" s="6" t="n">
        <v>208</v>
      </c>
      <c r="L785" s="8" t="n">
        <v>187163.14</v>
      </c>
      <c r="M785" s="9" t="n">
        <v>0.0335082084422848</v>
      </c>
      <c r="N785" s="8" t="n">
        <v>1.04735316761989</v>
      </c>
      <c r="O785" s="8" t="n">
        <v>91.5628365384615</v>
      </c>
      <c r="P785" s="10" t="n">
        <v>9.82737999912838</v>
      </c>
      <c r="Q785" s="9" t="n">
        <v>0.0114386273647162</v>
      </c>
    </row>
    <row r="786" customFormat="false" ht="15" hidden="false" customHeight="false" outlineLevel="0" collapsed="false">
      <c r="A786" s="6" t="n">
        <v>1685</v>
      </c>
      <c r="B786" s="6" t="s">
        <v>52</v>
      </c>
      <c r="C786" s="6" t="s">
        <v>59</v>
      </c>
      <c r="D786" s="7" t="n">
        <v>45606</v>
      </c>
      <c r="E786" s="7" t="n">
        <v>45613</v>
      </c>
      <c r="F786" s="6" t="s">
        <v>53</v>
      </c>
      <c r="G786" s="6" t="s">
        <v>54</v>
      </c>
      <c r="H786" s="8" t="n">
        <v>46028.36</v>
      </c>
      <c r="I786" s="6" t="n">
        <v>875927</v>
      </c>
      <c r="J786" s="6" t="n">
        <v>9493</v>
      </c>
      <c r="K786" s="6" t="n">
        <v>746</v>
      </c>
      <c r="L786" s="8" t="n">
        <v>1098048.29</v>
      </c>
      <c r="M786" s="9" t="n">
        <v>0.010837661129295</v>
      </c>
      <c r="N786" s="8" t="n">
        <v>4.8486632255346</v>
      </c>
      <c r="O786" s="8" t="n">
        <v>61.7002144772118</v>
      </c>
      <c r="P786" s="10" t="n">
        <v>23.8559073145339</v>
      </c>
      <c r="Q786" s="9" t="n">
        <v>0.0785842199515432</v>
      </c>
    </row>
    <row r="787" customFormat="false" ht="15" hidden="false" customHeight="false" outlineLevel="0" collapsed="false">
      <c r="A787" s="6" t="n">
        <v>1615</v>
      </c>
      <c r="B787" s="6" t="s">
        <v>78</v>
      </c>
      <c r="C787" s="6" t="s">
        <v>47</v>
      </c>
      <c r="D787" s="7" t="n">
        <v>45587</v>
      </c>
      <c r="E787" s="7" t="n">
        <v>45604</v>
      </c>
      <c r="F787" s="6" t="s">
        <v>67</v>
      </c>
      <c r="G787" s="6" t="s">
        <v>57</v>
      </c>
      <c r="H787" s="8" t="n">
        <v>1199.89</v>
      </c>
      <c r="I787" s="6" t="n">
        <v>33363</v>
      </c>
      <c r="J787" s="6" t="n">
        <v>1089</v>
      </c>
      <c r="K787" s="6" t="n">
        <v>78</v>
      </c>
      <c r="L787" s="8" t="n">
        <v>136468.15</v>
      </c>
      <c r="M787" s="9" t="n">
        <v>0.0326409495548961</v>
      </c>
      <c r="N787" s="8" t="n">
        <v>1.10182736455464</v>
      </c>
      <c r="O787" s="8" t="n">
        <v>15.3832051282051</v>
      </c>
      <c r="P787" s="10" t="n">
        <v>113.733883939361</v>
      </c>
      <c r="Q787" s="9" t="n">
        <v>0.0716253443526171</v>
      </c>
    </row>
    <row r="788" customFormat="false" ht="15" hidden="false" customHeight="false" outlineLevel="0" collapsed="false">
      <c r="A788" s="6" t="n">
        <v>1152</v>
      </c>
      <c r="B788" s="6" t="s">
        <v>70</v>
      </c>
      <c r="C788" s="6" t="s">
        <v>50</v>
      </c>
      <c r="D788" s="7" t="n">
        <v>45587</v>
      </c>
      <c r="E788" s="7" t="n">
        <v>45612</v>
      </c>
      <c r="F788" s="6" t="s">
        <v>67</v>
      </c>
      <c r="G788" s="6" t="s">
        <v>49</v>
      </c>
      <c r="H788" s="8" t="n">
        <v>44730.33</v>
      </c>
      <c r="I788" s="6" t="n">
        <v>1242141</v>
      </c>
      <c r="J788" s="6" t="n">
        <v>8276</v>
      </c>
      <c r="K788" s="6" t="n">
        <v>580</v>
      </c>
      <c r="L788" s="8" t="n">
        <v>343347.25</v>
      </c>
      <c r="M788" s="9" t="n">
        <v>0.00666268966244573</v>
      </c>
      <c r="N788" s="8" t="n">
        <v>5.40482479458676</v>
      </c>
      <c r="O788" s="8" t="n">
        <v>77.1212586206897</v>
      </c>
      <c r="P788" s="10" t="n">
        <v>7.67593822804348</v>
      </c>
      <c r="Q788" s="9" t="n">
        <v>0.0700821652972451</v>
      </c>
    </row>
    <row r="789" customFormat="false" ht="15" hidden="false" customHeight="false" outlineLevel="0" collapsed="false">
      <c r="A789" s="6" t="n">
        <v>1559</v>
      </c>
      <c r="B789" s="6" t="s">
        <v>78</v>
      </c>
      <c r="C789" s="6" t="s">
        <v>71</v>
      </c>
      <c r="D789" s="7" t="n">
        <v>45466</v>
      </c>
      <c r="E789" s="7" t="n">
        <v>45476</v>
      </c>
      <c r="F789" s="6" t="s">
        <v>53</v>
      </c>
      <c r="G789" s="6" t="s">
        <v>72</v>
      </c>
      <c r="H789" s="8" t="n">
        <v>45958.81</v>
      </c>
      <c r="I789" s="6" t="n">
        <v>1736080</v>
      </c>
      <c r="J789" s="6" t="n">
        <v>42129</v>
      </c>
      <c r="K789" s="6" t="n">
        <v>1884</v>
      </c>
      <c r="L789" s="8" t="n">
        <v>2933358.27</v>
      </c>
      <c r="M789" s="9" t="n">
        <v>0.0242667388599604</v>
      </c>
      <c r="N789" s="8" t="n">
        <v>1.09090673882599</v>
      </c>
      <c r="O789" s="8" t="n">
        <v>24.3942728237792</v>
      </c>
      <c r="P789" s="10" t="n">
        <v>63.8258098936852</v>
      </c>
      <c r="Q789" s="9" t="n">
        <v>0.0447197892188279</v>
      </c>
    </row>
    <row r="790" customFormat="false" ht="15" hidden="false" customHeight="false" outlineLevel="0" collapsed="false">
      <c r="A790" s="6" t="n">
        <v>1088</v>
      </c>
      <c r="B790" s="6" t="s">
        <v>68</v>
      </c>
      <c r="C790" s="6" t="s">
        <v>50</v>
      </c>
      <c r="D790" s="7" t="n">
        <v>45354</v>
      </c>
      <c r="E790" s="7" t="n">
        <v>45365</v>
      </c>
      <c r="F790" s="6" t="s">
        <v>65</v>
      </c>
      <c r="G790" s="6" t="s">
        <v>61</v>
      </c>
      <c r="H790" s="8" t="n">
        <v>26571.53</v>
      </c>
      <c r="I790" s="6" t="n">
        <v>726745</v>
      </c>
      <c r="J790" s="6" t="n">
        <v>11502</v>
      </c>
      <c r="K790" s="6" t="n">
        <v>575</v>
      </c>
      <c r="L790" s="8" t="n">
        <v>590949.62</v>
      </c>
      <c r="M790" s="9" t="n">
        <v>0.0158267342740576</v>
      </c>
      <c r="N790" s="8" t="n">
        <v>2.31016605807686</v>
      </c>
      <c r="O790" s="8" t="n">
        <v>46.2113565217391</v>
      </c>
      <c r="P790" s="10" t="n">
        <v>22.2399545679154</v>
      </c>
      <c r="Q790" s="9" t="n">
        <v>0.0499913058598505</v>
      </c>
    </row>
    <row r="791" customFormat="false" ht="15" hidden="false" customHeight="false" outlineLevel="0" collapsed="false">
      <c r="A791" s="6" t="n">
        <v>1164</v>
      </c>
      <c r="B791" s="6" t="s">
        <v>73</v>
      </c>
      <c r="C791" s="6" t="s">
        <v>47</v>
      </c>
      <c r="D791" s="7" t="n">
        <v>45594</v>
      </c>
      <c r="E791" s="7" t="n">
        <v>45599</v>
      </c>
      <c r="F791" s="6" t="s">
        <v>48</v>
      </c>
      <c r="G791" s="6" t="s">
        <v>61</v>
      </c>
      <c r="H791" s="8" t="n">
        <v>5903.93</v>
      </c>
      <c r="I791" s="6" t="n">
        <v>228416</v>
      </c>
      <c r="J791" s="6" t="n">
        <v>5004</v>
      </c>
      <c r="K791" s="6" t="n">
        <v>247</v>
      </c>
      <c r="L791" s="8" t="n">
        <v>153865.89</v>
      </c>
      <c r="M791" s="9" t="n">
        <v>0.0219073970299804</v>
      </c>
      <c r="N791" s="8" t="n">
        <v>1.17984212629896</v>
      </c>
      <c r="O791" s="8" t="n">
        <v>23.9025506072875</v>
      </c>
      <c r="P791" s="10" t="n">
        <v>26.0616047276983</v>
      </c>
      <c r="Q791" s="9" t="n">
        <v>0.0493605115907274</v>
      </c>
    </row>
    <row r="792" customFormat="false" ht="15" hidden="false" customHeight="false" outlineLevel="0" collapsed="false">
      <c r="A792" s="6" t="n">
        <v>1268</v>
      </c>
      <c r="B792" s="6" t="s">
        <v>77</v>
      </c>
      <c r="C792" s="6" t="s">
        <v>59</v>
      </c>
      <c r="D792" s="7" t="n">
        <v>45326</v>
      </c>
      <c r="E792" s="7" t="n">
        <v>45343</v>
      </c>
      <c r="F792" s="6" t="s">
        <v>69</v>
      </c>
      <c r="G792" s="6" t="s">
        <v>57</v>
      </c>
      <c r="H792" s="8" t="n">
        <v>35348.28</v>
      </c>
      <c r="I792" s="6" t="n">
        <v>1283215</v>
      </c>
      <c r="J792" s="6" t="n">
        <v>31827</v>
      </c>
      <c r="K792" s="6" t="n">
        <v>2243</v>
      </c>
      <c r="L792" s="8" t="n">
        <v>847099.39</v>
      </c>
      <c r="M792" s="9" t="n">
        <v>0.0248025467283347</v>
      </c>
      <c r="N792" s="8" t="n">
        <v>1.11063813743048</v>
      </c>
      <c r="O792" s="8" t="n">
        <v>15.759375835934</v>
      </c>
      <c r="P792" s="10" t="n">
        <v>23.9643736555216</v>
      </c>
      <c r="Q792" s="9" t="n">
        <v>0.070474754139567</v>
      </c>
    </row>
    <row r="793" customFormat="false" ht="15" hidden="false" customHeight="false" outlineLevel="0" collapsed="false">
      <c r="A793" s="6" t="n">
        <v>1300</v>
      </c>
      <c r="B793" s="6" t="s">
        <v>58</v>
      </c>
      <c r="C793" s="6" t="s">
        <v>59</v>
      </c>
      <c r="D793" s="7" t="n">
        <v>45309</v>
      </c>
      <c r="E793" s="7" t="n">
        <v>45315</v>
      </c>
      <c r="F793" s="6" t="s">
        <v>48</v>
      </c>
      <c r="G793" s="6" t="s">
        <v>57</v>
      </c>
      <c r="H793" s="8" t="n">
        <v>51245.11</v>
      </c>
      <c r="I793" s="6" t="n">
        <v>1240872</v>
      </c>
      <c r="J793" s="6" t="n">
        <v>27805</v>
      </c>
      <c r="K793" s="6" t="n">
        <v>2149</v>
      </c>
      <c r="L793" s="8" t="n">
        <v>1001630.64</v>
      </c>
      <c r="M793" s="9" t="n">
        <v>0.022407629473467</v>
      </c>
      <c r="N793" s="8" t="n">
        <v>1.8430178025535</v>
      </c>
      <c r="O793" s="8" t="n">
        <v>23.8460260586319</v>
      </c>
      <c r="P793" s="10" t="n">
        <v>19.5458774505509</v>
      </c>
      <c r="Q793" s="9" t="n">
        <v>0.0772882575076425</v>
      </c>
    </row>
    <row r="794" customFormat="false" ht="15" hidden="false" customHeight="false" outlineLevel="0" collapsed="false">
      <c r="A794" s="6" t="n">
        <v>1771</v>
      </c>
      <c r="B794" s="6" t="s">
        <v>77</v>
      </c>
      <c r="C794" s="6" t="s">
        <v>63</v>
      </c>
      <c r="D794" s="7" t="n">
        <v>45560</v>
      </c>
      <c r="E794" s="7" t="n">
        <v>45579</v>
      </c>
      <c r="F794" s="6" t="s">
        <v>60</v>
      </c>
      <c r="G794" s="6" t="s">
        <v>49</v>
      </c>
      <c r="H794" s="8" t="n">
        <v>47504.56</v>
      </c>
      <c r="I794" s="6" t="n">
        <v>1132907</v>
      </c>
      <c r="J794" s="6" t="n">
        <v>26244</v>
      </c>
      <c r="K794" s="6" t="n">
        <v>1582</v>
      </c>
      <c r="L794" s="8" t="n">
        <v>2272618.6</v>
      </c>
      <c r="M794" s="9" t="n">
        <v>0.0231651847856885</v>
      </c>
      <c r="N794" s="8" t="n">
        <v>1.8101112635269</v>
      </c>
      <c r="O794" s="8" t="n">
        <v>30.0281668773704</v>
      </c>
      <c r="P794" s="10" t="n">
        <v>47.8400094643546</v>
      </c>
      <c r="Q794" s="9" t="n">
        <v>0.0602804450541076</v>
      </c>
    </row>
    <row r="795" customFormat="false" ht="15" hidden="false" customHeight="false" outlineLevel="0" collapsed="false">
      <c r="A795" s="6" t="n">
        <v>1297</v>
      </c>
      <c r="B795" s="6" t="s">
        <v>55</v>
      </c>
      <c r="C795" s="6" t="s">
        <v>50</v>
      </c>
      <c r="D795" s="7" t="n">
        <v>45357</v>
      </c>
      <c r="E795" s="7" t="n">
        <v>45371</v>
      </c>
      <c r="F795" s="6" t="s">
        <v>60</v>
      </c>
      <c r="G795" s="6" t="s">
        <v>75</v>
      </c>
      <c r="H795" s="8" t="n">
        <v>35845.6</v>
      </c>
      <c r="I795" s="6" t="n">
        <v>1029561</v>
      </c>
      <c r="J795" s="6" t="n">
        <v>6788</v>
      </c>
      <c r="K795" s="6" t="n">
        <v>402</v>
      </c>
      <c r="L795" s="8" t="n">
        <v>619117.09</v>
      </c>
      <c r="M795" s="9" t="n">
        <v>0.00659310133153839</v>
      </c>
      <c r="N795" s="8" t="n">
        <v>5.28073070123748</v>
      </c>
      <c r="O795" s="8" t="n">
        <v>89.1681592039801</v>
      </c>
      <c r="P795" s="10" t="n">
        <v>17.2717736625974</v>
      </c>
      <c r="Q795" s="9" t="n">
        <v>0.0592221567472009</v>
      </c>
    </row>
    <row r="796" customFormat="false" ht="15" hidden="false" customHeight="false" outlineLevel="0" collapsed="false">
      <c r="A796" s="6" t="n">
        <v>1662</v>
      </c>
      <c r="B796" s="6" t="s">
        <v>76</v>
      </c>
      <c r="C796" s="6" t="s">
        <v>47</v>
      </c>
      <c r="D796" s="7" t="n">
        <v>45357</v>
      </c>
      <c r="E796" s="7" t="n">
        <v>45372</v>
      </c>
      <c r="F796" s="6" t="s">
        <v>67</v>
      </c>
      <c r="G796" s="6" t="s">
        <v>54</v>
      </c>
      <c r="H796" s="8" t="n">
        <v>4779.9</v>
      </c>
      <c r="I796" s="6" t="n">
        <v>186046</v>
      </c>
      <c r="J796" s="6" t="n">
        <v>4661</v>
      </c>
      <c r="K796" s="6" t="n">
        <v>78</v>
      </c>
      <c r="L796" s="8" t="n">
        <v>83035.87</v>
      </c>
      <c r="M796" s="9" t="n">
        <v>0.0250529438955957</v>
      </c>
      <c r="N796" s="8" t="n">
        <v>1.02550954730744</v>
      </c>
      <c r="O796" s="8" t="n">
        <v>61.2807692307692</v>
      </c>
      <c r="P796" s="10" t="n">
        <v>17.371884349045</v>
      </c>
      <c r="Q796" s="9" t="n">
        <v>0.0167346063076593</v>
      </c>
    </row>
    <row r="797" customFormat="false" ht="15" hidden="false" customHeight="false" outlineLevel="0" collapsed="false">
      <c r="A797" s="6" t="n">
        <v>1517</v>
      </c>
      <c r="B797" s="6" t="s">
        <v>66</v>
      </c>
      <c r="C797" s="6" t="s">
        <v>59</v>
      </c>
      <c r="D797" s="7" t="n">
        <v>45569</v>
      </c>
      <c r="E797" s="7" t="n">
        <v>45587</v>
      </c>
      <c r="F797" s="6" t="s">
        <v>56</v>
      </c>
      <c r="G797" s="6" t="s">
        <v>72</v>
      </c>
      <c r="H797" s="8" t="n">
        <v>36377.1</v>
      </c>
      <c r="I797" s="6" t="n">
        <v>1145519</v>
      </c>
      <c r="J797" s="6" t="n">
        <v>29105</v>
      </c>
      <c r="K797" s="6" t="n">
        <v>1582</v>
      </c>
      <c r="L797" s="8" t="n">
        <v>2164230.27</v>
      </c>
      <c r="M797" s="9" t="n">
        <v>0.025407697297033</v>
      </c>
      <c r="N797" s="8" t="n">
        <v>1.24985741281567</v>
      </c>
      <c r="O797" s="8" t="n">
        <v>22.9943742098609</v>
      </c>
      <c r="P797" s="10" t="n">
        <v>59.4943046587001</v>
      </c>
      <c r="Q797" s="9" t="n">
        <v>0.0543549218347363</v>
      </c>
    </row>
    <row r="798" customFormat="false" ht="15" hidden="false" customHeight="false" outlineLevel="0" collapsed="false">
      <c r="A798" s="6" t="n">
        <v>1814</v>
      </c>
      <c r="B798" s="6" t="s">
        <v>68</v>
      </c>
      <c r="C798" s="6" t="s">
        <v>47</v>
      </c>
      <c r="D798" s="7" t="n">
        <v>45502</v>
      </c>
      <c r="E798" s="7" t="n">
        <v>45517</v>
      </c>
      <c r="F798" s="6" t="s">
        <v>65</v>
      </c>
      <c r="G798" s="6" t="s">
        <v>54</v>
      </c>
      <c r="H798" s="8" t="n">
        <v>1620.97</v>
      </c>
      <c r="I798" s="6" t="n">
        <v>47935</v>
      </c>
      <c r="J798" s="6" t="n">
        <v>1569</v>
      </c>
      <c r="K798" s="6" t="n">
        <v>46</v>
      </c>
      <c r="L798" s="8" t="n">
        <v>44587.95</v>
      </c>
      <c r="M798" s="9" t="n">
        <v>0.0327318243454678</v>
      </c>
      <c r="N798" s="8" t="n">
        <v>1.03312300828553</v>
      </c>
      <c r="O798" s="8" t="n">
        <v>35.2384782608696</v>
      </c>
      <c r="P798" s="10" t="n">
        <v>27.5069557117035</v>
      </c>
      <c r="Q798" s="9" t="n">
        <v>0.0293180369662205</v>
      </c>
    </row>
    <row r="799" customFormat="false" ht="15" hidden="false" customHeight="false" outlineLevel="0" collapsed="false">
      <c r="A799" s="6" t="n">
        <v>1118</v>
      </c>
      <c r="B799" s="6" t="s">
        <v>64</v>
      </c>
      <c r="C799" s="6" t="s">
        <v>50</v>
      </c>
      <c r="D799" s="7" t="n">
        <v>45620</v>
      </c>
      <c r="E799" s="7" t="n">
        <v>45648</v>
      </c>
      <c r="F799" s="6" t="s">
        <v>51</v>
      </c>
      <c r="G799" s="6" t="s">
        <v>57</v>
      </c>
      <c r="H799" s="8" t="n">
        <v>42258.03</v>
      </c>
      <c r="I799" s="6" t="n">
        <v>1408008</v>
      </c>
      <c r="J799" s="6" t="n">
        <v>21916</v>
      </c>
      <c r="K799" s="6" t="n">
        <v>433</v>
      </c>
      <c r="L799" s="8" t="n">
        <v>494699.11</v>
      </c>
      <c r="M799" s="9" t="n">
        <v>0.0155652524701564</v>
      </c>
      <c r="N799" s="8" t="n">
        <v>1.92818169373973</v>
      </c>
      <c r="O799" s="8" t="n">
        <v>97.5936027713626</v>
      </c>
      <c r="P799" s="10" t="n">
        <v>11.706629722209</v>
      </c>
      <c r="Q799" s="9" t="n">
        <v>0.0197572549735353</v>
      </c>
    </row>
    <row r="800" customFormat="false" ht="15" hidden="false" customHeight="false" outlineLevel="0" collapsed="false">
      <c r="A800" s="6" t="n">
        <v>1689</v>
      </c>
      <c r="B800" s="6" t="s">
        <v>58</v>
      </c>
      <c r="C800" s="6" t="s">
        <v>47</v>
      </c>
      <c r="D800" s="7" t="n">
        <v>45470</v>
      </c>
      <c r="E800" s="7" t="n">
        <v>45496</v>
      </c>
      <c r="F800" s="6" t="s">
        <v>53</v>
      </c>
      <c r="G800" s="6" t="s">
        <v>54</v>
      </c>
      <c r="H800" s="8" t="n">
        <v>5130.74</v>
      </c>
      <c r="I800" s="6" t="n">
        <v>98431</v>
      </c>
      <c r="J800" s="6" t="n">
        <v>786</v>
      </c>
      <c r="K800" s="6" t="n">
        <v>18</v>
      </c>
      <c r="L800" s="8" t="n">
        <v>10352.09</v>
      </c>
      <c r="M800" s="9" t="n">
        <v>0.00798528918734951</v>
      </c>
      <c r="N800" s="8" t="n">
        <v>6.52765903307888</v>
      </c>
      <c r="O800" s="8" t="n">
        <v>285.041111111111</v>
      </c>
      <c r="P800" s="10" t="n">
        <v>2.01766022055298</v>
      </c>
      <c r="Q800" s="9" t="n">
        <v>0.0229007633587786</v>
      </c>
    </row>
    <row r="801" customFormat="false" ht="15" hidden="false" customHeight="false" outlineLevel="0" collapsed="false">
      <c r="A801" s="6" t="n">
        <v>1389</v>
      </c>
      <c r="B801" s="6" t="s">
        <v>68</v>
      </c>
      <c r="C801" s="6" t="s">
        <v>50</v>
      </c>
      <c r="D801" s="7" t="n">
        <v>45369</v>
      </c>
      <c r="E801" s="7" t="n">
        <v>45398</v>
      </c>
      <c r="F801" s="6" t="s">
        <v>65</v>
      </c>
      <c r="G801" s="6" t="s">
        <v>49</v>
      </c>
      <c r="H801" s="8" t="n">
        <v>39520.55</v>
      </c>
      <c r="I801" s="6" t="n">
        <v>818255</v>
      </c>
      <c r="J801" s="6" t="n">
        <v>23772</v>
      </c>
      <c r="K801" s="6" t="n">
        <v>925</v>
      </c>
      <c r="L801" s="8" t="n">
        <v>872736.12</v>
      </c>
      <c r="M801" s="9" t="n">
        <v>0.0290520681205737</v>
      </c>
      <c r="N801" s="8" t="n">
        <v>1.66248317348141</v>
      </c>
      <c r="O801" s="8" t="n">
        <v>42.7249189189189</v>
      </c>
      <c r="P801" s="10" t="n">
        <v>22.0830965156102</v>
      </c>
      <c r="Q801" s="9" t="n">
        <v>0.0389113242470133</v>
      </c>
    </row>
    <row r="802" customFormat="false" ht="15" hidden="false" customHeight="false" outlineLevel="0" collapsed="false">
      <c r="A802" s="6" t="n">
        <v>1321</v>
      </c>
      <c r="B802" s="6" t="s">
        <v>73</v>
      </c>
      <c r="C802" s="6" t="s">
        <v>63</v>
      </c>
      <c r="D802" s="7" t="n">
        <v>45402</v>
      </c>
      <c r="E802" s="7" t="n">
        <v>45426</v>
      </c>
      <c r="F802" s="6" t="s">
        <v>56</v>
      </c>
      <c r="G802" s="6" t="s">
        <v>49</v>
      </c>
      <c r="H802" s="8" t="n">
        <v>13834.67</v>
      </c>
      <c r="I802" s="6" t="n">
        <v>336696</v>
      </c>
      <c r="J802" s="6" t="n">
        <v>6307</v>
      </c>
      <c r="K802" s="6" t="n">
        <v>148</v>
      </c>
      <c r="L802" s="8" t="n">
        <v>128753.45</v>
      </c>
      <c r="M802" s="9" t="n">
        <v>0.0187320312685627</v>
      </c>
      <c r="N802" s="8" t="n">
        <v>2.19354209608372</v>
      </c>
      <c r="O802" s="8" t="n">
        <v>93.4775</v>
      </c>
      <c r="P802" s="10" t="n">
        <v>9.30657905103627</v>
      </c>
      <c r="Q802" s="9" t="n">
        <v>0.0234659901696528</v>
      </c>
    </row>
    <row r="803" customFormat="false" ht="15" hidden="false" customHeight="false" outlineLevel="0" collapsed="false">
      <c r="A803" s="6" t="n">
        <v>1362</v>
      </c>
      <c r="B803" s="6" t="s">
        <v>77</v>
      </c>
      <c r="C803" s="6" t="s">
        <v>71</v>
      </c>
      <c r="D803" s="7" t="n">
        <v>45518</v>
      </c>
      <c r="E803" s="7" t="n">
        <v>45535</v>
      </c>
      <c r="F803" s="6" t="s">
        <v>65</v>
      </c>
      <c r="G803" s="6" t="s">
        <v>72</v>
      </c>
      <c r="H803" s="8" t="n">
        <v>55309.03</v>
      </c>
      <c r="I803" s="6" t="n">
        <v>1373012</v>
      </c>
      <c r="J803" s="6" t="n">
        <v>47148</v>
      </c>
      <c r="K803" s="6" t="n">
        <v>1314</v>
      </c>
      <c r="L803" s="8" t="n">
        <v>631853.95</v>
      </c>
      <c r="M803" s="9" t="n">
        <v>0.0343391026444052</v>
      </c>
      <c r="N803" s="8" t="n">
        <v>1.17309387460762</v>
      </c>
      <c r="O803" s="8" t="n">
        <v>42.0921080669711</v>
      </c>
      <c r="P803" s="10" t="n">
        <v>11.4240649311695</v>
      </c>
      <c r="Q803" s="9" t="n">
        <v>0.0278696869432426</v>
      </c>
    </row>
    <row r="804" customFormat="false" ht="15" hidden="false" customHeight="false" outlineLevel="0" collapsed="false">
      <c r="A804" s="6" t="n">
        <v>1154</v>
      </c>
      <c r="B804" s="6" t="s">
        <v>74</v>
      </c>
      <c r="C804" s="6" t="s">
        <v>50</v>
      </c>
      <c r="D804" s="7" t="n">
        <v>45497</v>
      </c>
      <c r="E804" s="7" t="n">
        <v>45504</v>
      </c>
      <c r="F804" s="6" t="s">
        <v>69</v>
      </c>
      <c r="G804" s="6" t="s">
        <v>57</v>
      </c>
      <c r="H804" s="8" t="n">
        <v>70622.26</v>
      </c>
      <c r="I804" s="6" t="n">
        <v>2425040</v>
      </c>
      <c r="J804" s="6" t="n">
        <v>34728</v>
      </c>
      <c r="K804" s="6" t="n">
        <v>557</v>
      </c>
      <c r="L804" s="8" t="n">
        <v>563841.05</v>
      </c>
      <c r="M804" s="9" t="n">
        <v>0.0143205885263748</v>
      </c>
      <c r="N804" s="8" t="n">
        <v>2.03358269983875</v>
      </c>
      <c r="O804" s="8" t="n">
        <v>126.790412926391</v>
      </c>
      <c r="P804" s="10" t="n">
        <v>7.9838998355476</v>
      </c>
      <c r="Q804" s="9" t="n">
        <v>0.0160389311218613</v>
      </c>
    </row>
    <row r="805" customFormat="false" ht="15" hidden="false" customHeight="false" outlineLevel="0" collapsed="false">
      <c r="A805" s="6" t="n">
        <v>1737</v>
      </c>
      <c r="B805" s="6" t="s">
        <v>73</v>
      </c>
      <c r="C805" s="6" t="s">
        <v>63</v>
      </c>
      <c r="D805" s="7" t="n">
        <v>45336</v>
      </c>
      <c r="E805" s="7" t="n">
        <v>45364</v>
      </c>
      <c r="F805" s="6" t="s">
        <v>53</v>
      </c>
      <c r="G805" s="6" t="s">
        <v>54</v>
      </c>
      <c r="H805" s="8" t="n">
        <v>26030.76</v>
      </c>
      <c r="I805" s="6" t="n">
        <v>967329</v>
      </c>
      <c r="J805" s="6" t="n">
        <v>25003</v>
      </c>
      <c r="K805" s="6" t="n">
        <v>728</v>
      </c>
      <c r="L805" s="8" t="n">
        <v>278613.23</v>
      </c>
      <c r="M805" s="9" t="n">
        <v>0.0258474624455589</v>
      </c>
      <c r="N805" s="8" t="n">
        <v>1.04110546734392</v>
      </c>
      <c r="O805" s="8" t="n">
        <v>35.7565384615385</v>
      </c>
      <c r="P805" s="10" t="n">
        <v>10.7032307162757</v>
      </c>
      <c r="Q805" s="9" t="n">
        <v>0.0291165060192777</v>
      </c>
    </row>
    <row r="806" customFormat="false" ht="15" hidden="false" customHeight="false" outlineLevel="0" collapsed="false">
      <c r="A806" s="6" t="n">
        <v>1027</v>
      </c>
      <c r="B806" s="6" t="s">
        <v>73</v>
      </c>
      <c r="C806" s="6" t="s">
        <v>50</v>
      </c>
      <c r="D806" s="7" t="n">
        <v>45324</v>
      </c>
      <c r="E806" s="7" t="n">
        <v>45342</v>
      </c>
      <c r="F806" s="6" t="s">
        <v>65</v>
      </c>
      <c r="G806" s="6" t="s">
        <v>61</v>
      </c>
      <c r="H806" s="8" t="n">
        <v>33161.7</v>
      </c>
      <c r="I806" s="6" t="n">
        <v>883696</v>
      </c>
      <c r="J806" s="6" t="n">
        <v>6069</v>
      </c>
      <c r="K806" s="6" t="n">
        <v>414</v>
      </c>
      <c r="L806" s="8" t="n">
        <v>378702.93</v>
      </c>
      <c r="M806" s="9" t="n">
        <v>0.00686774637431877</v>
      </c>
      <c r="N806" s="8" t="n">
        <v>5.46411270390509</v>
      </c>
      <c r="O806" s="8" t="n">
        <v>80.1007246376812</v>
      </c>
      <c r="P806" s="10" t="n">
        <v>11.4198889079872</v>
      </c>
      <c r="Q806" s="9" t="n">
        <v>0.0682155215027187</v>
      </c>
    </row>
    <row r="807" customFormat="false" ht="15" hidden="false" customHeight="false" outlineLevel="0" collapsed="false">
      <c r="A807" s="6" t="n">
        <v>1620</v>
      </c>
      <c r="B807" s="6" t="s">
        <v>64</v>
      </c>
      <c r="C807" s="6" t="s">
        <v>71</v>
      </c>
      <c r="D807" s="7" t="n">
        <v>45469</v>
      </c>
      <c r="E807" s="7" t="n">
        <v>45495</v>
      </c>
      <c r="F807" s="6" t="s">
        <v>53</v>
      </c>
      <c r="G807" s="6" t="s">
        <v>57</v>
      </c>
      <c r="H807" s="8" t="n">
        <v>13273.07</v>
      </c>
      <c r="I807" s="6" t="n">
        <v>485285</v>
      </c>
      <c r="J807" s="6" t="n">
        <v>14124</v>
      </c>
      <c r="K807" s="6" t="n">
        <v>153</v>
      </c>
      <c r="L807" s="8" t="n">
        <v>124325.87</v>
      </c>
      <c r="M807" s="9" t="n">
        <v>0.0291045468126977</v>
      </c>
      <c r="N807" s="8" t="n">
        <v>0.93975290286038</v>
      </c>
      <c r="O807" s="8" t="n">
        <v>86.752091503268</v>
      </c>
      <c r="P807" s="10" t="n">
        <v>9.36677573462658</v>
      </c>
      <c r="Q807" s="9" t="n">
        <v>0.0108326253186066</v>
      </c>
    </row>
    <row r="808" customFormat="false" ht="15" hidden="false" customHeight="false" outlineLevel="0" collapsed="false">
      <c r="A808" s="6" t="n">
        <v>1767</v>
      </c>
      <c r="B808" s="6" t="s">
        <v>58</v>
      </c>
      <c r="C808" s="6" t="s">
        <v>59</v>
      </c>
      <c r="D808" s="7" t="n">
        <v>45338</v>
      </c>
      <c r="E808" s="7" t="n">
        <v>45365</v>
      </c>
      <c r="F808" s="6" t="s">
        <v>65</v>
      </c>
      <c r="G808" s="6" t="s">
        <v>54</v>
      </c>
      <c r="H808" s="8" t="n">
        <v>21928.26</v>
      </c>
      <c r="I808" s="6" t="n">
        <v>710098</v>
      </c>
      <c r="J808" s="6" t="n">
        <v>4617</v>
      </c>
      <c r="K808" s="6" t="n">
        <v>71</v>
      </c>
      <c r="L808" s="8" t="n">
        <v>120800.44</v>
      </c>
      <c r="M808" s="9" t="n">
        <v>0.00650191945337123</v>
      </c>
      <c r="N808" s="8" t="n">
        <v>4.74946068875893</v>
      </c>
      <c r="O808" s="8" t="n">
        <v>308.848732394366</v>
      </c>
      <c r="P808" s="10" t="n">
        <v>5.50889309046865</v>
      </c>
      <c r="Q808" s="9" t="n">
        <v>0.0153779510504657</v>
      </c>
    </row>
    <row r="809" customFormat="false" ht="15" hidden="false" customHeight="false" outlineLevel="0" collapsed="false">
      <c r="A809" s="6" t="n">
        <v>1646</v>
      </c>
      <c r="B809" s="6" t="s">
        <v>77</v>
      </c>
      <c r="C809" s="6" t="s">
        <v>63</v>
      </c>
      <c r="D809" s="7" t="n">
        <v>45604</v>
      </c>
      <c r="E809" s="7" t="n">
        <v>45615</v>
      </c>
      <c r="F809" s="6" t="s">
        <v>67</v>
      </c>
      <c r="G809" s="6" t="s">
        <v>57</v>
      </c>
      <c r="H809" s="8" t="n">
        <v>35563.04</v>
      </c>
      <c r="I809" s="6" t="n">
        <v>821297</v>
      </c>
      <c r="J809" s="6" t="n">
        <v>8834</v>
      </c>
      <c r="K809" s="6" t="n">
        <v>333</v>
      </c>
      <c r="L809" s="8" t="n">
        <v>199492.67</v>
      </c>
      <c r="M809" s="9" t="n">
        <v>0.010756157638467</v>
      </c>
      <c r="N809" s="8" t="n">
        <v>4.02570070183382</v>
      </c>
      <c r="O809" s="8" t="n">
        <v>106.795915915916</v>
      </c>
      <c r="P809" s="10" t="n">
        <v>5.60955053336273</v>
      </c>
      <c r="Q809" s="9" t="n">
        <v>0.0376952682816391</v>
      </c>
    </row>
    <row r="810" customFormat="false" ht="15" hidden="false" customHeight="false" outlineLevel="0" collapsed="false">
      <c r="A810" s="6" t="n">
        <v>1807</v>
      </c>
      <c r="B810" s="6" t="s">
        <v>76</v>
      </c>
      <c r="C810" s="6" t="s">
        <v>63</v>
      </c>
      <c r="D810" s="7" t="n">
        <v>45323</v>
      </c>
      <c r="E810" s="7" t="n">
        <v>45353</v>
      </c>
      <c r="F810" s="6" t="s">
        <v>56</v>
      </c>
      <c r="G810" s="6" t="s">
        <v>72</v>
      </c>
      <c r="H810" s="8" t="n">
        <v>38926.27</v>
      </c>
      <c r="I810" s="6" t="n">
        <v>1094102</v>
      </c>
      <c r="J810" s="6" t="n">
        <v>12161</v>
      </c>
      <c r="K810" s="6" t="n">
        <v>215</v>
      </c>
      <c r="L810" s="8" t="n">
        <v>164787.7</v>
      </c>
      <c r="M810" s="9" t="n">
        <v>0.0111150514303054</v>
      </c>
      <c r="N810" s="8" t="n">
        <v>3.20091028698298</v>
      </c>
      <c r="O810" s="8" t="n">
        <v>181.052418604651</v>
      </c>
      <c r="P810" s="10" t="n">
        <v>4.23332880340192</v>
      </c>
      <c r="Q810" s="9" t="n">
        <v>0.0176794671490831</v>
      </c>
    </row>
    <row r="811" customFormat="false" ht="15" hidden="false" customHeight="false" outlineLevel="0" collapsed="false">
      <c r="A811" s="6" t="n">
        <v>1059</v>
      </c>
      <c r="B811" s="6" t="s">
        <v>77</v>
      </c>
      <c r="C811" s="6" t="s">
        <v>71</v>
      </c>
      <c r="D811" s="7" t="n">
        <v>45521</v>
      </c>
      <c r="E811" s="7" t="n">
        <v>45550</v>
      </c>
      <c r="F811" s="6" t="s">
        <v>51</v>
      </c>
      <c r="G811" s="6" t="s">
        <v>57</v>
      </c>
      <c r="H811" s="8" t="n">
        <v>34688.37</v>
      </c>
      <c r="I811" s="6" t="n">
        <v>614898</v>
      </c>
      <c r="J811" s="6" t="n">
        <v>12368</v>
      </c>
      <c r="K811" s="6" t="n">
        <v>942</v>
      </c>
      <c r="L811" s="8" t="n">
        <v>388932.3</v>
      </c>
      <c r="M811" s="9" t="n">
        <v>0.0201139050704344</v>
      </c>
      <c r="N811" s="8" t="n">
        <v>2.80468709573092</v>
      </c>
      <c r="O811" s="8" t="n">
        <v>36.8241719745223</v>
      </c>
      <c r="P811" s="10" t="n">
        <v>11.2121814890697</v>
      </c>
      <c r="Q811" s="9" t="n">
        <v>0.0761642949547219</v>
      </c>
    </row>
    <row r="812" customFormat="false" ht="15" hidden="false" customHeight="false" outlineLevel="0" collapsed="false">
      <c r="A812" s="6" t="n">
        <v>1381</v>
      </c>
      <c r="B812" s="6" t="s">
        <v>66</v>
      </c>
      <c r="C812" s="6" t="s">
        <v>47</v>
      </c>
      <c r="D812" s="7" t="n">
        <v>45305</v>
      </c>
      <c r="E812" s="7" t="n">
        <v>45316</v>
      </c>
      <c r="F812" s="6" t="s">
        <v>65</v>
      </c>
      <c r="G812" s="6" t="s">
        <v>54</v>
      </c>
      <c r="H812" s="8" t="n">
        <v>5540.36</v>
      </c>
      <c r="I812" s="6" t="n">
        <v>173100</v>
      </c>
      <c r="J812" s="6" t="n">
        <v>3128</v>
      </c>
      <c r="K812" s="6" t="n">
        <v>168</v>
      </c>
      <c r="L812" s="8" t="n">
        <v>251246.81</v>
      </c>
      <c r="M812" s="9" t="n">
        <v>0.0180704794916233</v>
      </c>
      <c r="N812" s="8" t="n">
        <v>1.77121483375959</v>
      </c>
      <c r="O812" s="8" t="n">
        <v>32.9783333333333</v>
      </c>
      <c r="P812" s="10" t="n">
        <v>45.3484629157672</v>
      </c>
      <c r="Q812" s="9" t="n">
        <v>0.0537084398976982</v>
      </c>
    </row>
    <row r="813" customFormat="false" ht="15" hidden="false" customHeight="false" outlineLevel="0" collapsed="false">
      <c r="A813" s="6" t="n">
        <v>1664</v>
      </c>
      <c r="B813" s="6" t="s">
        <v>52</v>
      </c>
      <c r="C813" s="6" t="s">
        <v>50</v>
      </c>
      <c r="D813" s="7" t="n">
        <v>45615</v>
      </c>
      <c r="E813" s="7" t="n">
        <v>45621</v>
      </c>
      <c r="F813" s="6" t="s">
        <v>60</v>
      </c>
      <c r="G813" s="6" t="s">
        <v>57</v>
      </c>
      <c r="H813" s="8" t="n">
        <v>47625.9</v>
      </c>
      <c r="I813" s="6" t="n">
        <v>1206637</v>
      </c>
      <c r="J813" s="6" t="n">
        <v>29006</v>
      </c>
      <c r="K813" s="6" t="n">
        <v>1986</v>
      </c>
      <c r="L813" s="8" t="n">
        <v>1379977.12</v>
      </c>
      <c r="M813" s="9" t="n">
        <v>0.0240387125539827</v>
      </c>
      <c r="N813" s="8" t="n">
        <v>1.64193270357857</v>
      </c>
      <c r="O813" s="8" t="n">
        <v>23.9808157099698</v>
      </c>
      <c r="P813" s="10" t="n">
        <v>28.9753499671397</v>
      </c>
      <c r="Q813" s="9" t="n">
        <v>0.0684685927049576</v>
      </c>
    </row>
    <row r="814" customFormat="false" ht="15" hidden="false" customHeight="false" outlineLevel="0" collapsed="false">
      <c r="A814" s="6" t="n">
        <v>1552</v>
      </c>
      <c r="B814" s="6" t="s">
        <v>79</v>
      </c>
      <c r="C814" s="6" t="s">
        <v>59</v>
      </c>
      <c r="D814" s="7" t="n">
        <v>45445</v>
      </c>
      <c r="E814" s="7" t="n">
        <v>45462</v>
      </c>
      <c r="F814" s="6" t="s">
        <v>53</v>
      </c>
      <c r="G814" s="6" t="s">
        <v>57</v>
      </c>
      <c r="H814" s="8" t="n">
        <v>88702.22</v>
      </c>
      <c r="I814" s="6" t="n">
        <v>3149529</v>
      </c>
      <c r="J814" s="6" t="n">
        <v>95278</v>
      </c>
      <c r="K814" s="6" t="n">
        <v>4599</v>
      </c>
      <c r="L814" s="8" t="n">
        <v>7089107.23</v>
      </c>
      <c r="M814" s="9" t="n">
        <v>0.0302515074476215</v>
      </c>
      <c r="N814" s="8" t="n">
        <v>0.930983228027457</v>
      </c>
      <c r="O814" s="8" t="n">
        <v>19.2872841922157</v>
      </c>
      <c r="P814" s="10" t="n">
        <v>79.9202909464949</v>
      </c>
      <c r="Q814" s="9" t="n">
        <v>0.0482692751737022</v>
      </c>
    </row>
    <row r="815" customFormat="false" ht="15" hidden="false" customHeight="false" outlineLevel="0" collapsed="false">
      <c r="A815" s="6" t="n">
        <v>1803</v>
      </c>
      <c r="B815" s="6" t="s">
        <v>76</v>
      </c>
      <c r="C815" s="6" t="s">
        <v>71</v>
      </c>
      <c r="D815" s="7" t="n">
        <v>45294</v>
      </c>
      <c r="E815" s="7" t="n">
        <v>45320</v>
      </c>
      <c r="F815" s="6" t="s">
        <v>60</v>
      </c>
      <c r="G815" s="6" t="s">
        <v>61</v>
      </c>
      <c r="H815" s="8" t="n">
        <v>53503.78</v>
      </c>
      <c r="I815" s="6" t="n">
        <v>1573935</v>
      </c>
      <c r="J815" s="6" t="n">
        <v>42331</v>
      </c>
      <c r="K815" s="6" t="n">
        <v>2917</v>
      </c>
      <c r="L815" s="8" t="n">
        <v>3104698.95</v>
      </c>
      <c r="M815" s="9" t="n">
        <v>0.0268950115474908</v>
      </c>
      <c r="N815" s="8" t="n">
        <v>1.26393848479837</v>
      </c>
      <c r="O815" s="8" t="n">
        <v>18.342056907782</v>
      </c>
      <c r="P815" s="10" t="n">
        <v>58.0276561768159</v>
      </c>
      <c r="Q815" s="9" t="n">
        <v>0.0689093099619664</v>
      </c>
    </row>
    <row r="816" customFormat="false" ht="15" hidden="false" customHeight="false" outlineLevel="0" collapsed="false">
      <c r="A816" s="6" t="n">
        <v>1450</v>
      </c>
      <c r="B816" s="6" t="s">
        <v>55</v>
      </c>
      <c r="C816" s="6" t="s">
        <v>63</v>
      </c>
      <c r="D816" s="7" t="n">
        <v>45560</v>
      </c>
      <c r="E816" s="7" t="n">
        <v>45578</v>
      </c>
      <c r="F816" s="6" t="s">
        <v>60</v>
      </c>
      <c r="G816" s="6" t="s">
        <v>49</v>
      </c>
      <c r="H816" s="8" t="n">
        <v>18686.97</v>
      </c>
      <c r="I816" s="6" t="n">
        <v>481633</v>
      </c>
      <c r="J816" s="6" t="n">
        <v>4956</v>
      </c>
      <c r="K816" s="6" t="n">
        <v>114</v>
      </c>
      <c r="L816" s="8" t="n">
        <v>62105.09</v>
      </c>
      <c r="M816" s="9" t="n">
        <v>0.0102899925877172</v>
      </c>
      <c r="N816" s="8" t="n">
        <v>3.77057506053269</v>
      </c>
      <c r="O816" s="8" t="n">
        <v>163.920789473684</v>
      </c>
      <c r="P816" s="10" t="n">
        <v>3.32344355451954</v>
      </c>
      <c r="Q816" s="9" t="n">
        <v>0.0230024213075061</v>
      </c>
    </row>
    <row r="817" customFormat="false" ht="15" hidden="false" customHeight="false" outlineLevel="0" collapsed="false">
      <c r="A817" s="6" t="n">
        <v>1101</v>
      </c>
      <c r="B817" s="6" t="s">
        <v>66</v>
      </c>
      <c r="C817" s="6" t="s">
        <v>50</v>
      </c>
      <c r="D817" s="7" t="n">
        <v>45440</v>
      </c>
      <c r="E817" s="7" t="n">
        <v>45446</v>
      </c>
      <c r="F817" s="6" t="s">
        <v>56</v>
      </c>
      <c r="G817" s="6" t="s">
        <v>49</v>
      </c>
      <c r="H817" s="8" t="n">
        <v>76871.96</v>
      </c>
      <c r="I817" s="6" t="n">
        <v>1304958</v>
      </c>
      <c r="J817" s="6" t="n">
        <v>42698</v>
      </c>
      <c r="K817" s="6" t="n">
        <v>2387</v>
      </c>
      <c r="L817" s="8" t="n">
        <v>3422100.65</v>
      </c>
      <c r="M817" s="9" t="n">
        <v>0.0327198269982636</v>
      </c>
      <c r="N817" s="8" t="n">
        <v>1.80036441987915</v>
      </c>
      <c r="O817" s="8" t="n">
        <v>32.2044239631336</v>
      </c>
      <c r="P817" s="10" t="n">
        <v>44.5168908142839</v>
      </c>
      <c r="Q817" s="9" t="n">
        <v>0.0559042578106703</v>
      </c>
    </row>
    <row r="818" customFormat="false" ht="15" hidden="false" customHeight="false" outlineLevel="0" collapsed="false">
      <c r="A818" s="6" t="n">
        <v>1493</v>
      </c>
      <c r="B818" s="6" t="s">
        <v>78</v>
      </c>
      <c r="C818" s="6" t="s">
        <v>63</v>
      </c>
      <c r="D818" s="7" t="n">
        <v>45335</v>
      </c>
      <c r="E818" s="7" t="n">
        <v>45346</v>
      </c>
      <c r="F818" s="6" t="s">
        <v>48</v>
      </c>
      <c r="G818" s="6" t="s">
        <v>54</v>
      </c>
      <c r="H818" s="8" t="n">
        <v>27138.72</v>
      </c>
      <c r="I818" s="6" t="n">
        <v>788957</v>
      </c>
      <c r="J818" s="6" t="n">
        <v>14461</v>
      </c>
      <c r="K818" s="6" t="n">
        <v>309</v>
      </c>
      <c r="L818" s="8" t="n">
        <v>256793.42</v>
      </c>
      <c r="M818" s="9" t="n">
        <v>0.0183292625580355</v>
      </c>
      <c r="N818" s="8" t="n">
        <v>1.87668349353433</v>
      </c>
      <c r="O818" s="8" t="n">
        <v>87.827572815534</v>
      </c>
      <c r="P818" s="10" t="n">
        <v>9.46225245700608</v>
      </c>
      <c r="Q818" s="9" t="n">
        <v>0.021367816886799</v>
      </c>
    </row>
    <row r="819" customFormat="false" ht="15" hidden="false" customHeight="false" outlineLevel="0" collapsed="false">
      <c r="A819" s="6" t="n">
        <v>1195</v>
      </c>
      <c r="B819" s="6" t="s">
        <v>73</v>
      </c>
      <c r="C819" s="6" t="s">
        <v>59</v>
      </c>
      <c r="D819" s="7" t="n">
        <v>45525</v>
      </c>
      <c r="E819" s="7" t="n">
        <v>45538</v>
      </c>
      <c r="F819" s="6" t="s">
        <v>60</v>
      </c>
      <c r="G819" s="6" t="s">
        <v>72</v>
      </c>
      <c r="H819" s="8" t="n">
        <v>66742.68</v>
      </c>
      <c r="I819" s="6" t="n">
        <v>1799124</v>
      </c>
      <c r="J819" s="6" t="n">
        <v>31758</v>
      </c>
      <c r="K819" s="6" t="n">
        <v>2287</v>
      </c>
      <c r="L819" s="8" t="n">
        <v>1353513.28</v>
      </c>
      <c r="M819" s="9" t="n">
        <v>0.0176519239363157</v>
      </c>
      <c r="N819" s="8" t="n">
        <v>2.10160211600227</v>
      </c>
      <c r="O819" s="8" t="n">
        <v>29.1835067774377</v>
      </c>
      <c r="P819" s="10" t="n">
        <v>20.279576426958</v>
      </c>
      <c r="Q819" s="9" t="n">
        <v>0.0720133509666856</v>
      </c>
    </row>
    <row r="820" customFormat="false" ht="15" hidden="false" customHeight="false" outlineLevel="0" collapsed="false">
      <c r="A820" s="6" t="n">
        <v>1705</v>
      </c>
      <c r="B820" s="6" t="s">
        <v>46</v>
      </c>
      <c r="C820" s="6" t="s">
        <v>59</v>
      </c>
      <c r="D820" s="7" t="n">
        <v>45489</v>
      </c>
      <c r="E820" s="7" t="n">
        <v>45512</v>
      </c>
      <c r="F820" s="6" t="s">
        <v>65</v>
      </c>
      <c r="G820" s="6" t="s">
        <v>75</v>
      </c>
      <c r="H820" s="8" t="n">
        <v>27925.56</v>
      </c>
      <c r="I820" s="6" t="n">
        <v>1105595</v>
      </c>
      <c r="J820" s="6" t="n">
        <v>28103</v>
      </c>
      <c r="K820" s="6" t="n">
        <v>1794</v>
      </c>
      <c r="L820" s="8" t="n">
        <v>2295952.78</v>
      </c>
      <c r="M820" s="9" t="n">
        <v>0.0254188920897797</v>
      </c>
      <c r="N820" s="8" t="n">
        <v>0.993686083336299</v>
      </c>
      <c r="O820" s="8" t="n">
        <v>15.5660869565217</v>
      </c>
      <c r="P820" s="10" t="n">
        <v>82.2168930542485</v>
      </c>
      <c r="Q820" s="9" t="n">
        <v>0.0638366010746184</v>
      </c>
    </row>
    <row r="821" customFormat="false" ht="15" hidden="false" customHeight="false" outlineLevel="0" collapsed="false">
      <c r="A821" s="6" t="n">
        <v>1085</v>
      </c>
      <c r="B821" s="6" t="s">
        <v>77</v>
      </c>
      <c r="C821" s="6" t="s">
        <v>59</v>
      </c>
      <c r="D821" s="7" t="n">
        <v>45478</v>
      </c>
      <c r="E821" s="7" t="n">
        <v>45499</v>
      </c>
      <c r="F821" s="6" t="s">
        <v>60</v>
      </c>
      <c r="G821" s="6" t="s">
        <v>54</v>
      </c>
      <c r="H821" s="8" t="n">
        <v>65955.8</v>
      </c>
      <c r="I821" s="6" t="n">
        <v>2560386</v>
      </c>
      <c r="J821" s="6" t="n">
        <v>23769</v>
      </c>
      <c r="K821" s="6" t="n">
        <v>1248</v>
      </c>
      <c r="L821" s="8" t="n">
        <v>1074726.4</v>
      </c>
      <c r="M821" s="9" t="n">
        <v>0.00928336586749029</v>
      </c>
      <c r="N821" s="8" t="n">
        <v>2.77486642265135</v>
      </c>
      <c r="O821" s="8" t="n">
        <v>52.8491987179487</v>
      </c>
      <c r="P821" s="10" t="n">
        <v>16.2946458082534</v>
      </c>
      <c r="Q821" s="9" t="n">
        <v>0.0525053641297488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8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8"/>
    <col collapsed="false" customWidth="true" hidden="false" outlineLevel="0" max="8" min="7" style="1" width="13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2" min="11" style="1" width="14"/>
  </cols>
  <sheetData>
    <row r="1" customFormat="false" ht="1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</row>
    <row r="2" customFormat="false" ht="15" hidden="false" customHeight="true" outlineLevel="0" collapsed="false">
      <c r="A2" s="11" t="n">
        <v>1179</v>
      </c>
      <c r="B2" s="11" t="s">
        <v>80</v>
      </c>
      <c r="C2" s="11" t="s">
        <v>81</v>
      </c>
      <c r="D2" s="11" t="s">
        <v>82</v>
      </c>
      <c r="E2" s="11" t="s">
        <v>83</v>
      </c>
      <c r="F2" s="11" t="s">
        <v>48</v>
      </c>
      <c r="G2" s="11" t="s">
        <v>84</v>
      </c>
      <c r="H2" s="11" t="n">
        <v>1459.32</v>
      </c>
      <c r="I2" s="11" t="n">
        <v>47777</v>
      </c>
      <c r="J2" s="11" t="n">
        <v>817</v>
      </c>
      <c r="K2" s="11" t="n">
        <v>52</v>
      </c>
      <c r="L2" s="11" t="n">
        <v>57731.18</v>
      </c>
    </row>
    <row r="3" customFormat="false" ht="15" hidden="false" customHeight="true" outlineLevel="0" collapsed="false">
      <c r="A3" s="11" t="n">
        <v>1665</v>
      </c>
      <c r="B3" s="11" t="s">
        <v>46</v>
      </c>
      <c r="C3" s="11" t="s">
        <v>85</v>
      </c>
      <c r="D3" s="11" t="s">
        <v>86</v>
      </c>
      <c r="E3" s="11" t="s">
        <v>87</v>
      </c>
      <c r="F3" s="11" t="s">
        <v>51</v>
      </c>
      <c r="G3" s="11" t="s">
        <v>84</v>
      </c>
      <c r="H3" s="11" t="n">
        <v>40790.41</v>
      </c>
      <c r="I3" s="11" t="n">
        <v>1371537</v>
      </c>
      <c r="J3" s="11" t="n">
        <v>33827</v>
      </c>
      <c r="K3" s="11" t="n">
        <v>1556</v>
      </c>
      <c r="L3" s="11" t="n">
        <v>1305729.84</v>
      </c>
    </row>
    <row r="4" customFormat="false" ht="15" hidden="false" customHeight="true" outlineLevel="0" collapsed="false">
      <c r="A4" s="11" t="n">
        <v>1798</v>
      </c>
      <c r="B4" s="11" t="s">
        <v>88</v>
      </c>
      <c r="C4" s="11" t="s">
        <v>47</v>
      </c>
      <c r="D4" s="11" t="s">
        <v>89</v>
      </c>
      <c r="E4" s="11" t="s">
        <v>90</v>
      </c>
      <c r="F4" s="11" t="s">
        <v>53</v>
      </c>
      <c r="G4" s="11" t="s">
        <v>91</v>
      </c>
      <c r="H4" s="11" t="n">
        <v>4460.42</v>
      </c>
      <c r="I4" s="11" t="n">
        <v>177985</v>
      </c>
      <c r="J4" s="11" t="n">
        <v>4765</v>
      </c>
      <c r="K4" s="11" t="n">
        <v>161</v>
      </c>
      <c r="L4" s="11"/>
    </row>
    <row r="5" customFormat="false" ht="15" hidden="false" customHeight="true" outlineLevel="0" collapsed="false">
      <c r="A5" s="11" t="n">
        <v>1396</v>
      </c>
      <c r="B5" s="11" t="s">
        <v>55</v>
      </c>
      <c r="C5" s="11" t="s">
        <v>92</v>
      </c>
      <c r="D5" s="11" t="s">
        <v>93</v>
      </c>
      <c r="E5" s="11" t="s">
        <v>94</v>
      </c>
      <c r="F5" s="11" t="s">
        <v>56</v>
      </c>
      <c r="G5" s="11" t="s">
        <v>95</v>
      </c>
      <c r="H5" s="11" t="n">
        <v>1905.7</v>
      </c>
      <c r="I5" s="11" t="n">
        <v>62150</v>
      </c>
      <c r="J5" s="11" t="n">
        <v>1920</v>
      </c>
      <c r="K5" s="11" t="n">
        <v>35</v>
      </c>
      <c r="L5" s="11" t="n">
        <v>23041.61</v>
      </c>
    </row>
    <row r="6" customFormat="false" ht="15" hidden="false" customHeight="true" outlineLevel="0" collapsed="false">
      <c r="A6" s="11" t="n">
        <v>1160</v>
      </c>
      <c r="B6" s="11" t="s">
        <v>46</v>
      </c>
      <c r="C6" s="11" t="s">
        <v>96</v>
      </c>
      <c r="D6" s="11" t="s">
        <v>97</v>
      </c>
      <c r="E6" s="11" t="s">
        <v>98</v>
      </c>
      <c r="F6" s="11" t="s">
        <v>53</v>
      </c>
      <c r="G6" s="11" t="s">
        <v>99</v>
      </c>
      <c r="H6" s="11" t="n">
        <v>7317.47</v>
      </c>
      <c r="I6" s="11" t="n">
        <v>190881</v>
      </c>
      <c r="J6" s="11" t="n">
        <v>1691</v>
      </c>
      <c r="K6" s="11" t="n">
        <v>124</v>
      </c>
      <c r="L6" s="11" t="n">
        <v>192518.24</v>
      </c>
    </row>
    <row r="7" customFormat="false" ht="15" hidden="false" customHeight="true" outlineLevel="0" collapsed="false">
      <c r="A7" s="11" t="n">
        <v>1429</v>
      </c>
      <c r="B7" s="11" t="s">
        <v>58</v>
      </c>
      <c r="C7" s="11" t="s">
        <v>100</v>
      </c>
      <c r="D7" s="11" t="s">
        <v>101</v>
      </c>
      <c r="E7" s="11" t="s">
        <v>102</v>
      </c>
      <c r="F7" s="11" t="s">
        <v>60</v>
      </c>
      <c r="G7" s="11" t="s">
        <v>103</v>
      </c>
      <c r="H7" s="11" t="n">
        <v>39663.1</v>
      </c>
      <c r="I7" s="11" t="n">
        <v>1548782</v>
      </c>
      <c r="J7" s="11" t="n">
        <v>37434</v>
      </c>
      <c r="K7" s="11" t="n">
        <v>1172</v>
      </c>
      <c r="L7" s="11" t="n">
        <v>701517.37</v>
      </c>
    </row>
    <row r="8" customFormat="false" ht="15" hidden="false" customHeight="true" outlineLevel="0" collapsed="false">
      <c r="A8" s="11" t="n">
        <v>1077</v>
      </c>
      <c r="B8" s="11" t="s">
        <v>104</v>
      </c>
      <c r="C8" s="11" t="s">
        <v>105</v>
      </c>
      <c r="D8" s="11" t="s">
        <v>106</v>
      </c>
      <c r="E8" s="11" t="s">
        <v>107</v>
      </c>
      <c r="F8" s="11" t="s">
        <v>53</v>
      </c>
      <c r="G8" s="11" t="s">
        <v>108</v>
      </c>
      <c r="H8" s="11" t="n">
        <v>9690.51</v>
      </c>
      <c r="I8" s="11" t="n">
        <v>184195</v>
      </c>
      <c r="J8" s="11" t="n">
        <v>3403</v>
      </c>
      <c r="K8" s="11" t="n">
        <v>156</v>
      </c>
      <c r="L8" s="11" t="n">
        <v>242582.77</v>
      </c>
    </row>
    <row r="9" customFormat="false" ht="15" hidden="false" customHeight="true" outlineLevel="0" collapsed="false">
      <c r="A9" s="11" t="n">
        <v>1595</v>
      </c>
      <c r="B9" s="11" t="s">
        <v>109</v>
      </c>
      <c r="C9" s="11" t="s">
        <v>96</v>
      </c>
      <c r="D9" s="11" t="s">
        <v>110</v>
      </c>
      <c r="E9" s="11" t="s">
        <v>111</v>
      </c>
      <c r="F9" s="11" t="s">
        <v>65</v>
      </c>
      <c r="G9" s="11" t="s">
        <v>112</v>
      </c>
      <c r="H9" s="11" t="n">
        <v>6092.9</v>
      </c>
      <c r="I9" s="11" t="n">
        <v>236321</v>
      </c>
      <c r="J9" s="11" t="n">
        <v>6588</v>
      </c>
      <c r="K9" s="11" t="n">
        <v>395</v>
      </c>
      <c r="L9" s="11" t="n">
        <v>397287.84</v>
      </c>
    </row>
    <row r="10" customFormat="false" ht="15" hidden="false" customHeight="true" outlineLevel="0" collapsed="false">
      <c r="A10" s="11" t="n">
        <v>1784</v>
      </c>
      <c r="B10" s="11" t="s">
        <v>66</v>
      </c>
      <c r="C10" s="11" t="s">
        <v>92</v>
      </c>
      <c r="D10" s="11" t="s">
        <v>113</v>
      </c>
      <c r="E10" s="11" t="s">
        <v>114</v>
      </c>
      <c r="F10" s="11" t="s">
        <v>67</v>
      </c>
      <c r="G10" s="11" t="s">
        <v>57</v>
      </c>
      <c r="H10" s="11" t="n">
        <v>5243.17</v>
      </c>
      <c r="I10" s="11" t="n">
        <v>112725</v>
      </c>
      <c r="J10" s="11" t="n">
        <v>2739</v>
      </c>
      <c r="K10" s="11" t="n">
        <v>161</v>
      </c>
      <c r="L10" s="11" t="n">
        <v>78789.26</v>
      </c>
    </row>
    <row r="11" customFormat="false" ht="15" hidden="false" customHeight="true" outlineLevel="0" collapsed="false">
      <c r="A11" s="11" t="n">
        <v>1326</v>
      </c>
      <c r="B11" s="11" t="s">
        <v>68</v>
      </c>
      <c r="C11" s="11" t="s">
        <v>115</v>
      </c>
      <c r="D11" s="11" t="s">
        <v>116</v>
      </c>
      <c r="E11" s="11" t="s">
        <v>117</v>
      </c>
      <c r="F11" s="11" t="s">
        <v>69</v>
      </c>
      <c r="G11" s="11" t="s">
        <v>91</v>
      </c>
      <c r="H11" s="11" t="n">
        <v>72158.45</v>
      </c>
      <c r="I11" s="11" t="n">
        <v>1282556</v>
      </c>
      <c r="J11" s="11" t="n">
        <v>20479</v>
      </c>
      <c r="K11" s="11" t="n">
        <v>1092</v>
      </c>
      <c r="L11" s="11" t="n">
        <v>961045.35</v>
      </c>
    </row>
    <row r="12" customFormat="false" ht="15" hidden="false" customHeight="true" outlineLevel="0" collapsed="false">
      <c r="A12" s="11" t="n">
        <v>1457</v>
      </c>
      <c r="B12" s="11" t="s">
        <v>70</v>
      </c>
      <c r="C12" s="11" t="s">
        <v>118</v>
      </c>
      <c r="D12" s="11" t="s">
        <v>119</v>
      </c>
      <c r="E12" s="11" t="s">
        <v>120</v>
      </c>
      <c r="F12" s="11" t="s">
        <v>51</v>
      </c>
      <c r="G12" s="11" t="s">
        <v>49</v>
      </c>
      <c r="H12" s="11" t="n">
        <v>33296.08</v>
      </c>
      <c r="I12" s="11" t="n">
        <v>685737</v>
      </c>
      <c r="J12" s="11" t="n">
        <v>15277</v>
      </c>
      <c r="K12" s="11" t="n">
        <v>1140</v>
      </c>
      <c r="L12" s="11" t="n">
        <v>505894.6</v>
      </c>
    </row>
    <row r="13" customFormat="false" ht="15" hidden="false" customHeight="true" outlineLevel="0" collapsed="false">
      <c r="A13" s="11" t="n">
        <v>1084</v>
      </c>
      <c r="B13" s="11" t="s">
        <v>66</v>
      </c>
      <c r="C13" s="11" t="s">
        <v>121</v>
      </c>
      <c r="D13" s="11" t="s">
        <v>122</v>
      </c>
      <c r="E13" s="11" t="s">
        <v>123</v>
      </c>
      <c r="F13" s="11" t="s">
        <v>53</v>
      </c>
      <c r="G13" s="11" t="s">
        <v>61</v>
      </c>
      <c r="H13" s="11" t="n">
        <v>23373.28</v>
      </c>
      <c r="I13" s="11" t="n">
        <v>611162</v>
      </c>
      <c r="J13" s="11" t="n">
        <v>16214</v>
      </c>
      <c r="K13" s="11" t="n">
        <v>351</v>
      </c>
      <c r="L13" s="11" t="n">
        <v>348777.17</v>
      </c>
    </row>
    <row r="14" customFormat="false" ht="15" hidden="false" customHeight="true" outlineLevel="0" collapsed="false">
      <c r="A14" s="11" t="n">
        <v>1404</v>
      </c>
      <c r="B14" s="11" t="s">
        <v>70</v>
      </c>
      <c r="C14" s="11" t="s">
        <v>124</v>
      </c>
      <c r="D14" s="11" t="s">
        <v>125</v>
      </c>
      <c r="E14" s="11" t="s">
        <v>126</v>
      </c>
      <c r="F14" s="11" t="s">
        <v>53</v>
      </c>
      <c r="G14" s="11" t="s">
        <v>72</v>
      </c>
      <c r="H14" s="11" t="n">
        <v>48709.84</v>
      </c>
      <c r="I14" s="11" t="n">
        <v>904014</v>
      </c>
      <c r="J14" s="11" t="n">
        <v>19177</v>
      </c>
      <c r="K14" s="11" t="n">
        <v>417</v>
      </c>
      <c r="L14" s="11" t="n">
        <v>294186.89</v>
      </c>
    </row>
    <row r="15" customFormat="false" ht="15" hidden="false" customHeight="true" outlineLevel="0" collapsed="false">
      <c r="A15" s="11" t="n">
        <v>1345</v>
      </c>
      <c r="B15" s="11" t="s">
        <v>73</v>
      </c>
      <c r="C15" s="11" t="s">
        <v>124</v>
      </c>
      <c r="D15" s="11" t="s">
        <v>127</v>
      </c>
      <c r="E15" s="11" t="s">
        <v>128</v>
      </c>
      <c r="F15" s="11" t="s">
        <v>53</v>
      </c>
      <c r="G15" s="11" t="s">
        <v>72</v>
      </c>
      <c r="H15" s="11" t="n">
        <v>30052.78</v>
      </c>
      <c r="I15" s="11" t="n">
        <v>837158</v>
      </c>
      <c r="J15" s="11" t="n">
        <v>14422</v>
      </c>
      <c r="K15" s="11" t="n">
        <v>912</v>
      </c>
      <c r="L15" s="11" t="n">
        <v>734804.23</v>
      </c>
    </row>
    <row r="16" customFormat="false" ht="15" hidden="false" customHeight="true" outlineLevel="0" collapsed="false">
      <c r="A16" s="11" t="n">
        <v>1741</v>
      </c>
      <c r="B16" s="11" t="s">
        <v>52</v>
      </c>
      <c r="C16" s="11" t="s">
        <v>85</v>
      </c>
      <c r="D16" s="11" t="s">
        <v>129</v>
      </c>
      <c r="E16" s="11" t="s">
        <v>130</v>
      </c>
      <c r="F16" s="11" t="s">
        <v>56</v>
      </c>
      <c r="G16" s="11" t="s">
        <v>131</v>
      </c>
      <c r="H16" s="11" t="n">
        <v>74280.91</v>
      </c>
      <c r="I16" s="11" t="n">
        <v>2939136</v>
      </c>
      <c r="J16" s="11" t="n">
        <v>27485</v>
      </c>
      <c r="K16" s="11" t="n">
        <v>932</v>
      </c>
      <c r="L16" s="11" t="n">
        <v>1181227.33</v>
      </c>
    </row>
    <row r="17" customFormat="false" ht="15" hidden="false" customHeight="true" outlineLevel="0" collapsed="false">
      <c r="A17" s="11" t="n">
        <v>1625</v>
      </c>
      <c r="B17" s="11" t="s">
        <v>109</v>
      </c>
      <c r="C17" s="11" t="s">
        <v>118</v>
      </c>
      <c r="D17" s="11" t="s">
        <v>132</v>
      </c>
      <c r="E17" s="11" t="s">
        <v>133</v>
      </c>
      <c r="F17" s="11" t="s">
        <v>60</v>
      </c>
      <c r="G17" s="11" t="s">
        <v>72</v>
      </c>
      <c r="H17" s="11" t="n">
        <v>49962.66</v>
      </c>
      <c r="I17" s="11" t="n">
        <v>1992159</v>
      </c>
      <c r="J17" s="11" t="n">
        <v>46750</v>
      </c>
      <c r="K17" s="11" t="n">
        <v>2231</v>
      </c>
      <c r="L17" s="11" t="n">
        <v>3348505.73</v>
      </c>
    </row>
    <row r="18" customFormat="false" ht="15" hidden="false" customHeight="true" outlineLevel="0" collapsed="false">
      <c r="A18" s="11" t="n">
        <v>1819</v>
      </c>
      <c r="B18" s="11" t="s">
        <v>62</v>
      </c>
      <c r="C18" s="11" t="s">
        <v>134</v>
      </c>
      <c r="D18" s="11" t="s">
        <v>135</v>
      </c>
      <c r="E18" s="11" t="s">
        <v>136</v>
      </c>
      <c r="F18" s="11" t="s">
        <v>53</v>
      </c>
      <c r="G18" s="11" t="s">
        <v>137</v>
      </c>
      <c r="H18" s="11" t="n">
        <v>12345.53</v>
      </c>
      <c r="I18" s="11" t="n">
        <v>347241</v>
      </c>
      <c r="J18" s="11" t="n">
        <v>2710</v>
      </c>
      <c r="K18" s="11" t="n">
        <v>76</v>
      </c>
      <c r="L18" s="11" t="n">
        <v>87089.6</v>
      </c>
    </row>
    <row r="19" customFormat="false" ht="15" hidden="false" customHeight="true" outlineLevel="0" collapsed="false">
      <c r="A19" s="11" t="n">
        <v>1794</v>
      </c>
      <c r="B19" s="11" t="s">
        <v>66</v>
      </c>
      <c r="C19" s="11" t="s">
        <v>138</v>
      </c>
      <c r="D19" s="11" t="s">
        <v>139</v>
      </c>
      <c r="E19" s="11" t="s">
        <v>140</v>
      </c>
      <c r="F19" s="11" t="s">
        <v>53</v>
      </c>
      <c r="G19" s="11" t="s">
        <v>99</v>
      </c>
      <c r="H19" s="11" t="n">
        <v>47957.76</v>
      </c>
      <c r="I19" s="11" t="n">
        <v>798475</v>
      </c>
      <c r="J19" s="11" t="n">
        <v>22445</v>
      </c>
      <c r="K19" s="11" t="n">
        <v>1416</v>
      </c>
      <c r="L19" s="11" t="n">
        <v>1050068.93</v>
      </c>
    </row>
    <row r="20" customFormat="false" ht="15" hidden="false" customHeight="true" outlineLevel="0" collapsed="false">
      <c r="A20" s="11" t="n">
        <v>1240</v>
      </c>
      <c r="B20" s="11" t="s">
        <v>62</v>
      </c>
      <c r="C20" s="11" t="s">
        <v>141</v>
      </c>
      <c r="D20" s="11" t="s">
        <v>142</v>
      </c>
      <c r="E20" s="11" t="s">
        <v>143</v>
      </c>
      <c r="F20" s="11" t="s">
        <v>51</v>
      </c>
      <c r="G20" s="11" t="s">
        <v>49</v>
      </c>
      <c r="H20" s="11" t="n">
        <v>4737.88</v>
      </c>
      <c r="I20" s="11" t="n">
        <v>108465</v>
      </c>
      <c r="J20" s="11" t="n">
        <v>2125</v>
      </c>
      <c r="K20" s="11" t="n">
        <v>58</v>
      </c>
      <c r="L20" s="11" t="n">
        <v>92500.02</v>
      </c>
    </row>
    <row r="21" customFormat="false" ht="15" hidden="false" customHeight="true" outlineLevel="0" collapsed="false">
      <c r="A21" s="11" t="n">
        <v>1612</v>
      </c>
      <c r="B21" s="11" t="s">
        <v>144</v>
      </c>
      <c r="C21" s="11" t="s">
        <v>63</v>
      </c>
      <c r="D21" s="11" t="s">
        <v>145</v>
      </c>
      <c r="E21" s="11" t="s">
        <v>146</v>
      </c>
      <c r="F21" s="11" t="s">
        <v>60</v>
      </c>
      <c r="G21" s="11" t="s">
        <v>147</v>
      </c>
      <c r="H21" s="11" t="n">
        <v>41035.94</v>
      </c>
      <c r="I21" s="11" t="n">
        <v>828358</v>
      </c>
      <c r="J21" s="11" t="n">
        <v>21528</v>
      </c>
      <c r="K21" s="11" t="n">
        <v>974</v>
      </c>
      <c r="L21" s="11" t="n">
        <v>1512908.01</v>
      </c>
    </row>
    <row r="22" customFormat="false" ht="15" hidden="false" customHeight="true" outlineLevel="0" collapsed="false">
      <c r="A22" s="11" t="n">
        <v>1226</v>
      </c>
      <c r="B22" s="11" t="s">
        <v>148</v>
      </c>
      <c r="C22" s="11" t="s">
        <v>149</v>
      </c>
      <c r="D22" s="11" t="s">
        <v>150</v>
      </c>
      <c r="E22" s="11" t="s">
        <v>151</v>
      </c>
      <c r="F22" s="11" t="s">
        <v>56</v>
      </c>
      <c r="G22" s="11" t="s">
        <v>99</v>
      </c>
      <c r="H22" s="11" t="n">
        <v>26938.24</v>
      </c>
      <c r="I22" s="11" t="n">
        <v>818079</v>
      </c>
      <c r="J22" s="11" t="n">
        <v>5048</v>
      </c>
      <c r="K22" s="11" t="n">
        <v>327</v>
      </c>
      <c r="L22" s="11" t="n">
        <v>353103.54</v>
      </c>
    </row>
    <row r="23" customFormat="false" ht="15" hidden="false" customHeight="true" outlineLevel="0" collapsed="false">
      <c r="A23" s="11" t="n">
        <v>1272</v>
      </c>
      <c r="B23" s="11" t="s">
        <v>152</v>
      </c>
      <c r="C23" s="11" t="s">
        <v>105</v>
      </c>
      <c r="D23" s="11" t="s">
        <v>153</v>
      </c>
      <c r="E23" s="11" t="s">
        <v>154</v>
      </c>
      <c r="F23" s="11" t="s">
        <v>56</v>
      </c>
      <c r="G23" s="11" t="s">
        <v>57</v>
      </c>
      <c r="H23" s="11" t="n">
        <v>44725.8</v>
      </c>
      <c r="I23" s="11" t="n">
        <v>1133843</v>
      </c>
      <c r="J23" s="11" t="n">
        <v>19658</v>
      </c>
      <c r="K23" s="11" t="n">
        <v>806</v>
      </c>
      <c r="L23" s="11" t="n">
        <v>1373395.27</v>
      </c>
    </row>
    <row r="24" customFormat="false" ht="15" hidden="false" customHeight="true" outlineLevel="0" collapsed="false">
      <c r="A24" s="11" t="n">
        <v>1205</v>
      </c>
      <c r="B24" s="11" t="s">
        <v>73</v>
      </c>
      <c r="C24" s="11" t="s">
        <v>155</v>
      </c>
      <c r="D24" s="11" t="s">
        <v>156</v>
      </c>
      <c r="E24" s="11" t="s">
        <v>157</v>
      </c>
      <c r="F24" s="11" t="s">
        <v>56</v>
      </c>
      <c r="G24" s="11"/>
      <c r="H24" s="11" t="n">
        <v>29992.68</v>
      </c>
      <c r="I24" s="11" t="n">
        <v>1012391</v>
      </c>
      <c r="J24" s="11" t="n">
        <v>9949</v>
      </c>
      <c r="K24" s="11" t="n">
        <v>299</v>
      </c>
      <c r="L24" s="11" t="n">
        <v>213280.72</v>
      </c>
    </row>
    <row r="25" customFormat="false" ht="15" hidden="false" customHeight="true" outlineLevel="0" collapsed="false">
      <c r="A25" s="11" t="n">
        <v>1806</v>
      </c>
      <c r="B25" s="11" t="s">
        <v>109</v>
      </c>
      <c r="C25" s="11" t="s">
        <v>71</v>
      </c>
      <c r="D25" s="11" t="s">
        <v>158</v>
      </c>
      <c r="E25" s="11" t="s">
        <v>159</v>
      </c>
      <c r="F25" s="11" t="s">
        <v>53</v>
      </c>
      <c r="G25" s="11" t="s">
        <v>137</v>
      </c>
      <c r="H25" s="11" t="n">
        <v>27693.68</v>
      </c>
      <c r="I25" s="11" t="n">
        <v>774637</v>
      </c>
      <c r="J25" s="11" t="n">
        <v>10265</v>
      </c>
      <c r="K25" s="11" t="n">
        <v>579</v>
      </c>
      <c r="L25" s="11" t="n">
        <v>922779.24</v>
      </c>
    </row>
    <row r="26" customFormat="false" ht="15" hidden="false" customHeight="true" outlineLevel="0" collapsed="false">
      <c r="A26" s="11" t="n">
        <v>1241</v>
      </c>
      <c r="B26" s="11" t="s">
        <v>160</v>
      </c>
      <c r="C26" s="11" t="s">
        <v>138</v>
      </c>
      <c r="D26" s="11" t="s">
        <v>161</v>
      </c>
      <c r="E26" s="11" t="s">
        <v>162</v>
      </c>
      <c r="F26" s="11" t="s">
        <v>67</v>
      </c>
      <c r="G26" s="11" t="s">
        <v>163</v>
      </c>
      <c r="H26" s="11" t="n">
        <v>11334.45</v>
      </c>
      <c r="I26" s="11" t="n">
        <v>415795</v>
      </c>
      <c r="J26" s="11" t="n">
        <v>14092</v>
      </c>
      <c r="K26" s="11" t="n">
        <v>337</v>
      </c>
      <c r="L26" s="11" t="n">
        <v>399360.83</v>
      </c>
    </row>
    <row r="27" customFormat="false" ht="15" hidden="false" customHeight="true" outlineLevel="0" collapsed="false">
      <c r="A27" s="11" t="n">
        <v>1278</v>
      </c>
      <c r="B27" s="11" t="s">
        <v>164</v>
      </c>
      <c r="C27" s="11" t="s">
        <v>63</v>
      </c>
      <c r="D27" s="11" t="s">
        <v>165</v>
      </c>
      <c r="E27" s="11" t="s">
        <v>166</v>
      </c>
      <c r="F27" s="11" t="s">
        <v>60</v>
      </c>
      <c r="G27" s="11" t="s">
        <v>72</v>
      </c>
      <c r="H27" s="11" t="n">
        <v>22661.86</v>
      </c>
      <c r="I27" s="11" t="n">
        <v>555559</v>
      </c>
      <c r="J27" s="11" t="n">
        <v>15582</v>
      </c>
      <c r="K27" s="11" t="n">
        <v>1150</v>
      </c>
      <c r="L27" s="11" t="n">
        <v>1345457.21</v>
      </c>
    </row>
    <row r="28" customFormat="false" ht="15" hidden="false" customHeight="true" outlineLevel="0" collapsed="false">
      <c r="A28" s="11" t="n">
        <v>1250</v>
      </c>
      <c r="B28" s="11" t="s">
        <v>167</v>
      </c>
      <c r="C28" s="11" t="s">
        <v>63</v>
      </c>
      <c r="D28" s="11" t="s">
        <v>168</v>
      </c>
      <c r="E28" s="11" t="s">
        <v>169</v>
      </c>
      <c r="F28" s="11" t="s">
        <v>67</v>
      </c>
      <c r="G28" s="11" t="s">
        <v>95</v>
      </c>
      <c r="H28" s="11" t="n">
        <v>48882.33</v>
      </c>
      <c r="I28" s="11" t="n">
        <v>1606618</v>
      </c>
      <c r="J28" s="11" t="n">
        <v>26579</v>
      </c>
      <c r="K28" s="11" t="n">
        <v>2079</v>
      </c>
      <c r="L28" s="11" t="n">
        <v>1472732.78</v>
      </c>
    </row>
    <row r="29" customFormat="false" ht="15" hidden="false" customHeight="true" outlineLevel="0" collapsed="false">
      <c r="A29" s="11" t="n">
        <v>1547</v>
      </c>
      <c r="B29" s="11" t="s">
        <v>58</v>
      </c>
      <c r="C29" s="11" t="s">
        <v>149</v>
      </c>
      <c r="D29" s="11" t="s">
        <v>170</v>
      </c>
      <c r="E29" s="11" t="s">
        <v>171</v>
      </c>
      <c r="F29" s="11" t="s">
        <v>65</v>
      </c>
      <c r="G29" s="11" t="s">
        <v>172</v>
      </c>
      <c r="H29" s="11" t="n">
        <v>23561</v>
      </c>
      <c r="I29" s="11" t="n">
        <v>885989</v>
      </c>
      <c r="J29" s="11" t="n">
        <v>28166</v>
      </c>
      <c r="K29" s="11" t="n">
        <v>2095</v>
      </c>
      <c r="L29" s="11" t="n">
        <v>2546904.59</v>
      </c>
    </row>
    <row r="30" customFormat="false" ht="15" hidden="false" customHeight="true" outlineLevel="0" collapsed="false">
      <c r="A30" s="11" t="n">
        <v>1339</v>
      </c>
      <c r="B30" s="11" t="s">
        <v>52</v>
      </c>
      <c r="C30" s="11" t="s">
        <v>124</v>
      </c>
      <c r="D30" s="11" t="s">
        <v>173</v>
      </c>
      <c r="E30" s="11" t="s">
        <v>174</v>
      </c>
      <c r="F30" s="11" t="s">
        <v>48</v>
      </c>
      <c r="G30" s="11" t="s">
        <v>175</v>
      </c>
      <c r="H30" s="11" t="n">
        <v>10533.17</v>
      </c>
      <c r="I30" s="11" t="n">
        <v>234801</v>
      </c>
      <c r="J30" s="11" t="n">
        <v>5674</v>
      </c>
      <c r="K30" s="11" t="n">
        <v>87</v>
      </c>
      <c r="L30" s="11" t="n">
        <v>54899.74</v>
      </c>
    </row>
    <row r="31" customFormat="false" ht="15" hidden="false" customHeight="true" outlineLevel="0" collapsed="false">
      <c r="A31" s="11" t="n">
        <v>1717</v>
      </c>
      <c r="B31" s="11" t="s">
        <v>46</v>
      </c>
      <c r="C31" s="11" t="s">
        <v>59</v>
      </c>
      <c r="D31" s="11" t="s">
        <v>176</v>
      </c>
      <c r="E31" s="11" t="s">
        <v>177</v>
      </c>
      <c r="F31" s="11" t="s">
        <v>53</v>
      </c>
      <c r="G31" s="11" t="s">
        <v>175</v>
      </c>
      <c r="H31" s="11" t="n">
        <v>19530.3</v>
      </c>
      <c r="I31" s="11" t="n">
        <v>661906</v>
      </c>
      <c r="J31" s="11" t="n">
        <v>11849</v>
      </c>
      <c r="K31" s="11" t="n">
        <v>677</v>
      </c>
      <c r="L31" s="11" t="n">
        <v>1119099.65</v>
      </c>
    </row>
    <row r="32" customFormat="false" ht="15" hidden="false" customHeight="true" outlineLevel="0" collapsed="false">
      <c r="A32" s="11" t="n">
        <v>1238</v>
      </c>
      <c r="B32" s="11" t="s">
        <v>78</v>
      </c>
      <c r="C32" s="11" t="s">
        <v>81</v>
      </c>
      <c r="D32" s="11" t="s">
        <v>178</v>
      </c>
      <c r="E32" s="11" t="s">
        <v>179</v>
      </c>
      <c r="F32" s="11" t="s">
        <v>51</v>
      </c>
      <c r="G32" s="11" t="s">
        <v>103</v>
      </c>
      <c r="H32" s="11" t="n">
        <v>1082.74</v>
      </c>
      <c r="I32" s="11" t="n">
        <v>21945</v>
      </c>
      <c r="J32" s="11" t="n">
        <v>492</v>
      </c>
      <c r="K32" s="11" t="n">
        <v>16</v>
      </c>
      <c r="L32" s="11" t="n">
        <v>19816.45</v>
      </c>
    </row>
    <row r="33" customFormat="false" ht="15" hidden="false" customHeight="true" outlineLevel="0" collapsed="false">
      <c r="A33" s="11" t="n">
        <v>1645</v>
      </c>
      <c r="B33" s="11" t="s">
        <v>180</v>
      </c>
      <c r="C33" s="11" t="s">
        <v>124</v>
      </c>
      <c r="D33" s="11" t="s">
        <v>181</v>
      </c>
      <c r="E33" s="11" t="s">
        <v>182</v>
      </c>
      <c r="F33" s="11" t="s">
        <v>56</v>
      </c>
      <c r="G33" s="11" t="s">
        <v>183</v>
      </c>
      <c r="H33" s="11" t="n">
        <v>42994.76</v>
      </c>
      <c r="I33" s="11" t="n">
        <v>746569</v>
      </c>
      <c r="J33" s="11" t="n">
        <v>23039</v>
      </c>
      <c r="K33" s="11" t="n">
        <v>782</v>
      </c>
      <c r="L33" s="11" t="n">
        <v>1052642.73</v>
      </c>
    </row>
    <row r="34" customFormat="false" ht="15" hidden="false" customHeight="true" outlineLevel="0" collapsed="false">
      <c r="A34" s="11" t="n">
        <v>1169</v>
      </c>
      <c r="B34" s="11" t="s">
        <v>184</v>
      </c>
      <c r="C34" s="11" t="s">
        <v>185</v>
      </c>
      <c r="D34" s="11" t="s">
        <v>186</v>
      </c>
      <c r="E34" s="11" t="s">
        <v>187</v>
      </c>
      <c r="F34" s="11" t="s">
        <v>60</v>
      </c>
      <c r="G34" s="11" t="s">
        <v>172</v>
      </c>
      <c r="H34" s="11" t="n">
        <v>53852.07</v>
      </c>
      <c r="I34" s="11" t="n">
        <v>1280644</v>
      </c>
      <c r="J34" s="11" t="n">
        <v>20823</v>
      </c>
      <c r="K34" s="11" t="n">
        <v>1416</v>
      </c>
      <c r="L34" s="11" t="n">
        <v>2115020.42</v>
      </c>
    </row>
    <row r="35" customFormat="false" ht="15" hidden="false" customHeight="true" outlineLevel="0" collapsed="false">
      <c r="A35" s="11" t="n">
        <v>1653</v>
      </c>
      <c r="B35" s="11" t="s">
        <v>188</v>
      </c>
      <c r="C35" s="11" t="s">
        <v>71</v>
      </c>
      <c r="D35" s="11" t="s">
        <v>189</v>
      </c>
      <c r="E35" s="11" t="s">
        <v>190</v>
      </c>
      <c r="F35" s="11" t="s">
        <v>53</v>
      </c>
      <c r="G35" s="11" t="s">
        <v>91</v>
      </c>
      <c r="H35" s="11" t="n">
        <v>41809.05</v>
      </c>
      <c r="I35" s="11" t="n">
        <v>826656</v>
      </c>
      <c r="J35" s="11" t="n">
        <v>5945</v>
      </c>
      <c r="K35" s="11" t="n">
        <v>344</v>
      </c>
      <c r="L35" s="11" t="n">
        <v>528296.58</v>
      </c>
    </row>
    <row r="36" customFormat="false" ht="15" hidden="false" customHeight="true" outlineLevel="0" collapsed="false">
      <c r="A36" s="11" t="n">
        <v>1233</v>
      </c>
      <c r="B36" s="11" t="s">
        <v>191</v>
      </c>
      <c r="C36" s="11" t="s">
        <v>192</v>
      </c>
      <c r="D36" s="11" t="s">
        <v>193</v>
      </c>
      <c r="E36" s="11" t="s">
        <v>194</v>
      </c>
      <c r="F36" s="11" t="s">
        <v>48</v>
      </c>
      <c r="G36" s="11" t="s">
        <v>91</v>
      </c>
      <c r="H36" s="11" t="n">
        <v>60477.26</v>
      </c>
      <c r="I36" s="11" t="n">
        <v>1201267</v>
      </c>
      <c r="J36" s="11" t="n">
        <v>39511</v>
      </c>
      <c r="K36" s="11" t="n">
        <v>1985</v>
      </c>
      <c r="L36" s="11" t="n">
        <v>1446282.68</v>
      </c>
    </row>
    <row r="37" customFormat="false" ht="15" hidden="false" customHeight="true" outlineLevel="0" collapsed="false">
      <c r="A37" s="11" t="n">
        <v>1525</v>
      </c>
      <c r="B37" s="11" t="s">
        <v>46</v>
      </c>
      <c r="C37" s="11" t="s">
        <v>124</v>
      </c>
      <c r="D37" s="11" t="s">
        <v>195</v>
      </c>
      <c r="E37" s="11" t="s">
        <v>196</v>
      </c>
      <c r="F37" s="11" t="s">
        <v>48</v>
      </c>
      <c r="G37" s="11" t="s">
        <v>54</v>
      </c>
      <c r="H37" s="11" t="n">
        <v>36417.1</v>
      </c>
      <c r="I37" s="11" t="n">
        <v>690457</v>
      </c>
      <c r="J37" s="11" t="n">
        <v>18815</v>
      </c>
      <c r="K37" s="11" t="n">
        <v>1408</v>
      </c>
      <c r="L37" s="11"/>
    </row>
    <row r="38" customFormat="false" ht="15" hidden="false" customHeight="true" outlineLevel="0" collapsed="false">
      <c r="A38" s="11" t="n">
        <v>1231</v>
      </c>
      <c r="B38" s="11" t="s">
        <v>76</v>
      </c>
      <c r="C38" s="11" t="s">
        <v>124</v>
      </c>
      <c r="D38" s="11" t="s">
        <v>197</v>
      </c>
      <c r="E38" s="11" t="s">
        <v>198</v>
      </c>
      <c r="F38" s="11" t="s">
        <v>53</v>
      </c>
      <c r="G38" s="11" t="s">
        <v>199</v>
      </c>
      <c r="H38" s="11" t="n">
        <v>27984.95</v>
      </c>
      <c r="I38" s="11" t="n">
        <v>1108517</v>
      </c>
      <c r="J38" s="11" t="n">
        <v>25960</v>
      </c>
      <c r="K38" s="11" t="n">
        <v>1206</v>
      </c>
      <c r="L38" s="11" t="n">
        <v>1666485.12</v>
      </c>
    </row>
    <row r="39" customFormat="false" ht="15" hidden="false" customHeight="true" outlineLevel="0" collapsed="false">
      <c r="A39" s="11" t="n">
        <v>1047</v>
      </c>
      <c r="B39" s="11" t="s">
        <v>52</v>
      </c>
      <c r="C39" s="11" t="s">
        <v>47</v>
      </c>
      <c r="D39" s="11" t="s">
        <v>200</v>
      </c>
      <c r="E39" s="11" t="s">
        <v>201</v>
      </c>
      <c r="F39" s="11" t="s">
        <v>56</v>
      </c>
      <c r="G39" s="11" t="s">
        <v>84</v>
      </c>
      <c r="H39" s="11" t="n">
        <v>4516.04</v>
      </c>
      <c r="I39" s="11" t="n">
        <v>134372</v>
      </c>
      <c r="J39" s="11" t="n">
        <v>4177</v>
      </c>
      <c r="K39" s="11" t="n">
        <v>297</v>
      </c>
      <c r="L39" s="11" t="n">
        <v>293567.87</v>
      </c>
    </row>
    <row r="40" customFormat="false" ht="15" hidden="false" customHeight="true" outlineLevel="0" collapsed="false">
      <c r="A40" s="11" t="n">
        <v>1497</v>
      </c>
      <c r="B40" s="11" t="s">
        <v>58</v>
      </c>
      <c r="C40" s="11" t="s">
        <v>71</v>
      </c>
      <c r="D40" s="11" t="s">
        <v>202</v>
      </c>
      <c r="E40" s="11" t="s">
        <v>203</v>
      </c>
      <c r="F40" s="11" t="s">
        <v>56</v>
      </c>
      <c r="G40" s="11" t="s">
        <v>61</v>
      </c>
      <c r="H40" s="11" t="n">
        <v>26335.66</v>
      </c>
      <c r="I40" s="11" t="n">
        <v>720416</v>
      </c>
      <c r="J40" s="11" t="n">
        <v>14003</v>
      </c>
      <c r="K40" s="11" t="n">
        <v>1093</v>
      </c>
      <c r="L40" s="11" t="n">
        <v>1336222.58</v>
      </c>
    </row>
    <row r="41" customFormat="false" ht="15" hidden="false" customHeight="true" outlineLevel="0" collapsed="false">
      <c r="A41" s="11" t="n">
        <v>1082</v>
      </c>
      <c r="B41" s="11" t="s">
        <v>55</v>
      </c>
      <c r="C41" s="11" t="s">
        <v>149</v>
      </c>
      <c r="D41" s="11" t="s">
        <v>98</v>
      </c>
      <c r="E41" s="11" t="s">
        <v>204</v>
      </c>
      <c r="F41" s="11" t="s">
        <v>51</v>
      </c>
      <c r="G41" s="11" t="s">
        <v>61</v>
      </c>
      <c r="H41" s="11" t="n">
        <v>7927.48</v>
      </c>
      <c r="I41" s="11" t="n">
        <v>158444</v>
      </c>
      <c r="J41" s="11" t="n">
        <v>991</v>
      </c>
      <c r="K41" s="11" t="n">
        <v>74</v>
      </c>
      <c r="L41" s="11" t="n">
        <v>81200.66</v>
      </c>
    </row>
    <row r="42" customFormat="false" ht="15" hidden="false" customHeight="true" outlineLevel="0" collapsed="false">
      <c r="A42" s="11" t="n">
        <v>1536</v>
      </c>
      <c r="B42" s="11" t="s">
        <v>144</v>
      </c>
      <c r="C42" s="11" t="s">
        <v>85</v>
      </c>
      <c r="D42" s="11" t="s">
        <v>205</v>
      </c>
      <c r="E42" s="11" t="s">
        <v>206</v>
      </c>
      <c r="F42" s="11" t="s">
        <v>56</v>
      </c>
      <c r="G42" s="11" t="s">
        <v>163</v>
      </c>
      <c r="H42" s="11" t="n">
        <v>25314.94</v>
      </c>
      <c r="I42" s="11" t="n">
        <v>609864</v>
      </c>
      <c r="J42" s="11" t="n">
        <v>20889</v>
      </c>
      <c r="K42" s="11" t="n">
        <v>1477</v>
      </c>
      <c r="L42" s="11" t="n">
        <v>1616610.27</v>
      </c>
    </row>
    <row r="43" customFormat="false" ht="15" hidden="false" customHeight="true" outlineLevel="0" collapsed="false">
      <c r="A43" s="11" t="n">
        <v>1365</v>
      </c>
      <c r="B43" s="11" t="s">
        <v>144</v>
      </c>
      <c r="C43" s="11" t="s">
        <v>192</v>
      </c>
      <c r="D43" s="11" t="s">
        <v>207</v>
      </c>
      <c r="E43" s="11" t="s">
        <v>208</v>
      </c>
      <c r="F43" s="11" t="s">
        <v>56</v>
      </c>
      <c r="G43" s="11" t="s">
        <v>209</v>
      </c>
      <c r="H43" s="11" t="n">
        <v>59476.53</v>
      </c>
      <c r="I43" s="11" t="n">
        <v>1379231</v>
      </c>
      <c r="J43" s="11" t="n">
        <v>18556</v>
      </c>
      <c r="K43" s="11" t="n">
        <v>295</v>
      </c>
      <c r="L43" s="11" t="n">
        <v>260490.71</v>
      </c>
    </row>
    <row r="44" customFormat="false" ht="15" hidden="false" customHeight="true" outlineLevel="0" collapsed="false">
      <c r="A44" s="11" t="n">
        <v>1675</v>
      </c>
      <c r="B44" s="11" t="s">
        <v>144</v>
      </c>
      <c r="C44" s="11" t="s">
        <v>210</v>
      </c>
      <c r="D44" s="11" t="s">
        <v>211</v>
      </c>
      <c r="E44" s="11" t="s">
        <v>212</v>
      </c>
      <c r="F44" s="11" t="s">
        <v>69</v>
      </c>
      <c r="G44" s="11" t="s">
        <v>209</v>
      </c>
      <c r="H44" s="11" t="n">
        <v>70828.98</v>
      </c>
      <c r="I44" s="11" t="n">
        <v>1827028</v>
      </c>
      <c r="J44" s="11" t="n">
        <v>58907</v>
      </c>
      <c r="K44" s="11" t="n">
        <v>1479</v>
      </c>
      <c r="L44" s="11" t="n">
        <v>905251.01</v>
      </c>
    </row>
    <row r="45" customFormat="false" ht="15" hidden="false" customHeight="true" outlineLevel="0" collapsed="false">
      <c r="A45" s="11" t="n">
        <v>1702</v>
      </c>
      <c r="B45" s="11" t="s">
        <v>73</v>
      </c>
      <c r="C45" s="11" t="s">
        <v>81</v>
      </c>
      <c r="D45" s="11" t="s">
        <v>179</v>
      </c>
      <c r="E45" s="11" t="s">
        <v>213</v>
      </c>
      <c r="F45" s="11" t="s">
        <v>56</v>
      </c>
      <c r="G45" s="11" t="s">
        <v>103</v>
      </c>
      <c r="H45" s="11" t="n">
        <v>4022.16</v>
      </c>
      <c r="I45" s="11" t="n">
        <v>90484</v>
      </c>
      <c r="J45" s="11" t="n">
        <v>567</v>
      </c>
      <c r="K45" s="11" t="n">
        <v>21</v>
      </c>
      <c r="L45" s="11" t="n">
        <v>34140.06</v>
      </c>
    </row>
    <row r="46" customFormat="false" ht="15" hidden="false" customHeight="true" outlineLevel="0" collapsed="false">
      <c r="A46" s="11" t="n">
        <v>1033</v>
      </c>
      <c r="B46" s="11" t="s">
        <v>55</v>
      </c>
      <c r="C46" s="11" t="s">
        <v>141</v>
      </c>
      <c r="D46" s="11" t="s">
        <v>214</v>
      </c>
      <c r="E46" s="11" t="s">
        <v>215</v>
      </c>
      <c r="F46" s="11" t="s">
        <v>51</v>
      </c>
      <c r="G46" s="11" t="s">
        <v>99</v>
      </c>
      <c r="H46" s="11" t="n">
        <v>2878.77</v>
      </c>
      <c r="I46" s="11" t="n">
        <v>104478</v>
      </c>
      <c r="J46" s="11" t="n">
        <v>3126</v>
      </c>
      <c r="K46" s="11" t="n">
        <v>50</v>
      </c>
      <c r="L46" s="11" t="n">
        <v>81418.26</v>
      </c>
    </row>
    <row r="47" customFormat="false" ht="15" hidden="false" customHeight="true" outlineLevel="0" collapsed="false">
      <c r="A47" s="11" t="n">
        <v>1668</v>
      </c>
      <c r="B47" s="11" t="s">
        <v>68</v>
      </c>
      <c r="C47" s="11" t="s">
        <v>155</v>
      </c>
      <c r="D47" s="11" t="s">
        <v>216</v>
      </c>
      <c r="E47" s="11" t="s">
        <v>217</v>
      </c>
      <c r="F47" s="11" t="s">
        <v>53</v>
      </c>
      <c r="G47" s="11" t="s">
        <v>147</v>
      </c>
      <c r="H47" s="11" t="n">
        <v>79420.56</v>
      </c>
      <c r="I47" s="11" t="n">
        <v>1640545</v>
      </c>
      <c r="J47" s="11" t="n">
        <v>54005</v>
      </c>
      <c r="K47" s="11" t="n">
        <v>3247</v>
      </c>
      <c r="L47" s="11" t="n">
        <v>3682719.06</v>
      </c>
    </row>
    <row r="48" customFormat="false" ht="15" hidden="false" customHeight="true" outlineLevel="0" collapsed="false">
      <c r="A48" s="11" t="n">
        <v>1032</v>
      </c>
      <c r="B48" s="11" t="s">
        <v>218</v>
      </c>
      <c r="C48" s="11" t="s">
        <v>115</v>
      </c>
      <c r="D48" s="11" t="s">
        <v>219</v>
      </c>
      <c r="E48" s="11" t="s">
        <v>220</v>
      </c>
      <c r="F48" s="11" t="s">
        <v>48</v>
      </c>
      <c r="G48" s="11" t="s">
        <v>199</v>
      </c>
      <c r="H48" s="11" t="n">
        <v>33886.18</v>
      </c>
      <c r="I48" s="11" t="n">
        <v>1228014</v>
      </c>
      <c r="J48" s="11" t="n">
        <v>36435</v>
      </c>
      <c r="K48" s="11" t="n">
        <v>633</v>
      </c>
      <c r="L48" s="11" t="n">
        <v>1103408.87</v>
      </c>
    </row>
    <row r="49" customFormat="false" ht="15" hidden="false" customHeight="true" outlineLevel="0" collapsed="false">
      <c r="A49" s="11" t="n">
        <v>1285</v>
      </c>
      <c r="B49" s="11" t="s">
        <v>184</v>
      </c>
      <c r="C49" s="11" t="s">
        <v>185</v>
      </c>
      <c r="D49" s="11" t="s">
        <v>146</v>
      </c>
      <c r="E49" s="11" t="s">
        <v>221</v>
      </c>
      <c r="F49" s="11" t="s">
        <v>48</v>
      </c>
      <c r="G49" s="11" t="s">
        <v>54</v>
      </c>
      <c r="H49" s="11" t="n">
        <v>40031.65</v>
      </c>
      <c r="I49" s="11" t="n">
        <v>629615</v>
      </c>
      <c r="J49" s="11" t="n">
        <v>6465</v>
      </c>
      <c r="K49" s="11" t="n">
        <v>214</v>
      </c>
      <c r="L49" s="11" t="n">
        <v>179761.81</v>
      </c>
    </row>
    <row r="50" customFormat="false" ht="15" hidden="false" customHeight="true" outlineLevel="0" collapsed="false">
      <c r="A50" s="11" t="n">
        <v>1609</v>
      </c>
      <c r="B50" s="11" t="s">
        <v>184</v>
      </c>
      <c r="C50" s="11" t="s">
        <v>47</v>
      </c>
      <c r="D50" s="11" t="s">
        <v>222</v>
      </c>
      <c r="E50" s="11" t="s">
        <v>223</v>
      </c>
      <c r="F50" s="11" t="s">
        <v>69</v>
      </c>
      <c r="G50" s="11" t="s">
        <v>95</v>
      </c>
      <c r="H50" s="11" t="n">
        <v>3454.79</v>
      </c>
      <c r="I50" s="11" t="n">
        <v>81313</v>
      </c>
      <c r="J50" s="11" t="n">
        <v>1792</v>
      </c>
      <c r="K50" s="11" t="n">
        <v>105</v>
      </c>
      <c r="L50" s="11" t="n">
        <v>122952.32</v>
      </c>
    </row>
    <row r="51" customFormat="false" ht="15" hidden="false" customHeight="true" outlineLevel="0" collapsed="false">
      <c r="A51" s="11" t="n">
        <v>1550</v>
      </c>
      <c r="B51" s="11" t="s">
        <v>64</v>
      </c>
      <c r="C51" s="11" t="s">
        <v>141</v>
      </c>
      <c r="D51" s="11" t="s">
        <v>224</v>
      </c>
      <c r="E51" s="11" t="s">
        <v>225</v>
      </c>
      <c r="F51" s="11" t="s">
        <v>53</v>
      </c>
      <c r="G51" s="11" t="s">
        <v>183</v>
      </c>
      <c r="H51" s="11" t="n">
        <v>1749.34</v>
      </c>
      <c r="I51" s="11" t="n">
        <v>52232</v>
      </c>
      <c r="J51" s="11" t="n">
        <v>1549</v>
      </c>
      <c r="K51" s="11" t="n">
        <v>76</v>
      </c>
      <c r="L51" s="11" t="n">
        <v>102703.34</v>
      </c>
    </row>
    <row r="52" customFormat="false" ht="15" hidden="false" customHeight="true" outlineLevel="0" collapsed="false">
      <c r="A52" s="11" t="n">
        <v>1768</v>
      </c>
      <c r="B52" s="11" t="s">
        <v>79</v>
      </c>
      <c r="C52" s="11" t="s">
        <v>85</v>
      </c>
      <c r="D52" s="11" t="s">
        <v>189</v>
      </c>
      <c r="E52" s="11" t="s">
        <v>86</v>
      </c>
      <c r="F52" s="11" t="s">
        <v>69</v>
      </c>
      <c r="G52" s="11" t="s">
        <v>226</v>
      </c>
      <c r="H52" s="11" t="n">
        <v>22316.07</v>
      </c>
      <c r="I52" s="11" t="n">
        <v>640436</v>
      </c>
      <c r="J52" s="11" t="n">
        <v>21301</v>
      </c>
      <c r="K52" s="11" t="n">
        <v>1547</v>
      </c>
      <c r="L52" s="11" t="n">
        <v>1071383.47</v>
      </c>
    </row>
    <row r="53" customFormat="false" ht="15" hidden="false" customHeight="true" outlineLevel="0" collapsed="false">
      <c r="A53" s="11" t="n">
        <v>1035</v>
      </c>
      <c r="B53" s="11" t="s">
        <v>160</v>
      </c>
      <c r="C53" s="11" t="s">
        <v>92</v>
      </c>
      <c r="D53" s="11" t="s">
        <v>227</v>
      </c>
      <c r="E53" s="11" t="s">
        <v>228</v>
      </c>
      <c r="F53" s="11" t="s">
        <v>67</v>
      </c>
      <c r="G53" s="11" t="s">
        <v>103</v>
      </c>
      <c r="H53" s="11" t="n">
        <v>4874.31</v>
      </c>
      <c r="I53" s="11" t="n">
        <v>115004</v>
      </c>
      <c r="J53" s="11" t="n">
        <v>4013</v>
      </c>
      <c r="K53" s="11" t="n">
        <v>194</v>
      </c>
      <c r="L53" s="11" t="n">
        <v>166864.3</v>
      </c>
    </row>
    <row r="54" customFormat="false" ht="15" hidden="false" customHeight="true" outlineLevel="0" collapsed="false">
      <c r="A54" s="11" t="n">
        <v>1096</v>
      </c>
      <c r="B54" s="11" t="s">
        <v>229</v>
      </c>
      <c r="C54" s="11" t="s">
        <v>100</v>
      </c>
      <c r="D54" s="11" t="s">
        <v>230</v>
      </c>
      <c r="E54" s="11" t="s">
        <v>216</v>
      </c>
      <c r="F54" s="11" t="s">
        <v>48</v>
      </c>
      <c r="G54" s="11" t="s">
        <v>163</v>
      </c>
      <c r="H54" s="11" t="n">
        <v>53184.19</v>
      </c>
      <c r="I54" s="11" t="n">
        <v>1462668</v>
      </c>
      <c r="J54" s="11" t="n">
        <v>9301</v>
      </c>
      <c r="K54" s="11" t="n">
        <v>182</v>
      </c>
      <c r="L54" s="11" t="n">
        <v>151589.44</v>
      </c>
    </row>
    <row r="55" customFormat="false" ht="15" hidden="false" customHeight="true" outlineLevel="0" collapsed="false">
      <c r="A55" s="11" t="n">
        <v>1597</v>
      </c>
      <c r="B55" s="11" t="s">
        <v>70</v>
      </c>
      <c r="C55" s="11" t="s">
        <v>63</v>
      </c>
      <c r="D55" s="11" t="s">
        <v>231</v>
      </c>
      <c r="E55" s="11" t="s">
        <v>232</v>
      </c>
      <c r="F55" s="11" t="s">
        <v>60</v>
      </c>
      <c r="G55" s="11"/>
      <c r="H55" s="11" t="n">
        <v>15205.86</v>
      </c>
      <c r="I55" s="11" t="n">
        <v>441885</v>
      </c>
      <c r="J55" s="11" t="n">
        <v>8688</v>
      </c>
      <c r="K55" s="11" t="n">
        <v>390</v>
      </c>
      <c r="L55" s="11" t="n">
        <v>679083.27</v>
      </c>
    </row>
    <row r="56" customFormat="false" ht="15" hidden="false" customHeight="true" outlineLevel="0" collapsed="false">
      <c r="A56" s="11" t="n">
        <v>1523</v>
      </c>
      <c r="B56" s="11" t="s">
        <v>55</v>
      </c>
      <c r="C56" s="11" t="s">
        <v>192</v>
      </c>
      <c r="D56" s="11" t="s">
        <v>233</v>
      </c>
      <c r="E56" s="11" t="s">
        <v>234</v>
      </c>
      <c r="F56" s="11" t="s">
        <v>56</v>
      </c>
      <c r="G56" s="11" t="s">
        <v>72</v>
      </c>
      <c r="H56" s="11" t="n">
        <v>88859.84</v>
      </c>
      <c r="I56" s="11" t="n">
        <v>3258799</v>
      </c>
      <c r="J56" s="11" t="n">
        <v>27139</v>
      </c>
      <c r="K56" s="11" t="n">
        <v>2032</v>
      </c>
      <c r="L56" s="11" t="n">
        <v>1072677.09</v>
      </c>
    </row>
    <row r="57" customFormat="false" ht="15" hidden="false" customHeight="true" outlineLevel="0" collapsed="false">
      <c r="A57" s="11" t="n">
        <v>1054</v>
      </c>
      <c r="B57" s="11" t="s">
        <v>218</v>
      </c>
      <c r="C57" s="11" t="s">
        <v>235</v>
      </c>
      <c r="D57" s="11" t="s">
        <v>166</v>
      </c>
      <c r="E57" s="11" t="s">
        <v>236</v>
      </c>
      <c r="F57" s="11" t="s">
        <v>60</v>
      </c>
      <c r="G57" s="11" t="s">
        <v>137</v>
      </c>
      <c r="H57" s="11" t="n">
        <v>65347.74</v>
      </c>
      <c r="I57" s="11" t="n">
        <v>1002954</v>
      </c>
      <c r="J57" s="11" t="n">
        <v>21159</v>
      </c>
      <c r="K57" s="11" t="n">
        <v>885</v>
      </c>
      <c r="L57" s="11" t="n">
        <v>1173157.02</v>
      </c>
    </row>
    <row r="58" customFormat="false" ht="15" hidden="false" customHeight="true" outlineLevel="0" collapsed="false">
      <c r="A58" s="11" t="n">
        <v>1168</v>
      </c>
      <c r="B58" s="11" t="s">
        <v>46</v>
      </c>
      <c r="C58" s="11" t="s">
        <v>192</v>
      </c>
      <c r="D58" s="11" t="s">
        <v>193</v>
      </c>
      <c r="E58" s="11" t="s">
        <v>237</v>
      </c>
      <c r="F58" s="11" t="s">
        <v>65</v>
      </c>
      <c r="G58" s="11" t="s">
        <v>238</v>
      </c>
      <c r="H58" s="11"/>
      <c r="I58" s="11" t="n">
        <v>2450674</v>
      </c>
      <c r="J58" s="11" t="n">
        <v>72662</v>
      </c>
      <c r="K58" s="11" t="n">
        <v>4134</v>
      </c>
      <c r="L58" s="11" t="n">
        <v>5818458.75</v>
      </c>
    </row>
    <row r="59" customFormat="false" ht="15" hidden="false" customHeight="true" outlineLevel="0" collapsed="false">
      <c r="A59" s="11" t="n">
        <v>1651</v>
      </c>
      <c r="B59" s="11" t="s">
        <v>68</v>
      </c>
      <c r="C59" s="11" t="s">
        <v>115</v>
      </c>
      <c r="D59" s="11" t="s">
        <v>239</v>
      </c>
      <c r="E59" s="11" t="s">
        <v>240</v>
      </c>
      <c r="F59" s="11" t="s">
        <v>48</v>
      </c>
      <c r="G59" s="11" t="s">
        <v>61</v>
      </c>
      <c r="H59" s="11" t="n">
        <v>62309.12</v>
      </c>
      <c r="I59" s="11" t="n">
        <v>1269256</v>
      </c>
      <c r="J59" s="11" t="n">
        <v>18579</v>
      </c>
      <c r="K59" s="11" t="n">
        <v>481</v>
      </c>
      <c r="L59" s="11" t="n">
        <v>420969.04</v>
      </c>
    </row>
    <row r="60" customFormat="false" ht="15" hidden="false" customHeight="true" outlineLevel="0" collapsed="false">
      <c r="A60" s="11" t="n">
        <v>1398</v>
      </c>
      <c r="B60" s="11" t="s">
        <v>62</v>
      </c>
      <c r="C60" s="11" t="s">
        <v>85</v>
      </c>
      <c r="D60" s="11" t="s">
        <v>241</v>
      </c>
      <c r="E60" s="11" t="s">
        <v>242</v>
      </c>
      <c r="F60" s="11" t="s">
        <v>69</v>
      </c>
      <c r="G60" s="11" t="s">
        <v>91</v>
      </c>
      <c r="H60" s="11" t="n">
        <v>31679.13</v>
      </c>
      <c r="I60" s="11" t="n">
        <v>833457</v>
      </c>
      <c r="J60" s="11" t="n">
        <v>12614</v>
      </c>
      <c r="K60" s="11" t="n">
        <v>459</v>
      </c>
      <c r="L60" s="11" t="n">
        <v>716024.85</v>
      </c>
    </row>
    <row r="61" customFormat="false" ht="15" hidden="false" customHeight="true" outlineLevel="0" collapsed="false">
      <c r="A61" s="11" t="n">
        <v>1144</v>
      </c>
      <c r="B61" s="11" t="s">
        <v>73</v>
      </c>
      <c r="C61" s="11" t="s">
        <v>71</v>
      </c>
      <c r="D61" s="11" t="s">
        <v>243</v>
      </c>
      <c r="E61" s="11" t="s">
        <v>126</v>
      </c>
      <c r="F61" s="11" t="s">
        <v>56</v>
      </c>
      <c r="G61" s="11" t="s">
        <v>172</v>
      </c>
      <c r="H61" s="11" t="n">
        <v>53470.02</v>
      </c>
      <c r="I61" s="11" t="n">
        <v>1973839</v>
      </c>
      <c r="J61" s="11" t="n">
        <v>15396</v>
      </c>
      <c r="K61" s="11" t="n">
        <v>542</v>
      </c>
      <c r="L61" s="11" t="n">
        <v>254474.3</v>
      </c>
    </row>
    <row r="62" customFormat="false" ht="15" hidden="false" customHeight="true" outlineLevel="0" collapsed="false">
      <c r="A62" s="11" t="n">
        <v>1502</v>
      </c>
      <c r="B62" s="11" t="s">
        <v>55</v>
      </c>
      <c r="C62" s="11" t="s">
        <v>81</v>
      </c>
      <c r="D62" s="11" t="s">
        <v>244</v>
      </c>
      <c r="E62" s="11" t="s">
        <v>245</v>
      </c>
      <c r="F62" s="11" t="s">
        <v>60</v>
      </c>
      <c r="G62" s="11" t="s">
        <v>112</v>
      </c>
      <c r="H62" s="11" t="n">
        <v>4650.51</v>
      </c>
      <c r="I62" s="11" t="n">
        <v>183454</v>
      </c>
      <c r="J62" s="11" t="n">
        <v>1605</v>
      </c>
      <c r="K62" s="11" t="n">
        <v>39</v>
      </c>
      <c r="L62" s="11" t="n">
        <v>48656.92</v>
      </c>
    </row>
    <row r="63" customFormat="false" ht="15" hidden="false" customHeight="true" outlineLevel="0" collapsed="false">
      <c r="A63" s="11" t="n">
        <v>1541</v>
      </c>
      <c r="B63" s="11" t="s">
        <v>184</v>
      </c>
      <c r="C63" s="11" t="s">
        <v>124</v>
      </c>
      <c r="D63" s="11" t="s">
        <v>246</v>
      </c>
      <c r="E63" s="11" t="s">
        <v>89</v>
      </c>
      <c r="F63" s="11" t="s">
        <v>51</v>
      </c>
      <c r="G63" s="11" t="s">
        <v>91</v>
      </c>
      <c r="H63" s="11" t="n">
        <v>53407.36</v>
      </c>
      <c r="I63" s="11" t="n">
        <v>1432075</v>
      </c>
      <c r="J63" s="11" t="n">
        <v>9101</v>
      </c>
      <c r="K63" s="11" t="n">
        <v>102</v>
      </c>
      <c r="L63" s="11" t="n">
        <v>136278.84</v>
      </c>
    </row>
    <row r="64" customFormat="false" ht="15" hidden="false" customHeight="true" outlineLevel="0" collapsed="false">
      <c r="A64" s="11" t="n">
        <v>1730</v>
      </c>
      <c r="B64" s="11" t="s">
        <v>68</v>
      </c>
      <c r="C64" s="11" t="s">
        <v>141</v>
      </c>
      <c r="D64" s="11" t="s">
        <v>102</v>
      </c>
      <c r="E64" s="11" t="s">
        <v>247</v>
      </c>
      <c r="F64" s="11" t="s">
        <v>67</v>
      </c>
      <c r="G64" s="11" t="s">
        <v>95</v>
      </c>
      <c r="H64" s="11" t="n">
        <v>5513.31</v>
      </c>
      <c r="I64" s="11" t="n">
        <v>159566</v>
      </c>
      <c r="J64" s="11" t="n">
        <v>1049</v>
      </c>
      <c r="K64" s="11" t="n">
        <v>72</v>
      </c>
      <c r="L64" s="11" t="n">
        <v>48744.27</v>
      </c>
    </row>
    <row r="65" customFormat="false" ht="15" hidden="false" customHeight="true" outlineLevel="0" collapsed="false">
      <c r="A65" s="11" t="n">
        <v>1236</v>
      </c>
      <c r="B65" s="11" t="s">
        <v>79</v>
      </c>
      <c r="C65" s="11" t="s">
        <v>235</v>
      </c>
      <c r="D65" s="11" t="s">
        <v>248</v>
      </c>
      <c r="E65" s="11" t="s">
        <v>249</v>
      </c>
      <c r="F65" s="11" t="s">
        <v>65</v>
      </c>
      <c r="G65" s="11" t="s">
        <v>103</v>
      </c>
      <c r="H65" s="11" t="n">
        <v>26044.53</v>
      </c>
      <c r="I65" s="11" t="n">
        <v>934308</v>
      </c>
      <c r="J65" s="11" t="n">
        <v>28113</v>
      </c>
      <c r="K65" s="11" t="n">
        <v>981</v>
      </c>
      <c r="L65" s="11" t="n">
        <v>1451351.04</v>
      </c>
    </row>
    <row r="66" customFormat="false" ht="15" hidden="false" customHeight="true" outlineLevel="0" collapsed="false">
      <c r="A66" s="11" t="n">
        <v>1788</v>
      </c>
      <c r="B66" s="11" t="s">
        <v>250</v>
      </c>
      <c r="C66" s="11" t="s">
        <v>115</v>
      </c>
      <c r="D66" s="11" t="s">
        <v>251</v>
      </c>
      <c r="E66" s="11" t="s">
        <v>252</v>
      </c>
      <c r="F66" s="11" t="s">
        <v>51</v>
      </c>
      <c r="G66" s="11" t="s">
        <v>238</v>
      </c>
      <c r="H66" s="11" t="n">
        <v>71895.34</v>
      </c>
      <c r="I66" s="11" t="n">
        <v>1509844</v>
      </c>
      <c r="J66" s="11" t="n">
        <v>34904</v>
      </c>
      <c r="K66" s="11" t="n">
        <v>2687</v>
      </c>
      <c r="L66" s="11" t="n">
        <v>4475453.76</v>
      </c>
    </row>
    <row r="67" customFormat="false" ht="15" hidden="false" customHeight="true" outlineLevel="0" collapsed="false">
      <c r="A67" s="11" t="n">
        <v>1148</v>
      </c>
      <c r="B67" s="11" t="s">
        <v>79</v>
      </c>
      <c r="C67" s="11" t="s">
        <v>185</v>
      </c>
      <c r="D67" s="11" t="s">
        <v>200</v>
      </c>
      <c r="E67" s="11" t="s">
        <v>253</v>
      </c>
      <c r="F67" s="11" t="s">
        <v>65</v>
      </c>
      <c r="G67" s="11" t="s">
        <v>108</v>
      </c>
      <c r="H67" s="11" t="n">
        <v>20536.25</v>
      </c>
      <c r="I67" s="11" t="n">
        <v>635639</v>
      </c>
      <c r="J67" s="11" t="n">
        <v>4532</v>
      </c>
      <c r="K67" s="11" t="n">
        <v>327</v>
      </c>
      <c r="L67" s="11" t="n">
        <v>120171.57</v>
      </c>
    </row>
    <row r="68" customFormat="false" ht="15" hidden="false" customHeight="true" outlineLevel="0" collapsed="false">
      <c r="A68" s="11" t="n">
        <v>1239</v>
      </c>
      <c r="B68" s="11" t="s">
        <v>52</v>
      </c>
      <c r="C68" s="11" t="s">
        <v>81</v>
      </c>
      <c r="D68" s="11" t="s">
        <v>254</v>
      </c>
      <c r="E68" s="11" t="s">
        <v>159</v>
      </c>
      <c r="F68" s="11" t="s">
        <v>48</v>
      </c>
      <c r="G68" s="11" t="s">
        <v>103</v>
      </c>
      <c r="H68" s="11" t="n">
        <v>4155.1</v>
      </c>
      <c r="I68" s="11" t="n">
        <v>121683</v>
      </c>
      <c r="J68" s="11" t="n">
        <v>4183</v>
      </c>
      <c r="K68" s="11" t="n">
        <v>242</v>
      </c>
      <c r="L68" s="11" t="n">
        <v>370399.5</v>
      </c>
    </row>
    <row r="69" customFormat="false" ht="15" hidden="false" customHeight="true" outlineLevel="0" collapsed="false">
      <c r="A69" s="11" t="n">
        <v>1328</v>
      </c>
      <c r="B69" s="11" t="s">
        <v>46</v>
      </c>
      <c r="C69" s="11" t="s">
        <v>81</v>
      </c>
      <c r="D69" s="11" t="s">
        <v>101</v>
      </c>
      <c r="E69" s="11" t="s">
        <v>255</v>
      </c>
      <c r="F69" s="11" t="s">
        <v>53</v>
      </c>
      <c r="G69" s="11" t="s">
        <v>131</v>
      </c>
      <c r="H69" s="11" t="n">
        <v>1561.19</v>
      </c>
      <c r="I69" s="11" t="n">
        <v>58464</v>
      </c>
      <c r="J69" s="11" t="n">
        <v>798</v>
      </c>
      <c r="K69" s="11" t="n">
        <v>61</v>
      </c>
      <c r="L69" s="11" t="n">
        <v>31023.33</v>
      </c>
    </row>
    <row r="70" customFormat="false" ht="15" hidden="false" customHeight="true" outlineLevel="0" collapsed="false">
      <c r="A70" s="11" t="n">
        <v>1781</v>
      </c>
      <c r="B70" s="11" t="s">
        <v>73</v>
      </c>
      <c r="C70" s="11" t="s">
        <v>185</v>
      </c>
      <c r="D70" s="11" t="s">
        <v>256</v>
      </c>
      <c r="E70" s="11" t="s">
        <v>257</v>
      </c>
      <c r="F70" s="11" t="s">
        <v>69</v>
      </c>
      <c r="G70" s="11" t="s">
        <v>95</v>
      </c>
      <c r="H70" s="11" t="n">
        <v>24016.39</v>
      </c>
      <c r="I70" s="11" t="n">
        <v>652357</v>
      </c>
      <c r="J70" s="11" t="n">
        <v>22789</v>
      </c>
      <c r="K70" s="11" t="n">
        <v>1708</v>
      </c>
      <c r="L70" s="11" t="n">
        <v>1579387.22</v>
      </c>
    </row>
    <row r="71" customFormat="false" ht="15" hidden="false" customHeight="true" outlineLevel="0" collapsed="false">
      <c r="A71" s="11" t="n">
        <v>1133</v>
      </c>
      <c r="B71" s="11" t="s">
        <v>144</v>
      </c>
      <c r="C71" s="11" t="s">
        <v>71</v>
      </c>
      <c r="D71" s="11" t="s">
        <v>258</v>
      </c>
      <c r="E71" s="11" t="s">
        <v>259</v>
      </c>
      <c r="F71" s="11" t="s">
        <v>65</v>
      </c>
      <c r="G71" s="11" t="s">
        <v>163</v>
      </c>
      <c r="H71" s="11" t="n">
        <v>32760.45</v>
      </c>
      <c r="I71" s="11" t="n">
        <v>850269</v>
      </c>
      <c r="J71" s="11" t="n">
        <v>22024</v>
      </c>
      <c r="K71" s="11" t="n">
        <v>711</v>
      </c>
      <c r="L71" s="11" t="n">
        <v>558407.26</v>
      </c>
    </row>
    <row r="72" customFormat="false" ht="15" hidden="false" customHeight="true" outlineLevel="0" collapsed="false">
      <c r="A72" s="11" t="n">
        <v>1749</v>
      </c>
      <c r="B72" s="11" t="s">
        <v>64</v>
      </c>
      <c r="C72" s="11" t="s">
        <v>63</v>
      </c>
      <c r="D72" s="11" t="s">
        <v>260</v>
      </c>
      <c r="E72" s="11" t="s">
        <v>261</v>
      </c>
      <c r="F72" s="11" t="s">
        <v>56</v>
      </c>
      <c r="G72" s="11"/>
      <c r="H72" s="11" t="n">
        <v>31677.07</v>
      </c>
      <c r="I72" s="11" t="n">
        <v>865853</v>
      </c>
      <c r="J72" s="11" t="n">
        <v>22871</v>
      </c>
      <c r="K72" s="11" t="n">
        <v>1522</v>
      </c>
      <c r="L72" s="11" t="n">
        <v>2624931.99</v>
      </c>
    </row>
    <row r="73" customFormat="false" ht="15" hidden="false" customHeight="true" outlineLevel="0" collapsed="false">
      <c r="A73" s="11" t="n">
        <v>1256</v>
      </c>
      <c r="B73" s="11" t="s">
        <v>262</v>
      </c>
      <c r="C73" s="11" t="s">
        <v>118</v>
      </c>
      <c r="D73" s="11" t="s">
        <v>263</v>
      </c>
      <c r="E73" s="11" t="s">
        <v>264</v>
      </c>
      <c r="F73" s="11" t="s">
        <v>56</v>
      </c>
      <c r="G73" s="11" t="s">
        <v>54</v>
      </c>
      <c r="H73" s="11" t="n">
        <v>17493.86</v>
      </c>
      <c r="I73" s="11" t="n">
        <v>346210</v>
      </c>
      <c r="J73" s="11" t="n">
        <v>2061</v>
      </c>
      <c r="K73" s="11" t="n">
        <v>113</v>
      </c>
      <c r="L73" s="11" t="n">
        <v>103221.92</v>
      </c>
    </row>
    <row r="74" customFormat="false" ht="15" hidden="false" customHeight="true" outlineLevel="0" collapsed="false">
      <c r="A74" s="11" t="n">
        <v>1142</v>
      </c>
      <c r="B74" s="11" t="s">
        <v>46</v>
      </c>
      <c r="C74" s="11" t="s">
        <v>47</v>
      </c>
      <c r="D74" s="11" t="s">
        <v>265</v>
      </c>
      <c r="E74" s="11" t="s">
        <v>266</v>
      </c>
      <c r="F74" s="11" t="s">
        <v>48</v>
      </c>
      <c r="G74" s="11" t="s">
        <v>131</v>
      </c>
      <c r="H74" s="11" t="n">
        <v>5073.69</v>
      </c>
      <c r="I74" s="11" t="n">
        <v>186319</v>
      </c>
      <c r="J74" s="11" t="n">
        <v>5666</v>
      </c>
      <c r="K74" s="11" t="n">
        <v>93</v>
      </c>
      <c r="L74" s="11" t="n">
        <v>163644.47</v>
      </c>
    </row>
    <row r="75" customFormat="false" ht="15" hidden="false" customHeight="true" outlineLevel="0" collapsed="false">
      <c r="A75" s="11" t="n">
        <v>1414</v>
      </c>
      <c r="B75" s="11" t="s">
        <v>64</v>
      </c>
      <c r="C75" s="11" t="s">
        <v>71</v>
      </c>
      <c r="D75" s="11" t="s">
        <v>224</v>
      </c>
      <c r="E75" s="11" t="s">
        <v>267</v>
      </c>
      <c r="F75" s="11" t="s">
        <v>51</v>
      </c>
      <c r="G75" s="11" t="s">
        <v>226</v>
      </c>
      <c r="H75" s="11" t="n">
        <v>40561.63</v>
      </c>
      <c r="I75" s="11" t="n">
        <v>675138</v>
      </c>
      <c r="J75" s="11" t="n">
        <v>17099</v>
      </c>
      <c r="K75" s="11" t="n">
        <v>840</v>
      </c>
      <c r="L75" s="11" t="n">
        <v>653208.63</v>
      </c>
    </row>
    <row r="76" customFormat="false" ht="15" hidden="false" customHeight="true" outlineLevel="0" collapsed="false">
      <c r="A76" s="11" t="n">
        <v>1756</v>
      </c>
      <c r="B76" s="11" t="s">
        <v>184</v>
      </c>
      <c r="C76" s="11" t="s">
        <v>96</v>
      </c>
      <c r="D76" s="11" t="s">
        <v>268</v>
      </c>
      <c r="E76" s="11" t="s">
        <v>269</v>
      </c>
      <c r="F76" s="11" t="s">
        <v>60</v>
      </c>
      <c r="G76" s="11" t="s">
        <v>209</v>
      </c>
      <c r="H76" s="11" t="n">
        <v>7464.18</v>
      </c>
      <c r="I76" s="11" t="n">
        <v>224896</v>
      </c>
      <c r="J76" s="11" t="n">
        <v>5584</v>
      </c>
      <c r="K76" s="11" t="n">
        <v>280</v>
      </c>
      <c r="L76" s="11" t="n">
        <v>288547.21</v>
      </c>
    </row>
    <row r="77" customFormat="false" ht="15" hidden="false" customHeight="true" outlineLevel="0" collapsed="false">
      <c r="A77" s="11" t="n">
        <v>1370</v>
      </c>
      <c r="B77" s="11" t="s">
        <v>73</v>
      </c>
      <c r="C77" s="11" t="s">
        <v>85</v>
      </c>
      <c r="D77" s="11" t="s">
        <v>270</v>
      </c>
      <c r="E77" s="11" t="s">
        <v>271</v>
      </c>
      <c r="F77" s="11" t="s">
        <v>48</v>
      </c>
      <c r="G77" s="11" t="s">
        <v>175</v>
      </c>
      <c r="H77" s="11" t="n">
        <v>32212.22</v>
      </c>
      <c r="I77" s="11" t="n">
        <v>910336</v>
      </c>
      <c r="J77" s="11" t="n">
        <v>8424</v>
      </c>
      <c r="K77" s="11" t="n">
        <v>153</v>
      </c>
      <c r="L77" s="11" t="n">
        <v>63347.38</v>
      </c>
    </row>
    <row r="78" customFormat="false" ht="15" hidden="false" customHeight="true" outlineLevel="0" collapsed="false">
      <c r="A78" s="11" t="n">
        <v>1565</v>
      </c>
      <c r="B78" s="11" t="s">
        <v>79</v>
      </c>
      <c r="C78" s="11" t="s">
        <v>47</v>
      </c>
      <c r="D78" s="11" t="s">
        <v>272</v>
      </c>
      <c r="E78" s="11" t="s">
        <v>273</v>
      </c>
      <c r="F78" s="11" t="s">
        <v>69</v>
      </c>
      <c r="G78" s="11" t="s">
        <v>103</v>
      </c>
      <c r="H78" s="11" t="n">
        <v>6688.35</v>
      </c>
      <c r="I78" s="11" t="n">
        <v>113135</v>
      </c>
      <c r="J78" s="11" t="n">
        <v>995</v>
      </c>
      <c r="K78" s="11" t="n">
        <v>22</v>
      </c>
      <c r="L78" s="11" t="n">
        <v>9094.65</v>
      </c>
    </row>
    <row r="79" customFormat="false" ht="15" hidden="false" customHeight="true" outlineLevel="0" collapsed="false">
      <c r="A79" s="11" t="n">
        <v>1507</v>
      </c>
      <c r="B79" s="11" t="s">
        <v>218</v>
      </c>
      <c r="C79" s="11" t="s">
        <v>118</v>
      </c>
      <c r="D79" s="11" t="s">
        <v>274</v>
      </c>
      <c r="E79" s="11" t="s">
        <v>207</v>
      </c>
      <c r="F79" s="11" t="s">
        <v>60</v>
      </c>
      <c r="G79" s="11"/>
      <c r="H79" s="11" t="n">
        <v>52481.39</v>
      </c>
      <c r="I79" s="11" t="n">
        <v>2044170</v>
      </c>
      <c r="J79" s="11" t="n">
        <v>44986</v>
      </c>
      <c r="K79" s="11" t="n">
        <v>3581</v>
      </c>
      <c r="L79" s="11"/>
    </row>
    <row r="80" customFormat="false" ht="15" hidden="false" customHeight="true" outlineLevel="0" collapsed="false">
      <c r="A80" s="11" t="n">
        <v>1262</v>
      </c>
      <c r="B80" s="11" t="s">
        <v>55</v>
      </c>
      <c r="C80" s="11" t="s">
        <v>63</v>
      </c>
      <c r="D80" s="11" t="s">
        <v>275</v>
      </c>
      <c r="E80" s="11" t="s">
        <v>276</v>
      </c>
      <c r="F80" s="11" t="s">
        <v>53</v>
      </c>
      <c r="G80" s="11" t="s">
        <v>131</v>
      </c>
      <c r="H80" s="11" t="n">
        <v>7644.35</v>
      </c>
      <c r="I80" s="11" t="n">
        <v>269146</v>
      </c>
      <c r="J80" s="11" t="n">
        <v>4426</v>
      </c>
      <c r="K80" s="11" t="n">
        <v>285</v>
      </c>
      <c r="L80" s="11" t="n">
        <v>480713.4</v>
      </c>
    </row>
    <row r="81" customFormat="false" ht="15" hidden="false" customHeight="true" outlineLevel="0" collapsed="false">
      <c r="A81" s="11" t="n">
        <v>1603</v>
      </c>
      <c r="B81" s="11" t="s">
        <v>73</v>
      </c>
      <c r="C81" s="11" t="s">
        <v>63</v>
      </c>
      <c r="D81" s="11" t="s">
        <v>277</v>
      </c>
      <c r="E81" s="11" t="s">
        <v>278</v>
      </c>
      <c r="F81" s="11" t="s">
        <v>48</v>
      </c>
      <c r="G81" s="11" t="s">
        <v>103</v>
      </c>
      <c r="H81" s="11" t="n">
        <v>28515.03</v>
      </c>
      <c r="I81" s="11" t="n">
        <v>741169</v>
      </c>
      <c r="J81" s="11" t="n">
        <v>18488</v>
      </c>
      <c r="K81" s="11" t="n">
        <v>608</v>
      </c>
      <c r="L81" s="11" t="n">
        <v>653930.69</v>
      </c>
    </row>
    <row r="82" customFormat="false" ht="15" hidden="false" customHeight="true" outlineLevel="0" collapsed="false">
      <c r="A82" s="11" t="n">
        <v>1374</v>
      </c>
      <c r="B82" s="11" t="s">
        <v>279</v>
      </c>
      <c r="C82" s="11" t="s">
        <v>185</v>
      </c>
      <c r="D82" s="11" t="s">
        <v>280</v>
      </c>
      <c r="E82" s="11" t="s">
        <v>281</v>
      </c>
      <c r="F82" s="11" t="s">
        <v>67</v>
      </c>
      <c r="G82" s="11" t="s">
        <v>84</v>
      </c>
      <c r="H82" s="11" t="n">
        <v>25130.2</v>
      </c>
      <c r="I82" s="11" t="n">
        <v>404500</v>
      </c>
      <c r="J82" s="11" t="n">
        <v>9574</v>
      </c>
      <c r="K82" s="11" t="n">
        <v>399</v>
      </c>
      <c r="L82" s="11" t="n">
        <v>687778.91</v>
      </c>
    </row>
    <row r="83" customFormat="false" ht="15" hidden="false" customHeight="true" outlineLevel="0" collapsed="false">
      <c r="A83" s="11" t="n">
        <v>1373</v>
      </c>
      <c r="B83" s="11" t="s">
        <v>58</v>
      </c>
      <c r="C83" s="11" t="s">
        <v>155</v>
      </c>
      <c r="D83" s="11" t="s">
        <v>282</v>
      </c>
      <c r="E83" s="11" t="s">
        <v>283</v>
      </c>
      <c r="F83" s="11" t="s">
        <v>56</v>
      </c>
      <c r="G83" s="11" t="s">
        <v>57</v>
      </c>
      <c r="H83" s="11" t="n">
        <v>72619.01</v>
      </c>
      <c r="I83" s="11" t="n">
        <v>2318195</v>
      </c>
      <c r="J83" s="11" t="n">
        <v>73303</v>
      </c>
      <c r="K83" s="11" t="n">
        <v>866</v>
      </c>
      <c r="L83" s="11" t="n">
        <v>1158623.91</v>
      </c>
    </row>
    <row r="84" customFormat="false" ht="15" hidden="false" customHeight="true" outlineLevel="0" collapsed="false">
      <c r="A84" s="11" t="n">
        <v>1476</v>
      </c>
      <c r="B84" s="11" t="s">
        <v>279</v>
      </c>
      <c r="C84" s="11" t="s">
        <v>192</v>
      </c>
      <c r="D84" s="11" t="s">
        <v>200</v>
      </c>
      <c r="E84" s="11" t="s">
        <v>253</v>
      </c>
      <c r="F84" s="11" t="s">
        <v>60</v>
      </c>
      <c r="G84" s="11" t="s">
        <v>112</v>
      </c>
      <c r="H84" s="11" t="n">
        <v>42996.28</v>
      </c>
      <c r="I84" s="11" t="n">
        <v>766659</v>
      </c>
      <c r="J84" s="11" t="n">
        <v>24856</v>
      </c>
      <c r="K84" s="11" t="n">
        <v>683</v>
      </c>
      <c r="L84" s="11" t="n">
        <v>772967.12</v>
      </c>
    </row>
    <row r="85" customFormat="false" ht="15" hidden="false" customHeight="true" outlineLevel="0" collapsed="false">
      <c r="A85" s="11" t="n">
        <v>1372</v>
      </c>
      <c r="B85" s="11" t="s">
        <v>184</v>
      </c>
      <c r="C85" s="11" t="s">
        <v>121</v>
      </c>
      <c r="D85" s="11" t="s">
        <v>284</v>
      </c>
      <c r="E85" s="11" t="s">
        <v>285</v>
      </c>
      <c r="F85" s="11" t="s">
        <v>48</v>
      </c>
      <c r="G85" s="11"/>
      <c r="H85" s="11" t="n">
        <v>33635.4</v>
      </c>
      <c r="I85" s="11" t="n">
        <v>1215783</v>
      </c>
      <c r="J85" s="11" t="n">
        <v>37697</v>
      </c>
      <c r="K85" s="11" t="n">
        <v>703</v>
      </c>
      <c r="L85" s="11" t="n">
        <v>341438.61</v>
      </c>
    </row>
    <row r="86" customFormat="false" ht="15" hidden="false" customHeight="true" outlineLevel="0" collapsed="false">
      <c r="A86" s="11" t="n">
        <v>1274</v>
      </c>
      <c r="B86" s="11" t="s">
        <v>180</v>
      </c>
      <c r="C86" s="11" t="s">
        <v>92</v>
      </c>
      <c r="D86" s="11" t="s">
        <v>286</v>
      </c>
      <c r="E86" s="11" t="s">
        <v>287</v>
      </c>
      <c r="F86" s="11" t="s">
        <v>69</v>
      </c>
      <c r="G86" s="11" t="s">
        <v>172</v>
      </c>
      <c r="H86" s="11" t="n">
        <v>6196.57</v>
      </c>
      <c r="I86" s="11" t="n">
        <v>246041</v>
      </c>
      <c r="J86" s="11" t="n">
        <v>6823</v>
      </c>
      <c r="K86" s="11" t="n">
        <v>99</v>
      </c>
      <c r="L86" s="11" t="n">
        <v>167735.67</v>
      </c>
    </row>
    <row r="87" customFormat="false" ht="15" hidden="false" customHeight="true" outlineLevel="0" collapsed="false">
      <c r="A87" s="11" t="n">
        <v>1490</v>
      </c>
      <c r="B87" s="11" t="s">
        <v>184</v>
      </c>
      <c r="C87" s="11" t="s">
        <v>85</v>
      </c>
      <c r="D87" s="11" t="s">
        <v>288</v>
      </c>
      <c r="E87" s="11" t="s">
        <v>289</v>
      </c>
      <c r="F87" s="11" t="s">
        <v>60</v>
      </c>
      <c r="G87" s="11" t="s">
        <v>57</v>
      </c>
      <c r="H87" s="11" t="n">
        <v>54401.39</v>
      </c>
      <c r="I87" s="11" t="n">
        <v>1565233</v>
      </c>
      <c r="J87" s="11" t="n">
        <v>46182</v>
      </c>
      <c r="K87" s="11" t="n">
        <v>1175</v>
      </c>
      <c r="L87" s="11" t="n">
        <v>869206.93</v>
      </c>
    </row>
    <row r="88" customFormat="false" ht="15" hidden="false" customHeight="true" outlineLevel="0" collapsed="false">
      <c r="A88" s="11" t="n">
        <v>1119</v>
      </c>
      <c r="B88" s="11" t="s">
        <v>290</v>
      </c>
      <c r="C88" s="11" t="s">
        <v>134</v>
      </c>
      <c r="D88" s="11" t="s">
        <v>291</v>
      </c>
      <c r="E88" s="11" t="s">
        <v>292</v>
      </c>
      <c r="F88" s="11" t="s">
        <v>65</v>
      </c>
      <c r="G88" s="11" t="s">
        <v>54</v>
      </c>
      <c r="H88" s="11" t="n">
        <v>8475.36</v>
      </c>
      <c r="I88" s="11" t="n">
        <v>234287</v>
      </c>
      <c r="J88" s="11" t="n">
        <v>3794</v>
      </c>
      <c r="K88" s="11" t="n">
        <v>202</v>
      </c>
      <c r="L88" s="11" t="n">
        <v>265992.46</v>
      </c>
    </row>
    <row r="89" customFormat="false" ht="15" hidden="false" customHeight="true" outlineLevel="0" collapsed="false">
      <c r="A89" s="11" t="n">
        <v>1416</v>
      </c>
      <c r="B89" s="11" t="s">
        <v>62</v>
      </c>
      <c r="C89" s="11" t="s">
        <v>105</v>
      </c>
      <c r="D89" s="11" t="s">
        <v>293</v>
      </c>
      <c r="E89" s="11" t="s">
        <v>294</v>
      </c>
      <c r="F89" s="11" t="s">
        <v>51</v>
      </c>
      <c r="G89" s="11" t="s">
        <v>84</v>
      </c>
      <c r="H89" s="11" t="n">
        <v>41069.13</v>
      </c>
      <c r="I89" s="11" t="n">
        <v>678144</v>
      </c>
      <c r="J89" s="11" t="n">
        <v>9731</v>
      </c>
      <c r="K89" s="11" t="n">
        <v>394</v>
      </c>
      <c r="L89" s="11" t="n">
        <v>686200.23</v>
      </c>
    </row>
    <row r="90" customFormat="false" ht="15" hidden="false" customHeight="true" outlineLevel="0" collapsed="false">
      <c r="A90" s="11" t="n">
        <v>1792</v>
      </c>
      <c r="B90" s="11" t="s">
        <v>68</v>
      </c>
      <c r="C90" s="11" t="s">
        <v>185</v>
      </c>
      <c r="D90" s="11" t="s">
        <v>295</v>
      </c>
      <c r="E90" s="11" t="s">
        <v>296</v>
      </c>
      <c r="F90" s="11" t="s">
        <v>67</v>
      </c>
      <c r="G90" s="11" t="s">
        <v>49</v>
      </c>
      <c r="H90" s="11" t="n">
        <v>33825.05</v>
      </c>
      <c r="I90" s="11" t="n">
        <v>997988</v>
      </c>
      <c r="J90" s="11" t="n">
        <v>20980</v>
      </c>
      <c r="K90" s="11" t="n">
        <v>1020</v>
      </c>
      <c r="L90" s="11" t="n">
        <v>1510139.03</v>
      </c>
    </row>
    <row r="91" customFormat="false" ht="15" hidden="false" customHeight="true" outlineLevel="0" collapsed="false">
      <c r="A91" s="11" t="n">
        <v>1441</v>
      </c>
      <c r="B91" s="11" t="s">
        <v>70</v>
      </c>
      <c r="C91" s="11" t="s">
        <v>134</v>
      </c>
      <c r="D91" s="11" t="s">
        <v>113</v>
      </c>
      <c r="E91" s="11" t="s">
        <v>297</v>
      </c>
      <c r="F91" s="11" t="s">
        <v>69</v>
      </c>
      <c r="G91" s="11" t="s">
        <v>95</v>
      </c>
      <c r="H91" s="11" t="n">
        <v>23423.97</v>
      </c>
      <c r="I91" s="11" t="n">
        <v>440177</v>
      </c>
      <c r="J91" s="11" t="n">
        <v>4899</v>
      </c>
      <c r="K91" s="11" t="n">
        <v>61</v>
      </c>
      <c r="L91" s="11" t="n">
        <v>103025.54</v>
      </c>
    </row>
    <row r="92" customFormat="false" ht="15" hidden="false" customHeight="true" outlineLevel="0" collapsed="false">
      <c r="A92" s="11" t="n">
        <v>1244</v>
      </c>
      <c r="B92" s="11" t="s">
        <v>104</v>
      </c>
      <c r="C92" s="11" t="s">
        <v>124</v>
      </c>
      <c r="D92" s="11" t="s">
        <v>298</v>
      </c>
      <c r="E92" s="11" t="s">
        <v>299</v>
      </c>
      <c r="F92" s="11" t="s">
        <v>60</v>
      </c>
      <c r="G92" s="11" t="s">
        <v>131</v>
      </c>
      <c r="H92" s="11" t="n">
        <v>13404.28</v>
      </c>
      <c r="I92" s="11" t="n">
        <v>408194</v>
      </c>
      <c r="J92" s="11" t="n">
        <v>3073</v>
      </c>
      <c r="K92" s="11" t="n">
        <v>231</v>
      </c>
      <c r="L92" s="11" t="n">
        <v>211428.99</v>
      </c>
    </row>
    <row r="93" customFormat="false" ht="15" hidden="false" customHeight="true" outlineLevel="0" collapsed="false">
      <c r="A93" s="11" t="n">
        <v>1698</v>
      </c>
      <c r="B93" s="11" t="s">
        <v>79</v>
      </c>
      <c r="C93" s="11" t="s">
        <v>71</v>
      </c>
      <c r="D93" s="11" t="s">
        <v>300</v>
      </c>
      <c r="E93" s="11" t="s">
        <v>301</v>
      </c>
      <c r="F93" s="11" t="s">
        <v>69</v>
      </c>
      <c r="G93" s="11" t="s">
        <v>103</v>
      </c>
      <c r="H93" s="11" t="n">
        <v>47964.56</v>
      </c>
      <c r="I93" s="11" t="n">
        <v>1588718</v>
      </c>
      <c r="J93" s="11" t="n">
        <v>10029</v>
      </c>
      <c r="K93" s="11" t="n">
        <v>110</v>
      </c>
      <c r="L93" s="11" t="n">
        <v>62857.33</v>
      </c>
    </row>
    <row r="94" customFormat="false" ht="15" hidden="false" customHeight="true" outlineLevel="0" collapsed="false">
      <c r="A94" s="11" t="n">
        <v>1304</v>
      </c>
      <c r="B94" s="11" t="s">
        <v>58</v>
      </c>
      <c r="C94" s="11" t="s">
        <v>124</v>
      </c>
      <c r="D94" s="11" t="s">
        <v>302</v>
      </c>
      <c r="E94" s="11" t="s">
        <v>303</v>
      </c>
      <c r="F94" s="11" t="s">
        <v>65</v>
      </c>
      <c r="G94" s="11" t="s">
        <v>84</v>
      </c>
      <c r="H94" s="11" t="n">
        <v>16698.73</v>
      </c>
      <c r="I94" s="11" t="n">
        <v>491676</v>
      </c>
      <c r="J94" s="11" t="n">
        <v>14875</v>
      </c>
      <c r="K94" s="11" t="n">
        <v>205</v>
      </c>
      <c r="L94" s="11" t="n">
        <v>150341.56</v>
      </c>
    </row>
    <row r="95" customFormat="false" ht="15" hidden="false" customHeight="true" outlineLevel="0" collapsed="false">
      <c r="A95" s="11" t="n">
        <v>1456</v>
      </c>
      <c r="B95" s="11" t="s">
        <v>144</v>
      </c>
      <c r="C95" s="11" t="s">
        <v>185</v>
      </c>
      <c r="D95" s="11" t="s">
        <v>304</v>
      </c>
      <c r="E95" s="11" t="s">
        <v>305</v>
      </c>
      <c r="F95" s="11" t="s">
        <v>53</v>
      </c>
      <c r="G95" s="11" t="s">
        <v>95</v>
      </c>
      <c r="H95" s="11" t="n">
        <v>20526.88</v>
      </c>
      <c r="I95" s="11" t="n">
        <v>416511</v>
      </c>
      <c r="J95" s="11" t="n">
        <v>11494</v>
      </c>
      <c r="K95" s="11" t="n">
        <v>645</v>
      </c>
      <c r="L95" s="11" t="n">
        <v>309391.11</v>
      </c>
    </row>
    <row r="96" customFormat="false" ht="15" hidden="false" customHeight="true" outlineLevel="0" collapsed="false">
      <c r="A96" s="11" t="n">
        <v>1469</v>
      </c>
      <c r="B96" s="11" t="s">
        <v>109</v>
      </c>
      <c r="C96" s="11" t="s">
        <v>105</v>
      </c>
      <c r="D96" s="11" t="s">
        <v>306</v>
      </c>
      <c r="E96" s="11" t="s">
        <v>307</v>
      </c>
      <c r="F96" s="11" t="s">
        <v>53</v>
      </c>
      <c r="G96" s="11" t="s">
        <v>95</v>
      </c>
      <c r="H96" s="11" t="n">
        <v>47368.77</v>
      </c>
      <c r="I96" s="11" t="n">
        <v>880163</v>
      </c>
      <c r="J96" s="11" t="n">
        <v>9781</v>
      </c>
      <c r="K96" s="11" t="n">
        <v>528</v>
      </c>
      <c r="L96" s="11" t="n">
        <v>391052.4</v>
      </c>
    </row>
    <row r="97" customFormat="false" ht="15" hidden="false" customHeight="true" outlineLevel="0" collapsed="false">
      <c r="A97" s="11" t="n">
        <v>1740</v>
      </c>
      <c r="B97" s="11" t="s">
        <v>55</v>
      </c>
      <c r="C97" s="11" t="s">
        <v>235</v>
      </c>
      <c r="D97" s="11" t="s">
        <v>308</v>
      </c>
      <c r="E97" s="11" t="s">
        <v>309</v>
      </c>
      <c r="F97" s="11" t="s">
        <v>60</v>
      </c>
      <c r="G97" s="11" t="s">
        <v>209</v>
      </c>
      <c r="H97" s="11" t="n">
        <v>63711.93</v>
      </c>
      <c r="I97" s="11" t="n">
        <v>1190828</v>
      </c>
      <c r="J97" s="11" t="n">
        <v>29984</v>
      </c>
      <c r="K97" s="11" t="n">
        <v>2166</v>
      </c>
      <c r="L97" s="11" t="n">
        <v>2880304.59</v>
      </c>
    </row>
    <row r="98" customFormat="false" ht="15" hidden="false" customHeight="true" outlineLevel="0" collapsed="false">
      <c r="A98" s="11" t="n">
        <v>1735</v>
      </c>
      <c r="B98" s="11" t="s">
        <v>70</v>
      </c>
      <c r="C98" s="11" t="s">
        <v>81</v>
      </c>
      <c r="D98" s="11" t="s">
        <v>277</v>
      </c>
      <c r="E98" s="11" t="s">
        <v>310</v>
      </c>
      <c r="F98" s="11" t="s">
        <v>65</v>
      </c>
      <c r="G98" s="11" t="s">
        <v>99</v>
      </c>
      <c r="H98" s="11" t="n">
        <v>7190.89</v>
      </c>
      <c r="I98" s="11" t="n">
        <v>261151</v>
      </c>
      <c r="J98" s="11" t="n">
        <v>6157</v>
      </c>
      <c r="K98" s="11" t="n">
        <v>430</v>
      </c>
      <c r="L98" s="11" t="n">
        <v>740821.77</v>
      </c>
    </row>
    <row r="99" customFormat="false" ht="15" hidden="false" customHeight="true" outlineLevel="0" collapsed="false">
      <c r="A99" s="11" t="n">
        <v>1263</v>
      </c>
      <c r="B99" s="11" t="s">
        <v>55</v>
      </c>
      <c r="C99" s="11" t="s">
        <v>124</v>
      </c>
      <c r="D99" s="11" t="s">
        <v>311</v>
      </c>
      <c r="E99" s="11" t="s">
        <v>312</v>
      </c>
      <c r="F99" s="11" t="s">
        <v>69</v>
      </c>
      <c r="G99" s="11" t="s">
        <v>172</v>
      </c>
      <c r="H99" s="11" t="n">
        <v>15778.16</v>
      </c>
      <c r="I99" s="11" t="n">
        <v>434846</v>
      </c>
      <c r="J99" s="11" t="n">
        <v>5054</v>
      </c>
      <c r="K99" s="11" t="n">
        <v>68</v>
      </c>
      <c r="L99" s="11" t="n">
        <v>95933.65</v>
      </c>
    </row>
    <row r="100" customFormat="false" ht="15" hidden="false" customHeight="true" outlineLevel="0" collapsed="false">
      <c r="A100" s="11" t="n">
        <v>1086</v>
      </c>
      <c r="B100" s="11" t="s">
        <v>313</v>
      </c>
      <c r="C100" s="11" t="s">
        <v>235</v>
      </c>
      <c r="D100" s="11" t="s">
        <v>314</v>
      </c>
      <c r="E100" s="11" t="s">
        <v>315</v>
      </c>
      <c r="F100" s="11" t="s">
        <v>48</v>
      </c>
      <c r="G100" s="11" t="s">
        <v>103</v>
      </c>
      <c r="H100" s="11" t="n">
        <v>50174.52</v>
      </c>
      <c r="I100" s="11" t="n">
        <v>1416752</v>
      </c>
      <c r="J100" s="11" t="n">
        <v>24001</v>
      </c>
      <c r="K100" s="11" t="n">
        <v>1331</v>
      </c>
      <c r="L100" s="11" t="n">
        <v>947588.01</v>
      </c>
    </row>
    <row r="101" customFormat="false" ht="15" hidden="false" customHeight="true" outlineLevel="0" collapsed="false">
      <c r="A101" s="11" t="n">
        <v>1582</v>
      </c>
      <c r="B101" s="11" t="s">
        <v>316</v>
      </c>
      <c r="C101" s="11" t="s">
        <v>124</v>
      </c>
      <c r="D101" s="11" t="s">
        <v>317</v>
      </c>
      <c r="E101" s="11" t="s">
        <v>318</v>
      </c>
      <c r="F101" s="11" t="s">
        <v>56</v>
      </c>
      <c r="G101" s="11" t="s">
        <v>84</v>
      </c>
      <c r="H101" s="11" t="n">
        <v>22523.58</v>
      </c>
      <c r="I101" s="11" t="n">
        <v>773125</v>
      </c>
      <c r="J101" s="11" t="n">
        <v>9252</v>
      </c>
      <c r="K101" s="11" t="n">
        <v>411</v>
      </c>
      <c r="L101" s="11" t="n">
        <v>172627.2</v>
      </c>
    </row>
    <row r="102" customFormat="false" ht="15" hidden="false" customHeight="true" outlineLevel="0" collapsed="false">
      <c r="A102" s="11" t="n">
        <v>1254</v>
      </c>
      <c r="B102" s="11" t="s">
        <v>68</v>
      </c>
      <c r="C102" s="11" t="s">
        <v>92</v>
      </c>
      <c r="D102" s="11" t="s">
        <v>319</v>
      </c>
      <c r="E102" s="11" t="s">
        <v>320</v>
      </c>
      <c r="F102" s="11" t="s">
        <v>48</v>
      </c>
      <c r="G102" s="11" t="s">
        <v>61</v>
      </c>
      <c r="H102" s="11" t="n">
        <v>2927.27</v>
      </c>
      <c r="I102" s="11" t="n">
        <v>104748</v>
      </c>
      <c r="J102" s="11" t="n">
        <v>3397</v>
      </c>
      <c r="K102" s="11" t="n">
        <v>165</v>
      </c>
      <c r="L102" s="11" t="n">
        <v>74228.72</v>
      </c>
    </row>
    <row r="103" customFormat="false" ht="15" hidden="false" customHeight="true" outlineLevel="0" collapsed="false">
      <c r="A103" s="11" t="n">
        <v>1504</v>
      </c>
      <c r="B103" s="11" t="s">
        <v>191</v>
      </c>
      <c r="C103" s="11" t="s">
        <v>85</v>
      </c>
      <c r="D103" s="11" t="s">
        <v>321</v>
      </c>
      <c r="E103" s="11" t="s">
        <v>243</v>
      </c>
      <c r="F103" s="11" t="s">
        <v>65</v>
      </c>
      <c r="G103" s="11" t="s">
        <v>199</v>
      </c>
      <c r="H103" s="11" t="n">
        <v>28841.76</v>
      </c>
      <c r="I103" s="11" t="n">
        <v>1136843</v>
      </c>
      <c r="J103" s="11" t="n">
        <v>24946</v>
      </c>
      <c r="K103" s="11" t="n">
        <v>1233</v>
      </c>
      <c r="L103" s="11" t="n">
        <v>1844355.02</v>
      </c>
    </row>
    <row r="104" customFormat="false" ht="15" hidden="false" customHeight="true" outlineLevel="0" collapsed="false">
      <c r="A104" s="11" t="n">
        <v>1393</v>
      </c>
      <c r="B104" s="11" t="s">
        <v>78</v>
      </c>
      <c r="C104" s="11" t="s">
        <v>63</v>
      </c>
      <c r="D104" s="11" t="s">
        <v>213</v>
      </c>
      <c r="E104" s="11" t="s">
        <v>322</v>
      </c>
      <c r="F104" s="11" t="s">
        <v>67</v>
      </c>
      <c r="G104" s="11" t="s">
        <v>175</v>
      </c>
      <c r="H104" s="11" t="n">
        <v>38207.39</v>
      </c>
      <c r="I104" s="11" t="n">
        <v>1376978</v>
      </c>
      <c r="J104" s="11" t="n">
        <v>17615</v>
      </c>
      <c r="K104" s="11" t="n">
        <v>801</v>
      </c>
      <c r="L104" s="11" t="n">
        <v>424152.63</v>
      </c>
    </row>
    <row r="105" customFormat="false" ht="15" hidden="false" customHeight="true" outlineLevel="0" collapsed="false">
      <c r="A105" s="11" t="n">
        <v>1078</v>
      </c>
      <c r="B105" s="11" t="s">
        <v>109</v>
      </c>
      <c r="C105" s="11" t="s">
        <v>50</v>
      </c>
      <c r="D105" s="11" t="s">
        <v>323</v>
      </c>
      <c r="E105" s="11" t="s">
        <v>324</v>
      </c>
      <c r="F105" s="11" t="s">
        <v>48</v>
      </c>
      <c r="G105" s="11" t="s">
        <v>103</v>
      </c>
      <c r="H105" s="11" t="n">
        <v>75157.81</v>
      </c>
      <c r="I105" s="11" t="n">
        <v>2704133</v>
      </c>
      <c r="J105" s="11" t="n">
        <v>66248</v>
      </c>
      <c r="K105" s="11" t="n">
        <v>4332</v>
      </c>
      <c r="L105" s="11" t="n">
        <v>2380518.05</v>
      </c>
    </row>
    <row r="106" customFormat="false" ht="15" hidden="false" customHeight="true" outlineLevel="0" collapsed="false">
      <c r="A106" s="11" t="n">
        <v>1674</v>
      </c>
      <c r="B106" s="11" t="s">
        <v>68</v>
      </c>
      <c r="C106" s="11" t="s">
        <v>121</v>
      </c>
      <c r="D106" s="11" t="s">
        <v>325</v>
      </c>
      <c r="E106" s="11" t="s">
        <v>278</v>
      </c>
      <c r="F106" s="11" t="s">
        <v>60</v>
      </c>
      <c r="G106" s="11" t="s">
        <v>99</v>
      </c>
      <c r="H106" s="11" t="n">
        <v>38697.84</v>
      </c>
      <c r="I106" s="11" t="n">
        <v>1348232</v>
      </c>
      <c r="J106" s="11" t="n">
        <v>45330</v>
      </c>
      <c r="K106" s="11" t="n">
        <v>2279</v>
      </c>
      <c r="L106" s="11" t="n">
        <v>1185846.6</v>
      </c>
    </row>
    <row r="107" customFormat="false" ht="15" hidden="false" customHeight="true" outlineLevel="0" collapsed="false">
      <c r="A107" s="11" t="n">
        <v>1116</v>
      </c>
      <c r="B107" s="11" t="s">
        <v>79</v>
      </c>
      <c r="C107" s="11" t="s">
        <v>149</v>
      </c>
      <c r="D107" s="11" t="s">
        <v>326</v>
      </c>
      <c r="E107" s="11" t="s">
        <v>327</v>
      </c>
      <c r="F107" s="11" t="s">
        <v>53</v>
      </c>
      <c r="G107" s="11" t="s">
        <v>226</v>
      </c>
      <c r="H107" s="11" t="n">
        <v>32593.67</v>
      </c>
      <c r="I107" s="11" t="n">
        <v>655550</v>
      </c>
      <c r="J107" s="11" t="n">
        <v>21275</v>
      </c>
      <c r="K107" s="11" t="n">
        <v>1034</v>
      </c>
      <c r="L107" s="11" t="n">
        <v>1524627.96</v>
      </c>
    </row>
    <row r="108" customFormat="false" ht="15" hidden="false" customHeight="true" outlineLevel="0" collapsed="false">
      <c r="A108" s="11" t="n">
        <v>1731</v>
      </c>
      <c r="B108" s="11" t="s">
        <v>68</v>
      </c>
      <c r="C108" s="11" t="s">
        <v>328</v>
      </c>
      <c r="D108" s="11" t="s">
        <v>176</v>
      </c>
      <c r="E108" s="11" t="s">
        <v>327</v>
      </c>
      <c r="F108" s="11" t="s">
        <v>67</v>
      </c>
      <c r="G108" s="11" t="s">
        <v>49</v>
      </c>
      <c r="H108" s="11" t="n">
        <v>37448.66</v>
      </c>
      <c r="I108" s="11" t="n">
        <v>950202</v>
      </c>
      <c r="J108" s="11" t="n">
        <v>6688</v>
      </c>
      <c r="K108" s="11" t="n">
        <v>160</v>
      </c>
      <c r="L108" s="11" t="n">
        <v>64353.3</v>
      </c>
    </row>
    <row r="109" customFormat="false" ht="15" hidden="false" customHeight="true" outlineLevel="0" collapsed="false">
      <c r="A109" s="11" t="n">
        <v>1121</v>
      </c>
      <c r="B109" s="11" t="s">
        <v>70</v>
      </c>
      <c r="C109" s="11" t="s">
        <v>235</v>
      </c>
      <c r="D109" s="11" t="s">
        <v>329</v>
      </c>
      <c r="E109" s="11" t="s">
        <v>330</v>
      </c>
      <c r="F109" s="11" t="s">
        <v>65</v>
      </c>
      <c r="G109" s="11" t="s">
        <v>84</v>
      </c>
      <c r="H109" s="11" t="n">
        <v>55761.5</v>
      </c>
      <c r="I109" s="11" t="n">
        <v>2032812</v>
      </c>
      <c r="J109" s="11" t="n">
        <v>-56486</v>
      </c>
      <c r="K109" s="11" t="n">
        <v>934</v>
      </c>
      <c r="L109" s="11" t="n">
        <v>840537.27</v>
      </c>
    </row>
    <row r="110" customFormat="false" ht="15" hidden="false" customHeight="true" outlineLevel="0" collapsed="false">
      <c r="A110" s="11" t="n">
        <v>1695</v>
      </c>
      <c r="B110" s="11" t="s">
        <v>58</v>
      </c>
      <c r="C110" s="11" t="s">
        <v>328</v>
      </c>
      <c r="D110" s="11" t="s">
        <v>331</v>
      </c>
      <c r="E110" s="11" t="s">
        <v>261</v>
      </c>
      <c r="F110" s="11" t="s">
        <v>67</v>
      </c>
      <c r="G110" s="11" t="s">
        <v>131</v>
      </c>
      <c r="H110" s="11" t="n">
        <v>46204.39</v>
      </c>
      <c r="I110" s="11" t="n">
        <v>1165740</v>
      </c>
      <c r="J110" s="11" t="n">
        <v>6186</v>
      </c>
      <c r="K110" s="11" t="n">
        <v>418</v>
      </c>
      <c r="L110" s="11" t="n">
        <v>374879.56</v>
      </c>
    </row>
    <row r="111" customFormat="false" ht="15" hidden="false" customHeight="true" outlineLevel="0" collapsed="false">
      <c r="A111" s="11" t="n">
        <v>1432</v>
      </c>
      <c r="B111" s="11" t="s">
        <v>70</v>
      </c>
      <c r="C111" s="11" t="s">
        <v>81</v>
      </c>
      <c r="D111" s="11" t="s">
        <v>119</v>
      </c>
      <c r="E111" s="11" t="s">
        <v>332</v>
      </c>
      <c r="F111" s="11" t="s">
        <v>69</v>
      </c>
      <c r="G111" s="11" t="s">
        <v>183</v>
      </c>
      <c r="H111" s="11" t="n">
        <v>7166.96</v>
      </c>
      <c r="I111" s="11" t="n">
        <v>189262</v>
      </c>
      <c r="J111" s="11" t="n">
        <v>4922</v>
      </c>
      <c r="K111" s="11" t="n">
        <v>294</v>
      </c>
      <c r="L111" s="11" t="n">
        <v>229702.39</v>
      </c>
    </row>
    <row r="112" customFormat="false" ht="15" hidden="false" customHeight="true" outlineLevel="0" collapsed="false">
      <c r="A112" s="11" t="n">
        <v>1790</v>
      </c>
      <c r="B112" s="11" t="s">
        <v>70</v>
      </c>
      <c r="C112" s="11" t="s">
        <v>149</v>
      </c>
      <c r="D112" s="11" t="s">
        <v>333</v>
      </c>
      <c r="E112" s="11" t="s">
        <v>334</v>
      </c>
      <c r="F112" s="11" t="s">
        <v>51</v>
      </c>
      <c r="G112" s="11" t="s">
        <v>131</v>
      </c>
      <c r="H112" s="11" t="n">
        <v>6788.26</v>
      </c>
      <c r="I112" s="11" t="n">
        <v>201835</v>
      </c>
      <c r="J112" s="11" t="n">
        <v>6852</v>
      </c>
      <c r="K112" s="11" t="n">
        <v>98</v>
      </c>
      <c r="L112" s="11" t="n">
        <v>152179.45</v>
      </c>
    </row>
    <row r="113" customFormat="false" ht="15" hidden="false" customHeight="true" outlineLevel="0" collapsed="false">
      <c r="A113" s="11" t="n">
        <v>1187</v>
      </c>
      <c r="B113" s="11" t="s">
        <v>109</v>
      </c>
      <c r="C113" s="11" t="s">
        <v>155</v>
      </c>
      <c r="D113" s="11" t="s">
        <v>230</v>
      </c>
      <c r="E113" s="11" t="s">
        <v>335</v>
      </c>
      <c r="F113" s="11" t="s">
        <v>51</v>
      </c>
      <c r="G113" s="11" t="s">
        <v>137</v>
      </c>
      <c r="H113" s="11" t="n">
        <v>28526.76</v>
      </c>
      <c r="I113" s="11" t="n">
        <v>485533</v>
      </c>
      <c r="J113" s="11" t="n">
        <v>7272</v>
      </c>
      <c r="K113" s="11" t="n">
        <v>574</v>
      </c>
      <c r="L113" s="11" t="n">
        <v>461754.53</v>
      </c>
    </row>
    <row r="114" customFormat="false" ht="15" hidden="false" customHeight="true" outlineLevel="0" collapsed="false">
      <c r="A114" s="11" t="n">
        <v>1598</v>
      </c>
      <c r="B114" s="11" t="s">
        <v>316</v>
      </c>
      <c r="C114" s="11" t="s">
        <v>59</v>
      </c>
      <c r="D114" s="11" t="s">
        <v>206</v>
      </c>
      <c r="E114" s="11" t="s">
        <v>336</v>
      </c>
      <c r="F114" s="11" t="s">
        <v>56</v>
      </c>
      <c r="G114" s="11" t="s">
        <v>95</v>
      </c>
      <c r="H114" s="11" t="n">
        <v>27464.77</v>
      </c>
      <c r="I114" s="11" t="n">
        <v>712436</v>
      </c>
      <c r="J114" s="11" t="n">
        <v>24335</v>
      </c>
      <c r="K114" s="11" t="n">
        <v>309</v>
      </c>
      <c r="L114" s="11" t="n">
        <v>298204.85</v>
      </c>
    </row>
    <row r="115" customFormat="false" ht="15" hidden="false" customHeight="true" outlineLevel="0" collapsed="false">
      <c r="A115" s="11" t="n">
        <v>1765</v>
      </c>
      <c r="B115" s="11" t="s">
        <v>58</v>
      </c>
      <c r="C115" s="11" t="s">
        <v>63</v>
      </c>
      <c r="D115" s="11" t="s">
        <v>337</v>
      </c>
      <c r="E115" s="11" t="s">
        <v>338</v>
      </c>
      <c r="F115" s="11" t="s">
        <v>48</v>
      </c>
      <c r="G115" s="11" t="s">
        <v>103</v>
      </c>
      <c r="H115" s="11" t="n">
        <v>16945.69</v>
      </c>
      <c r="I115" s="11" t="n">
        <v>377329</v>
      </c>
      <c r="J115" s="11" t="n">
        <v>4500</v>
      </c>
      <c r="K115" s="11" t="n">
        <v>234</v>
      </c>
      <c r="L115" s="11"/>
    </row>
    <row r="116" customFormat="false" ht="15" hidden="false" customHeight="true" outlineLevel="0" collapsed="false">
      <c r="A116" s="11" t="n">
        <v>1130</v>
      </c>
      <c r="B116" s="11" t="s">
        <v>70</v>
      </c>
      <c r="C116" s="11" t="s">
        <v>149</v>
      </c>
      <c r="D116" s="11" t="s">
        <v>135</v>
      </c>
      <c r="E116" s="11" t="s">
        <v>339</v>
      </c>
      <c r="F116" s="11" t="s">
        <v>67</v>
      </c>
      <c r="G116" s="11" t="s">
        <v>84</v>
      </c>
      <c r="H116" s="11" t="n">
        <v>12782.3</v>
      </c>
      <c r="I116" s="11" t="n">
        <v>326948</v>
      </c>
      <c r="J116" s="11" t="n">
        <v>5332</v>
      </c>
      <c r="K116" s="11" t="n">
        <v>220</v>
      </c>
      <c r="L116" s="11" t="n">
        <v>267740.9</v>
      </c>
    </row>
    <row r="117" customFormat="false" ht="15" hidden="false" customHeight="true" outlineLevel="0" collapsed="false">
      <c r="A117" s="11" t="n">
        <v>1392</v>
      </c>
      <c r="B117" s="11" t="s">
        <v>73</v>
      </c>
      <c r="C117" s="11" t="s">
        <v>96</v>
      </c>
      <c r="D117" s="11" t="s">
        <v>340</v>
      </c>
      <c r="E117" s="11" t="s">
        <v>341</v>
      </c>
      <c r="F117" s="11" t="s">
        <v>48</v>
      </c>
      <c r="G117" s="11" t="s">
        <v>238</v>
      </c>
      <c r="H117" s="11" t="n">
        <v>6180.37</v>
      </c>
      <c r="I117" s="11" t="n">
        <v>112174</v>
      </c>
      <c r="J117" s="11" t="n">
        <v>3898</v>
      </c>
      <c r="K117" s="11" t="n">
        <v>116</v>
      </c>
      <c r="L117" s="11" t="n">
        <v>56212.25</v>
      </c>
    </row>
    <row r="118" customFormat="false" ht="15" hidden="false" customHeight="true" outlineLevel="0" collapsed="false">
      <c r="A118" s="11" t="n">
        <v>1217</v>
      </c>
      <c r="B118" s="11" t="s">
        <v>52</v>
      </c>
      <c r="C118" s="11" t="s">
        <v>124</v>
      </c>
      <c r="D118" s="11" t="s">
        <v>178</v>
      </c>
      <c r="E118" s="11" t="s">
        <v>330</v>
      </c>
      <c r="F118" s="11" t="s">
        <v>48</v>
      </c>
      <c r="G118" s="11" t="s">
        <v>72</v>
      </c>
      <c r="H118" s="11" t="n">
        <v>8251.26</v>
      </c>
      <c r="I118" s="11" t="n">
        <v>174550</v>
      </c>
      <c r="J118" s="11" t="n">
        <v>2032</v>
      </c>
      <c r="K118" s="11" t="n">
        <v>125</v>
      </c>
      <c r="L118" s="11" t="n">
        <v>122797.49</v>
      </c>
    </row>
    <row r="119" customFormat="false" ht="15" hidden="false" customHeight="true" outlineLevel="0" collapsed="false">
      <c r="A119" s="11" t="n">
        <v>1815</v>
      </c>
      <c r="B119" s="11" t="s">
        <v>342</v>
      </c>
      <c r="C119" s="11" t="s">
        <v>63</v>
      </c>
      <c r="D119" s="11" t="s">
        <v>343</v>
      </c>
      <c r="E119" s="11" t="s">
        <v>344</v>
      </c>
      <c r="F119" s="11" t="s">
        <v>56</v>
      </c>
      <c r="G119" s="11" t="s">
        <v>199</v>
      </c>
      <c r="H119" s="11" t="n">
        <v>38227.37</v>
      </c>
      <c r="I119" s="11" t="n">
        <v>760587</v>
      </c>
      <c r="J119" s="11" t="n">
        <v>8573</v>
      </c>
      <c r="K119" s="11" t="n">
        <v>165</v>
      </c>
      <c r="L119" s="11" t="n">
        <v>168009.59</v>
      </c>
    </row>
    <row r="120" customFormat="false" ht="15" hidden="false" customHeight="true" outlineLevel="0" collapsed="false">
      <c r="A120" s="11" t="n">
        <v>1045</v>
      </c>
      <c r="B120" s="11" t="s">
        <v>55</v>
      </c>
      <c r="C120" s="11" t="s">
        <v>115</v>
      </c>
      <c r="D120" s="11" t="s">
        <v>345</v>
      </c>
      <c r="E120" s="11" t="s">
        <v>346</v>
      </c>
      <c r="F120" s="11" t="s">
        <v>56</v>
      </c>
      <c r="G120" s="11" t="s">
        <v>95</v>
      </c>
      <c r="H120" s="11" t="n">
        <v>45576.86</v>
      </c>
      <c r="I120" s="11" t="n">
        <v>1685576</v>
      </c>
      <c r="J120" s="11" t="n">
        <v>52119</v>
      </c>
      <c r="K120" s="11" t="n">
        <v>1529</v>
      </c>
      <c r="L120" s="11" t="n">
        <v>2286633.21</v>
      </c>
    </row>
    <row r="121" customFormat="false" ht="15" hidden="false" customHeight="true" outlineLevel="0" collapsed="false">
      <c r="A121" s="11" t="n">
        <v>1026</v>
      </c>
      <c r="B121" s="11" t="s">
        <v>144</v>
      </c>
      <c r="C121" s="11" t="s">
        <v>81</v>
      </c>
      <c r="D121" s="11" t="s">
        <v>347</v>
      </c>
      <c r="E121" s="11" t="s">
        <v>348</v>
      </c>
      <c r="F121" s="11" t="s">
        <v>51</v>
      </c>
      <c r="G121" s="11" t="s">
        <v>183</v>
      </c>
      <c r="H121" s="11" t="n">
        <v>6879.04</v>
      </c>
      <c r="I121" s="11" t="n">
        <v>150876</v>
      </c>
      <c r="J121" s="11" t="n">
        <v>4274</v>
      </c>
      <c r="K121" s="11" t="n">
        <v>187</v>
      </c>
      <c r="L121" s="11" t="n">
        <v>130321.52</v>
      </c>
    </row>
    <row r="122" customFormat="false" ht="15" hidden="false" customHeight="true" outlineLevel="0" collapsed="false">
      <c r="A122" s="11" t="n">
        <v>1464</v>
      </c>
      <c r="B122" s="11" t="s">
        <v>349</v>
      </c>
      <c r="C122" s="11" t="s">
        <v>141</v>
      </c>
      <c r="D122" s="11" t="s">
        <v>350</v>
      </c>
      <c r="E122" s="11" t="s">
        <v>351</v>
      </c>
      <c r="F122" s="11" t="s">
        <v>60</v>
      </c>
      <c r="G122" s="11" t="s">
        <v>72</v>
      </c>
      <c r="H122" s="11" t="n">
        <v>7054.27</v>
      </c>
      <c r="I122" s="11" t="n">
        <v>220500</v>
      </c>
      <c r="J122" s="11" t="n">
        <v>2923</v>
      </c>
      <c r="K122" s="11" t="n">
        <v>162</v>
      </c>
      <c r="L122" s="11" t="n">
        <v>142984.19</v>
      </c>
    </row>
    <row r="123" customFormat="false" ht="15" hidden="false" customHeight="true" outlineLevel="0" collapsed="false">
      <c r="A123" s="11" t="n">
        <v>1437</v>
      </c>
      <c r="B123" s="11" t="s">
        <v>352</v>
      </c>
      <c r="C123" s="11" t="s">
        <v>121</v>
      </c>
      <c r="D123" s="11" t="s">
        <v>353</v>
      </c>
      <c r="E123" s="11" t="s">
        <v>354</v>
      </c>
      <c r="F123" s="11" t="s">
        <v>65</v>
      </c>
      <c r="G123" s="11" t="s">
        <v>54</v>
      </c>
      <c r="H123" s="11" t="n">
        <v>18399.26</v>
      </c>
      <c r="I123" s="11" t="n">
        <v>283366</v>
      </c>
      <c r="J123" s="11" t="n">
        <v>1654</v>
      </c>
      <c r="K123" s="11" t="n">
        <v>18</v>
      </c>
      <c r="L123" s="11" t="n">
        <v>27715.74</v>
      </c>
    </row>
    <row r="124" customFormat="false" ht="15" hidden="false" customHeight="true" outlineLevel="0" collapsed="false">
      <c r="A124" s="11" t="n">
        <v>1092</v>
      </c>
      <c r="B124" s="11" t="s">
        <v>46</v>
      </c>
      <c r="C124" s="11" t="s">
        <v>155</v>
      </c>
      <c r="D124" s="11" t="s">
        <v>355</v>
      </c>
      <c r="E124" s="11" t="s">
        <v>356</v>
      </c>
      <c r="F124" s="11" t="s">
        <v>69</v>
      </c>
      <c r="G124" s="11" t="s">
        <v>108</v>
      </c>
      <c r="H124" s="11" t="n">
        <v>51318.83</v>
      </c>
      <c r="I124" s="11" t="n">
        <v>1031538</v>
      </c>
      <c r="J124" s="11" t="n">
        <v>23931</v>
      </c>
      <c r="K124" s="11" t="n">
        <v>762</v>
      </c>
      <c r="L124" s="11" t="n">
        <v>1060419.15</v>
      </c>
    </row>
    <row r="125" customFormat="false" ht="15" hidden="false" customHeight="true" outlineLevel="0" collapsed="false">
      <c r="A125" s="11" t="n">
        <v>1181</v>
      </c>
      <c r="B125" s="11" t="s">
        <v>144</v>
      </c>
      <c r="C125" s="11" t="s">
        <v>85</v>
      </c>
      <c r="D125" s="11" t="s">
        <v>357</v>
      </c>
      <c r="E125" s="11" t="s">
        <v>358</v>
      </c>
      <c r="F125" s="11" t="s">
        <v>69</v>
      </c>
      <c r="G125" s="11"/>
      <c r="H125" s="11" t="n">
        <v>69997.78</v>
      </c>
      <c r="I125" s="11" t="n">
        <v>2182845</v>
      </c>
      <c r="J125" s="11" t="n">
        <v>55293</v>
      </c>
      <c r="K125" s="11" t="n">
        <v>1594</v>
      </c>
      <c r="L125" s="11"/>
    </row>
    <row r="126" customFormat="false" ht="15" hidden="false" customHeight="true" outlineLevel="0" collapsed="false">
      <c r="A126" s="11" t="n">
        <v>1758</v>
      </c>
      <c r="B126" s="11" t="s">
        <v>73</v>
      </c>
      <c r="C126" s="11" t="s">
        <v>105</v>
      </c>
      <c r="D126" s="11" t="s">
        <v>359</v>
      </c>
      <c r="E126" s="11" t="s">
        <v>360</v>
      </c>
      <c r="F126" s="11" t="s">
        <v>48</v>
      </c>
      <c r="G126" s="11" t="s">
        <v>175</v>
      </c>
      <c r="H126" s="11" t="n">
        <v>14996.44</v>
      </c>
      <c r="I126" s="11" t="n">
        <v>398414</v>
      </c>
      <c r="J126" s="11" t="n">
        <v>8208</v>
      </c>
      <c r="K126" s="11" t="n">
        <v>149</v>
      </c>
      <c r="L126" s="11" t="n">
        <v>208298.53</v>
      </c>
    </row>
    <row r="127" customFormat="false" ht="15" hidden="false" customHeight="true" outlineLevel="0" collapsed="false">
      <c r="A127" s="11" t="n">
        <v>1549</v>
      </c>
      <c r="B127" s="11" t="s">
        <v>76</v>
      </c>
      <c r="C127" s="11" t="s">
        <v>155</v>
      </c>
      <c r="D127" s="11" t="s">
        <v>361</v>
      </c>
      <c r="E127" s="11" t="s">
        <v>362</v>
      </c>
      <c r="F127" s="11" t="s">
        <v>69</v>
      </c>
      <c r="G127" s="11"/>
      <c r="H127" s="11" t="n">
        <v>61140.64</v>
      </c>
      <c r="I127" s="11" t="n">
        <v>1379317</v>
      </c>
      <c r="J127" s="11" t="n">
        <v>16937</v>
      </c>
      <c r="K127" s="11" t="n">
        <v>776</v>
      </c>
      <c r="L127" s="11" t="n">
        <v>414809.67</v>
      </c>
    </row>
    <row r="128" customFormat="false" ht="15" hidden="false" customHeight="true" outlineLevel="0" collapsed="false">
      <c r="A128" s="11" t="n">
        <v>1649</v>
      </c>
      <c r="B128" s="11" t="s">
        <v>76</v>
      </c>
      <c r="C128" s="11" t="s">
        <v>100</v>
      </c>
      <c r="D128" s="11" t="s">
        <v>363</v>
      </c>
      <c r="E128" s="11" t="s">
        <v>364</v>
      </c>
      <c r="F128" s="11" t="s">
        <v>51</v>
      </c>
      <c r="G128" s="11" t="s">
        <v>137</v>
      </c>
      <c r="H128" s="11" t="n">
        <v>73592.1</v>
      </c>
      <c r="I128" s="11" t="n">
        <v>1821520</v>
      </c>
      <c r="J128" s="11" t="n">
        <v>61552</v>
      </c>
      <c r="K128" s="11" t="n">
        <v>3659</v>
      </c>
      <c r="L128" s="11" t="n">
        <v>2606221.11</v>
      </c>
    </row>
    <row r="129" customFormat="false" ht="15" hidden="false" customHeight="true" outlineLevel="0" collapsed="false">
      <c r="A129" s="11" t="n">
        <v>1338</v>
      </c>
      <c r="B129" s="11" t="s">
        <v>66</v>
      </c>
      <c r="C129" s="11" t="s">
        <v>63</v>
      </c>
      <c r="D129" s="11" t="s">
        <v>117</v>
      </c>
      <c r="E129" s="11" t="s">
        <v>285</v>
      </c>
      <c r="F129" s="11" t="s">
        <v>51</v>
      </c>
      <c r="G129" s="11" t="s">
        <v>91</v>
      </c>
      <c r="H129" s="11" t="n">
        <v>33631.83</v>
      </c>
      <c r="I129" s="11" t="n">
        <v>904730</v>
      </c>
      <c r="J129" s="11" t="n">
        <v>23366</v>
      </c>
      <c r="K129" s="11" t="n">
        <v>429</v>
      </c>
      <c r="L129" s="11" t="n">
        <v>468966.72</v>
      </c>
    </row>
    <row r="130" customFormat="false" ht="15" hidden="false" customHeight="true" outlineLevel="0" collapsed="false">
      <c r="A130" s="11" t="n">
        <v>1023</v>
      </c>
      <c r="B130" s="11" t="s">
        <v>58</v>
      </c>
      <c r="C130" s="11" t="s">
        <v>105</v>
      </c>
      <c r="D130" s="11" t="s">
        <v>365</v>
      </c>
      <c r="E130" s="11" t="s">
        <v>366</v>
      </c>
      <c r="F130" s="11" t="s">
        <v>60</v>
      </c>
      <c r="G130" s="11" t="s">
        <v>199</v>
      </c>
      <c r="H130" s="11" t="n">
        <v>20178.97</v>
      </c>
      <c r="I130" s="11" t="n">
        <v>525554</v>
      </c>
      <c r="J130" s="11" t="n">
        <v>13280</v>
      </c>
      <c r="K130" s="11" t="n">
        <v>607</v>
      </c>
      <c r="L130" s="11" t="n">
        <v>911056.21</v>
      </c>
    </row>
    <row r="131" customFormat="false" ht="15" hidden="false" customHeight="true" outlineLevel="0" collapsed="false">
      <c r="A131" s="11" t="n">
        <v>1408</v>
      </c>
      <c r="B131" s="11" t="s">
        <v>78</v>
      </c>
      <c r="C131" s="11" t="s">
        <v>134</v>
      </c>
      <c r="D131" s="11" t="s">
        <v>285</v>
      </c>
      <c r="E131" s="11" t="s">
        <v>367</v>
      </c>
      <c r="F131" s="11" t="s">
        <v>60</v>
      </c>
      <c r="G131" s="11" t="s">
        <v>49</v>
      </c>
      <c r="H131" s="11" t="n">
        <v>17213.71</v>
      </c>
      <c r="I131" s="11" t="n">
        <v>588694</v>
      </c>
      <c r="J131" s="11" t="n">
        <v>15253</v>
      </c>
      <c r="K131" s="11" t="n">
        <v>161</v>
      </c>
      <c r="L131" s="11" t="n">
        <v>164365.57</v>
      </c>
    </row>
    <row r="132" customFormat="false" ht="15" hidden="false" customHeight="true" outlineLevel="0" collapsed="false">
      <c r="A132" s="11" t="n">
        <v>1433</v>
      </c>
      <c r="B132" s="11" t="s">
        <v>73</v>
      </c>
      <c r="C132" s="11" t="s">
        <v>328</v>
      </c>
      <c r="D132" s="11" t="s">
        <v>368</v>
      </c>
      <c r="E132" s="11" t="s">
        <v>369</v>
      </c>
      <c r="F132" s="11" t="s">
        <v>53</v>
      </c>
      <c r="G132" s="11" t="s">
        <v>95</v>
      </c>
      <c r="H132" s="11" t="n">
        <v>16546.59</v>
      </c>
      <c r="I132" s="11" t="n">
        <v>608310</v>
      </c>
      <c r="J132" s="11" t="n">
        <v>8037</v>
      </c>
      <c r="K132" s="11" t="n">
        <v>433</v>
      </c>
      <c r="L132" s="11" t="n">
        <v>334812.88</v>
      </c>
    </row>
    <row r="133" customFormat="false" ht="15" hidden="false" customHeight="true" outlineLevel="0" collapsed="false">
      <c r="A133" s="11" t="n">
        <v>1206</v>
      </c>
      <c r="B133" s="11" t="s">
        <v>52</v>
      </c>
      <c r="C133" s="11" t="s">
        <v>59</v>
      </c>
      <c r="D133" s="11" t="s">
        <v>370</v>
      </c>
      <c r="E133" s="11" t="s">
        <v>371</v>
      </c>
      <c r="F133" s="11" t="s">
        <v>60</v>
      </c>
      <c r="G133" s="11" t="s">
        <v>147</v>
      </c>
      <c r="H133" s="11" t="n">
        <v>36572.9</v>
      </c>
      <c r="I133" s="11" t="n">
        <v>1156154</v>
      </c>
      <c r="J133" s="11" t="n">
        <v>37915</v>
      </c>
      <c r="K133" s="11" t="n">
        <v>1407</v>
      </c>
      <c r="L133" s="11" t="n">
        <v>2444265.52</v>
      </c>
    </row>
    <row r="134" customFormat="false" ht="15" hidden="false" customHeight="true" outlineLevel="0" collapsed="false">
      <c r="A134" s="11" t="n">
        <v>1178</v>
      </c>
      <c r="B134" s="11" t="s">
        <v>55</v>
      </c>
      <c r="C134" s="11" t="s">
        <v>63</v>
      </c>
      <c r="D134" s="11" t="s">
        <v>372</v>
      </c>
      <c r="E134" s="11" t="s">
        <v>373</v>
      </c>
      <c r="F134" s="11" t="s">
        <v>67</v>
      </c>
      <c r="G134" s="11" t="s">
        <v>72</v>
      </c>
      <c r="H134" s="11" t="n">
        <v>43762.33</v>
      </c>
      <c r="I134" s="11" t="n">
        <v>1405702</v>
      </c>
      <c r="J134" s="11" t="n">
        <v>48039</v>
      </c>
      <c r="K134" s="11" t="n">
        <v>1246</v>
      </c>
      <c r="L134" s="11" t="n">
        <v>978978.02</v>
      </c>
    </row>
    <row r="135" customFormat="false" ht="15" hidden="false" customHeight="true" outlineLevel="0" collapsed="false">
      <c r="A135" s="11" t="n">
        <v>1202</v>
      </c>
      <c r="B135" s="11" t="s">
        <v>76</v>
      </c>
      <c r="C135" s="11" t="s">
        <v>121</v>
      </c>
      <c r="D135" s="11" t="s">
        <v>374</v>
      </c>
      <c r="E135" s="11" t="s">
        <v>268</v>
      </c>
      <c r="F135" s="11" t="s">
        <v>69</v>
      </c>
      <c r="G135" s="11"/>
      <c r="H135" s="11" t="n">
        <v>33112.46</v>
      </c>
      <c r="I135" s="11" t="n">
        <v>917490</v>
      </c>
      <c r="J135" s="11" t="n">
        <v>29942</v>
      </c>
      <c r="K135" s="11" t="n">
        <v>670</v>
      </c>
      <c r="L135" s="11" t="n">
        <v>796565.59</v>
      </c>
    </row>
    <row r="136" customFormat="false" ht="15" hidden="false" customHeight="true" outlineLevel="0" collapsed="false">
      <c r="A136" s="11" t="n">
        <v>1699</v>
      </c>
      <c r="B136" s="11" t="s">
        <v>73</v>
      </c>
      <c r="C136" s="11" t="s">
        <v>141</v>
      </c>
      <c r="D136" s="11" t="s">
        <v>375</v>
      </c>
      <c r="E136" s="11" t="s">
        <v>343</v>
      </c>
      <c r="F136" s="11" t="s">
        <v>65</v>
      </c>
      <c r="G136" s="11" t="s">
        <v>238</v>
      </c>
      <c r="H136" s="11" t="n">
        <v>3351.22</v>
      </c>
      <c r="I136" s="11" t="n">
        <v>110689</v>
      </c>
      <c r="J136" s="11" t="n">
        <v>637</v>
      </c>
      <c r="K136" s="11" t="n">
        <v>26</v>
      </c>
      <c r="L136" s="11" t="n">
        <v>40897.02</v>
      </c>
    </row>
    <row r="137" customFormat="false" ht="15" hidden="false" customHeight="true" outlineLevel="0" collapsed="false">
      <c r="A137" s="11" t="n">
        <v>1140</v>
      </c>
      <c r="B137" s="11" t="s">
        <v>70</v>
      </c>
      <c r="C137" s="11" t="s">
        <v>328</v>
      </c>
      <c r="D137" s="11" t="s">
        <v>376</v>
      </c>
      <c r="E137" s="11" t="s">
        <v>102</v>
      </c>
      <c r="F137" s="11" t="s">
        <v>56</v>
      </c>
      <c r="G137" s="11" t="s">
        <v>183</v>
      </c>
      <c r="H137" s="11" t="n">
        <v>31083.27</v>
      </c>
      <c r="I137" s="11" t="n">
        <v>879874</v>
      </c>
      <c r="J137" s="11" t="n">
        <v>20154</v>
      </c>
      <c r="K137" s="11" t="n">
        <v>439</v>
      </c>
      <c r="L137" s="11" t="n">
        <v>776832.55</v>
      </c>
    </row>
    <row r="138" customFormat="false" ht="15" hidden="false" customHeight="true" outlineLevel="0" collapsed="false">
      <c r="A138" s="11" t="n">
        <v>1135</v>
      </c>
      <c r="B138" s="11" t="s">
        <v>79</v>
      </c>
      <c r="C138" s="11" t="s">
        <v>124</v>
      </c>
      <c r="D138" s="11" t="s">
        <v>377</v>
      </c>
      <c r="E138" s="11" t="s">
        <v>378</v>
      </c>
      <c r="F138" s="11" t="s">
        <v>56</v>
      </c>
      <c r="G138" s="11" t="s">
        <v>91</v>
      </c>
      <c r="H138" s="11" t="n">
        <v>31792.62</v>
      </c>
      <c r="I138" s="11" t="n">
        <v>685411</v>
      </c>
      <c r="J138" s="11" t="n">
        <v>21164</v>
      </c>
      <c r="K138" s="11" t="n">
        <v>993</v>
      </c>
      <c r="L138" s="11" t="n">
        <v>1267770.5</v>
      </c>
    </row>
    <row r="139" customFormat="false" ht="15" hidden="false" customHeight="true" outlineLevel="0" collapsed="false">
      <c r="A139" s="11" t="n">
        <v>1102</v>
      </c>
      <c r="B139" s="11" t="s">
        <v>279</v>
      </c>
      <c r="C139" s="11" t="s">
        <v>155</v>
      </c>
      <c r="D139" s="11" t="s">
        <v>321</v>
      </c>
      <c r="E139" s="11" t="s">
        <v>379</v>
      </c>
      <c r="F139" s="11" t="s">
        <v>65</v>
      </c>
      <c r="G139" s="11" t="s">
        <v>137</v>
      </c>
      <c r="H139" s="11" t="n">
        <v>22514.85</v>
      </c>
      <c r="I139" s="11" t="n">
        <v>523635</v>
      </c>
      <c r="J139" s="11" t="n">
        <v>10039</v>
      </c>
      <c r="K139" s="11" t="n">
        <v>579</v>
      </c>
      <c r="L139" s="11" t="n">
        <v>318060.45</v>
      </c>
    </row>
    <row r="140" customFormat="false" ht="15" hidden="false" customHeight="true" outlineLevel="0" collapsed="false">
      <c r="A140" s="11" t="n">
        <v>1707</v>
      </c>
      <c r="B140" s="11" t="s">
        <v>184</v>
      </c>
      <c r="C140" s="11" t="s">
        <v>328</v>
      </c>
      <c r="D140" s="11" t="s">
        <v>380</v>
      </c>
      <c r="E140" s="11" t="s">
        <v>381</v>
      </c>
      <c r="F140" s="11" t="s">
        <v>51</v>
      </c>
      <c r="G140" s="11" t="s">
        <v>72</v>
      </c>
      <c r="H140" s="11" t="n">
        <v>13709.59</v>
      </c>
      <c r="I140" s="11" t="n">
        <v>309576</v>
      </c>
      <c r="J140" s="11" t="n">
        <v>8999</v>
      </c>
      <c r="K140" s="11" t="n">
        <v>190</v>
      </c>
      <c r="L140" s="11" t="n">
        <v>309094.65</v>
      </c>
    </row>
    <row r="141" customFormat="false" ht="15" hidden="false" customHeight="true" outlineLevel="0" collapsed="false">
      <c r="A141" s="11" t="n">
        <v>1686</v>
      </c>
      <c r="B141" s="11" t="s">
        <v>382</v>
      </c>
      <c r="C141" s="11" t="s">
        <v>47</v>
      </c>
      <c r="D141" s="11" t="s">
        <v>383</v>
      </c>
      <c r="E141" s="11" t="s">
        <v>384</v>
      </c>
      <c r="F141" s="11" t="s">
        <v>60</v>
      </c>
      <c r="G141" s="11" t="s">
        <v>183</v>
      </c>
      <c r="H141" s="11" t="n">
        <v>2280.93</v>
      </c>
      <c r="I141" s="11" t="n">
        <v>51959</v>
      </c>
      <c r="J141" s="11" t="n">
        <v>536</v>
      </c>
      <c r="K141" s="11" t="n">
        <v>21</v>
      </c>
      <c r="L141" s="11" t="n">
        <v>15023.83</v>
      </c>
    </row>
    <row r="142" customFormat="false" ht="15" hidden="false" customHeight="true" outlineLevel="0" collapsed="false">
      <c r="A142" s="11" t="n">
        <v>1724</v>
      </c>
      <c r="B142" s="11" t="s">
        <v>385</v>
      </c>
      <c r="C142" s="11" t="s">
        <v>149</v>
      </c>
      <c r="D142" s="11" t="s">
        <v>386</v>
      </c>
      <c r="E142" s="11" t="s">
        <v>387</v>
      </c>
      <c r="F142" s="11" t="s">
        <v>56</v>
      </c>
      <c r="G142" s="11" t="s">
        <v>57</v>
      </c>
      <c r="H142" s="11" t="n">
        <v>29286.36</v>
      </c>
      <c r="I142" s="11" t="n">
        <v>778057</v>
      </c>
      <c r="J142" s="11" t="n">
        <v>24907</v>
      </c>
      <c r="K142" s="11" t="n">
        <v>1900</v>
      </c>
      <c r="L142" s="11" t="n">
        <v>2670162.91</v>
      </c>
    </row>
    <row r="143" customFormat="false" ht="15" hidden="false" customHeight="true" outlineLevel="0" collapsed="false">
      <c r="A143" s="11" t="n">
        <v>1158</v>
      </c>
      <c r="B143" s="11" t="s">
        <v>52</v>
      </c>
      <c r="C143" s="11" t="s">
        <v>92</v>
      </c>
      <c r="D143" s="11" t="s">
        <v>292</v>
      </c>
      <c r="E143" s="11" t="s">
        <v>388</v>
      </c>
      <c r="F143" s="11" t="s">
        <v>67</v>
      </c>
      <c r="G143" s="11" t="s">
        <v>103</v>
      </c>
      <c r="H143" s="11" t="n">
        <v>6653.18</v>
      </c>
      <c r="I143" s="11" t="n">
        <v>150397</v>
      </c>
      <c r="J143" s="11" t="n">
        <v>3931</v>
      </c>
      <c r="K143" s="11" t="n">
        <v>205</v>
      </c>
      <c r="L143" s="11" t="n">
        <v>135664.93</v>
      </c>
    </row>
    <row r="144" customFormat="false" ht="15" hidden="false" customHeight="true" outlineLevel="0" collapsed="false">
      <c r="A144" s="11" t="n">
        <v>1360</v>
      </c>
      <c r="B144" s="11" t="s">
        <v>167</v>
      </c>
      <c r="C144" s="11" t="s">
        <v>100</v>
      </c>
      <c r="D144" s="11" t="s">
        <v>389</v>
      </c>
      <c r="E144" s="11" t="s">
        <v>390</v>
      </c>
      <c r="F144" s="11" t="s">
        <v>48</v>
      </c>
      <c r="G144" s="11" t="s">
        <v>57</v>
      </c>
      <c r="H144" s="11" t="n">
        <v>44246.3</v>
      </c>
      <c r="I144" s="11" t="n">
        <v>1491514</v>
      </c>
      <c r="J144" s="11" t="n">
        <v>18014</v>
      </c>
      <c r="K144" s="11" t="n">
        <v>713</v>
      </c>
      <c r="L144" s="11" t="n">
        <v>398711.72</v>
      </c>
    </row>
    <row r="145" customFormat="false" ht="15" hidden="false" customHeight="true" outlineLevel="0" collapsed="false">
      <c r="A145" s="11" t="n">
        <v>1512</v>
      </c>
      <c r="B145" s="11" t="s">
        <v>188</v>
      </c>
      <c r="C145" s="11" t="s">
        <v>138</v>
      </c>
      <c r="D145" s="11" t="s">
        <v>283</v>
      </c>
      <c r="E145" s="11" t="s">
        <v>391</v>
      </c>
      <c r="F145" s="11" t="s">
        <v>48</v>
      </c>
      <c r="G145" s="11" t="s">
        <v>49</v>
      </c>
      <c r="H145" s="11" t="n">
        <v>8379.41</v>
      </c>
      <c r="I145" s="11" t="n">
        <v>307528</v>
      </c>
      <c r="J145" s="11" t="n">
        <v>10326</v>
      </c>
      <c r="K145" s="11" t="n">
        <v>597</v>
      </c>
      <c r="L145" s="11" t="n">
        <v>442544.02</v>
      </c>
    </row>
    <row r="146" customFormat="false" ht="15" hidden="false" customHeight="true" outlineLevel="0" collapsed="false">
      <c r="A146" s="11" t="n">
        <v>1397</v>
      </c>
      <c r="B146" s="11" t="s">
        <v>58</v>
      </c>
      <c r="C146" s="11" t="s">
        <v>50</v>
      </c>
      <c r="D146" s="11" t="s">
        <v>392</v>
      </c>
      <c r="E146" s="11" t="s">
        <v>393</v>
      </c>
      <c r="F146" s="11" t="s">
        <v>56</v>
      </c>
      <c r="G146" s="11" t="s">
        <v>72</v>
      </c>
      <c r="H146" s="11" t="n">
        <v>79371.41</v>
      </c>
      <c r="I146" s="11" t="n">
        <v>1792325</v>
      </c>
      <c r="J146" s="11" t="n">
        <v>35089</v>
      </c>
      <c r="K146" s="11" t="n">
        <v>2294</v>
      </c>
      <c r="L146" s="11" t="n">
        <v>1275699.64</v>
      </c>
    </row>
    <row r="147" customFormat="false" ht="15" hidden="false" customHeight="true" outlineLevel="0" collapsed="false">
      <c r="A147" s="11" t="n">
        <v>1600</v>
      </c>
      <c r="B147" s="11" t="s">
        <v>62</v>
      </c>
      <c r="C147" s="11" t="s">
        <v>85</v>
      </c>
      <c r="D147" s="11" t="s">
        <v>391</v>
      </c>
      <c r="E147" s="11" t="s">
        <v>394</v>
      </c>
      <c r="F147" s="11" t="s">
        <v>56</v>
      </c>
      <c r="G147" s="11" t="s">
        <v>199</v>
      </c>
      <c r="H147" s="11" t="n">
        <v>31828.84</v>
      </c>
      <c r="I147" s="11" t="n">
        <v>626769</v>
      </c>
      <c r="J147" s="11" t="n">
        <v>16184</v>
      </c>
      <c r="K147" s="11" t="n">
        <v>771</v>
      </c>
      <c r="L147" s="11" t="n">
        <v>639930.72</v>
      </c>
    </row>
    <row r="148" customFormat="false" ht="15" hidden="false" customHeight="true" outlineLevel="0" collapsed="false">
      <c r="A148" s="11" t="n">
        <v>1785</v>
      </c>
      <c r="B148" s="11" t="s">
        <v>55</v>
      </c>
      <c r="C148" s="11" t="s">
        <v>85</v>
      </c>
      <c r="D148" s="11" t="s">
        <v>395</v>
      </c>
      <c r="E148" s="11" t="s">
        <v>396</v>
      </c>
      <c r="F148" s="11" t="s">
        <v>60</v>
      </c>
      <c r="G148" s="11" t="s">
        <v>112</v>
      </c>
      <c r="H148" s="11" t="n">
        <v>65598.03</v>
      </c>
      <c r="I148" s="11" t="n">
        <v>2373210</v>
      </c>
      <c r="J148" s="11" t="n">
        <v>59300</v>
      </c>
      <c r="K148" s="11" t="n">
        <v>1466</v>
      </c>
      <c r="L148" s="11" t="n">
        <v>1493657.27</v>
      </c>
    </row>
    <row r="149" customFormat="false" ht="15" hidden="false" customHeight="true" outlineLevel="0" collapsed="false">
      <c r="A149" s="11" t="n">
        <v>1521</v>
      </c>
      <c r="B149" s="11" t="s">
        <v>64</v>
      </c>
      <c r="C149" s="11" t="s">
        <v>141</v>
      </c>
      <c r="D149" s="11" t="s">
        <v>381</v>
      </c>
      <c r="E149" s="11" t="s">
        <v>397</v>
      </c>
      <c r="F149" s="11" t="s">
        <v>56</v>
      </c>
      <c r="G149" s="11" t="s">
        <v>95</v>
      </c>
      <c r="H149" s="11" t="n">
        <v>5038.54</v>
      </c>
      <c r="I149" s="11" t="n">
        <v>124957</v>
      </c>
      <c r="J149" s="11" t="n">
        <v>3481</v>
      </c>
      <c r="K149" s="11" t="n">
        <v>258</v>
      </c>
      <c r="L149" s="11" t="n">
        <v>403548.1</v>
      </c>
    </row>
    <row r="150" customFormat="false" ht="15" hidden="false" customHeight="true" outlineLevel="0" collapsed="false">
      <c r="A150" s="11" t="n">
        <v>1624</v>
      </c>
      <c r="B150" s="11" t="s">
        <v>73</v>
      </c>
      <c r="C150" s="11" t="s">
        <v>92</v>
      </c>
      <c r="D150" s="11" t="s">
        <v>398</v>
      </c>
      <c r="E150" s="11" t="s">
        <v>399</v>
      </c>
      <c r="F150" s="11" t="s">
        <v>51</v>
      </c>
      <c r="G150" s="11" t="s">
        <v>147</v>
      </c>
      <c r="H150" s="11" t="n">
        <v>3609.57</v>
      </c>
      <c r="I150" s="11" t="n">
        <v>67386</v>
      </c>
      <c r="J150" s="11" t="n">
        <v>2311</v>
      </c>
      <c r="K150" s="11" t="n">
        <v>126</v>
      </c>
      <c r="L150" s="11" t="n">
        <v>205248.14</v>
      </c>
    </row>
    <row r="151" customFormat="false" ht="15" hidden="false" customHeight="true" outlineLevel="0" collapsed="false">
      <c r="A151" s="11" t="n">
        <v>1089</v>
      </c>
      <c r="B151" s="11" t="s">
        <v>64</v>
      </c>
      <c r="C151" s="11" t="s">
        <v>185</v>
      </c>
      <c r="D151" s="11" t="s">
        <v>400</v>
      </c>
      <c r="E151" s="11" t="s">
        <v>401</v>
      </c>
      <c r="F151" s="11" t="s">
        <v>53</v>
      </c>
      <c r="G151" s="11" t="s">
        <v>183</v>
      </c>
      <c r="H151" s="11" t="n">
        <v>11856.58</v>
      </c>
      <c r="I151" s="11" t="n">
        <v>315928</v>
      </c>
      <c r="J151" s="11" t="n">
        <v>6483</v>
      </c>
      <c r="K151" s="11" t="n">
        <v>123</v>
      </c>
      <c r="L151" s="11" t="n">
        <v>190911.73</v>
      </c>
    </row>
    <row r="152" customFormat="false" ht="15" hidden="false" customHeight="true" outlineLevel="0" collapsed="false">
      <c r="A152" s="11" t="n">
        <v>1793</v>
      </c>
      <c r="B152" s="11" t="s">
        <v>402</v>
      </c>
      <c r="C152" s="11" t="s">
        <v>85</v>
      </c>
      <c r="D152" s="11" t="s">
        <v>403</v>
      </c>
      <c r="E152" s="11" t="s">
        <v>404</v>
      </c>
      <c r="F152" s="11" t="s">
        <v>65</v>
      </c>
      <c r="G152" s="11" t="s">
        <v>49</v>
      </c>
      <c r="H152" s="11" t="n">
        <v>19091.42</v>
      </c>
      <c r="I152" s="11" t="n">
        <v>644053</v>
      </c>
      <c r="J152" s="11" t="n">
        <v>8208</v>
      </c>
      <c r="K152" s="11" t="n">
        <v>459</v>
      </c>
      <c r="L152" s="11" t="n">
        <v>607773.72</v>
      </c>
    </row>
    <row r="153" customFormat="false" ht="15" hidden="false" customHeight="true" outlineLevel="0" collapsed="false">
      <c r="A153" s="11" t="n">
        <v>1366</v>
      </c>
      <c r="B153" s="11" t="s">
        <v>78</v>
      </c>
      <c r="C153" s="11" t="s">
        <v>192</v>
      </c>
      <c r="D153" s="11" t="s">
        <v>405</v>
      </c>
      <c r="E153" s="11" t="s">
        <v>260</v>
      </c>
      <c r="F153" s="11" t="s">
        <v>51</v>
      </c>
      <c r="G153" s="11" t="s">
        <v>147</v>
      </c>
      <c r="H153" s="11" t="n">
        <v>78887.32</v>
      </c>
      <c r="I153" s="11" t="n">
        <v>1281490</v>
      </c>
      <c r="J153" s="11" t="n">
        <v>30166</v>
      </c>
      <c r="K153" s="11" t="n">
        <v>1569</v>
      </c>
      <c r="L153" s="11" t="n">
        <v>888703.94</v>
      </c>
    </row>
    <row r="154" customFormat="false" ht="15" hidden="false" customHeight="true" outlineLevel="0" collapsed="false">
      <c r="A154" s="11" t="n">
        <v>1174</v>
      </c>
      <c r="B154" s="11" t="s">
        <v>191</v>
      </c>
      <c r="C154" s="11" t="s">
        <v>192</v>
      </c>
      <c r="D154" s="11" t="s">
        <v>406</v>
      </c>
      <c r="E154" s="11" t="s">
        <v>407</v>
      </c>
      <c r="F154" s="11" t="s">
        <v>51</v>
      </c>
      <c r="G154" s="11" t="s">
        <v>183</v>
      </c>
      <c r="H154" s="11" t="n">
        <v>37413.91</v>
      </c>
      <c r="I154" s="11" t="n">
        <v>930488</v>
      </c>
      <c r="J154" s="11" t="n">
        <v>28489</v>
      </c>
      <c r="K154" s="11" t="n">
        <v>354</v>
      </c>
      <c r="L154" s="11" t="n">
        <v>417107.19</v>
      </c>
    </row>
    <row r="155" customFormat="false" ht="15" hidden="false" customHeight="true" outlineLevel="0" collapsed="false">
      <c r="A155" s="11" t="n">
        <v>1104</v>
      </c>
      <c r="B155" s="11" t="s">
        <v>62</v>
      </c>
      <c r="C155" s="11" t="s">
        <v>92</v>
      </c>
      <c r="D155" s="11" t="s">
        <v>408</v>
      </c>
      <c r="E155" s="11" t="s">
        <v>409</v>
      </c>
      <c r="F155" s="11" t="s">
        <v>53</v>
      </c>
      <c r="G155" s="11"/>
      <c r="H155" s="11" t="n">
        <v>7923.7</v>
      </c>
      <c r="I155" s="11" t="n">
        <v>226479</v>
      </c>
      <c r="J155" s="11" t="n">
        <v>4488</v>
      </c>
      <c r="K155" s="11" t="n">
        <v>339</v>
      </c>
      <c r="L155" s="11" t="n">
        <v>536988.41</v>
      </c>
    </row>
    <row r="156" customFormat="false" ht="15" hidden="false" customHeight="true" outlineLevel="0" collapsed="false">
      <c r="A156" s="11" t="n">
        <v>1575</v>
      </c>
      <c r="B156" s="11" t="s">
        <v>279</v>
      </c>
      <c r="C156" s="11" t="s">
        <v>96</v>
      </c>
      <c r="D156" s="11" t="s">
        <v>410</v>
      </c>
      <c r="E156" s="11" t="s">
        <v>411</v>
      </c>
      <c r="F156" s="11" t="s">
        <v>48</v>
      </c>
      <c r="G156" s="11" t="s">
        <v>163</v>
      </c>
      <c r="H156" s="11" t="n">
        <v>1218.1</v>
      </c>
      <c r="I156" s="11" t="n">
        <v>29487</v>
      </c>
      <c r="J156" s="11" t="n">
        <v>404</v>
      </c>
      <c r="K156" s="11" t="n">
        <v>8</v>
      </c>
      <c r="L156" s="11" t="n">
        <v>9658.24</v>
      </c>
    </row>
    <row r="157" customFormat="false" ht="15" hidden="false" customHeight="true" outlineLevel="0" collapsed="false">
      <c r="A157" s="11" t="n">
        <v>1314</v>
      </c>
      <c r="B157" s="11" t="s">
        <v>79</v>
      </c>
      <c r="C157" s="11" t="s">
        <v>47</v>
      </c>
      <c r="D157" s="11" t="s">
        <v>130</v>
      </c>
      <c r="E157" s="11" t="s">
        <v>267</v>
      </c>
      <c r="F157" s="11" t="s">
        <v>65</v>
      </c>
      <c r="G157" s="11" t="s">
        <v>131</v>
      </c>
      <c r="H157" s="11" t="n">
        <v>1991.13</v>
      </c>
      <c r="I157" s="11" t="n">
        <v>62413</v>
      </c>
      <c r="J157" s="11" t="n">
        <v>1194</v>
      </c>
      <c r="K157" s="11" t="n">
        <v>88</v>
      </c>
      <c r="L157" s="11" t="n">
        <v>36644.3</v>
      </c>
    </row>
    <row r="158" customFormat="false" ht="15" hidden="false" customHeight="true" outlineLevel="0" collapsed="false">
      <c r="A158" s="11" t="n">
        <v>1704</v>
      </c>
      <c r="B158" s="11" t="s">
        <v>73</v>
      </c>
      <c r="C158" s="11" t="s">
        <v>155</v>
      </c>
      <c r="D158" s="11" t="s">
        <v>412</v>
      </c>
      <c r="E158" s="11" t="s">
        <v>413</v>
      </c>
      <c r="F158" s="11" t="s">
        <v>65</v>
      </c>
      <c r="G158" s="11" t="s">
        <v>108</v>
      </c>
      <c r="H158" s="11" t="n">
        <v>23148.76</v>
      </c>
      <c r="I158" s="11" t="n">
        <v>724693</v>
      </c>
      <c r="J158" s="11" t="n">
        <v>10152</v>
      </c>
      <c r="K158" s="11" t="n">
        <v>693</v>
      </c>
      <c r="L158" s="11" t="n">
        <v>1020884.36</v>
      </c>
    </row>
    <row r="159" customFormat="false" ht="15" hidden="false" customHeight="true" outlineLevel="0" collapsed="false">
      <c r="A159" s="11" t="n">
        <v>1703</v>
      </c>
      <c r="B159" s="11" t="s">
        <v>64</v>
      </c>
      <c r="C159" s="11" t="s">
        <v>85</v>
      </c>
      <c r="D159" s="11" t="s">
        <v>254</v>
      </c>
      <c r="E159" s="11" t="s">
        <v>412</v>
      </c>
      <c r="F159" s="11" t="s">
        <v>51</v>
      </c>
      <c r="G159" s="11" t="s">
        <v>84</v>
      </c>
      <c r="H159" s="11" t="n">
        <v>56576.14</v>
      </c>
      <c r="I159" s="11" t="n">
        <v>1036919</v>
      </c>
      <c r="J159" s="11" t="n">
        <v>21669</v>
      </c>
      <c r="K159" s="11" t="n">
        <v>589</v>
      </c>
      <c r="L159" s="11" t="n">
        <v>814737.37</v>
      </c>
    </row>
    <row r="160" customFormat="false" ht="15" hidden="false" customHeight="true" outlineLevel="0" collapsed="false">
      <c r="A160" s="11" t="n">
        <v>1225</v>
      </c>
      <c r="B160" s="11" t="s">
        <v>79</v>
      </c>
      <c r="C160" s="11" t="s">
        <v>50</v>
      </c>
      <c r="D160" s="11" t="s">
        <v>414</v>
      </c>
      <c r="E160" s="11" t="s">
        <v>415</v>
      </c>
      <c r="F160" s="11" t="s">
        <v>60</v>
      </c>
      <c r="G160" s="11" t="s">
        <v>95</v>
      </c>
      <c r="H160" s="11" t="n">
        <v>67431.72</v>
      </c>
      <c r="I160" s="11" t="n">
        <v>1318094</v>
      </c>
      <c r="J160" s="11" t="n">
        <v>32674</v>
      </c>
      <c r="K160" s="11" t="n">
        <v>931</v>
      </c>
      <c r="L160" s="11" t="n">
        <v>1303465.97</v>
      </c>
    </row>
    <row r="161" customFormat="false" ht="15" hidden="false" customHeight="true" outlineLevel="0" collapsed="false">
      <c r="A161" s="11" t="n">
        <v>1277</v>
      </c>
      <c r="B161" s="11" t="s">
        <v>250</v>
      </c>
      <c r="C161" s="11" t="s">
        <v>149</v>
      </c>
      <c r="D161" s="11" t="s">
        <v>412</v>
      </c>
      <c r="E161" s="11" t="s">
        <v>416</v>
      </c>
      <c r="F161" s="11" t="s">
        <v>56</v>
      </c>
      <c r="G161" s="11" t="s">
        <v>57</v>
      </c>
      <c r="H161" s="11" t="n">
        <v>25838.98</v>
      </c>
      <c r="I161" s="11" t="n">
        <v>503135</v>
      </c>
      <c r="J161" s="11" t="n">
        <v>11425</v>
      </c>
      <c r="K161" s="11" t="n">
        <v>684</v>
      </c>
      <c r="L161" s="11" t="n">
        <v>439676.16</v>
      </c>
    </row>
    <row r="162" customFormat="false" ht="15" hidden="false" customHeight="true" outlineLevel="0" collapsed="false">
      <c r="A162" s="11" t="n">
        <v>1508</v>
      </c>
      <c r="B162" s="11" t="s">
        <v>66</v>
      </c>
      <c r="C162" s="11" t="s">
        <v>121</v>
      </c>
      <c r="D162" s="11" t="s">
        <v>252</v>
      </c>
      <c r="E162" s="11" t="s">
        <v>377</v>
      </c>
      <c r="F162" s="11" t="s">
        <v>48</v>
      </c>
      <c r="G162" s="11" t="s">
        <v>175</v>
      </c>
      <c r="H162" s="11" t="n">
        <v>17317.69</v>
      </c>
      <c r="I162" s="11" t="n">
        <v>593971</v>
      </c>
      <c r="J162" s="11" t="n">
        <v>7566</v>
      </c>
      <c r="K162" s="11" t="n">
        <v>326</v>
      </c>
      <c r="L162" s="11" t="n">
        <v>235123.63</v>
      </c>
    </row>
    <row r="163" customFormat="false" ht="15" hidden="false" customHeight="true" outlineLevel="0" collapsed="false">
      <c r="A163" s="11" t="n">
        <v>1700</v>
      </c>
      <c r="B163" s="11" t="s">
        <v>417</v>
      </c>
      <c r="C163" s="11" t="s">
        <v>155</v>
      </c>
      <c r="D163" s="11" t="s">
        <v>418</v>
      </c>
      <c r="E163" s="11" t="s">
        <v>252</v>
      </c>
      <c r="F163" s="11" t="s">
        <v>56</v>
      </c>
      <c r="G163" s="11"/>
      <c r="H163" s="11" t="n">
        <v>25761.49</v>
      </c>
      <c r="I163" s="11" t="n">
        <v>453268</v>
      </c>
      <c r="J163" s="11" t="n">
        <v>5443</v>
      </c>
      <c r="K163" s="11" t="n">
        <v>199</v>
      </c>
      <c r="L163" s="11" t="n">
        <v>232020.45</v>
      </c>
    </row>
    <row r="164" customFormat="false" ht="15" hidden="false" customHeight="true" outlineLevel="0" collapsed="false">
      <c r="A164" s="11" t="n">
        <v>1309</v>
      </c>
      <c r="B164" s="11" t="s">
        <v>62</v>
      </c>
      <c r="C164" s="11" t="s">
        <v>235</v>
      </c>
      <c r="D164" s="11" t="s">
        <v>419</v>
      </c>
      <c r="E164" s="11" t="s">
        <v>420</v>
      </c>
      <c r="F164" s="11" t="s">
        <v>69</v>
      </c>
      <c r="G164" s="11" t="s">
        <v>172</v>
      </c>
      <c r="H164" s="11" t="n">
        <v>40840.24</v>
      </c>
      <c r="I164" s="11" t="n">
        <v>1114654</v>
      </c>
      <c r="J164" s="11" t="n">
        <v>36624</v>
      </c>
      <c r="K164" s="11" t="n">
        <v>1930</v>
      </c>
      <c r="L164" s="11" t="n">
        <v>1174870.41</v>
      </c>
    </row>
    <row r="165" customFormat="false" ht="15" hidden="false" customHeight="true" outlineLevel="0" collapsed="false">
      <c r="A165" s="11" t="n">
        <v>1531</v>
      </c>
      <c r="B165" s="11" t="s">
        <v>79</v>
      </c>
      <c r="C165" s="11" t="s">
        <v>210</v>
      </c>
      <c r="D165" s="11" t="s">
        <v>421</v>
      </c>
      <c r="E165" s="11" t="s">
        <v>422</v>
      </c>
      <c r="F165" s="11" t="s">
        <v>67</v>
      </c>
      <c r="G165" s="11" t="s">
        <v>57</v>
      </c>
      <c r="H165" s="11" t="n">
        <v>82187.21</v>
      </c>
      <c r="I165" s="11" t="n">
        <v>3119075</v>
      </c>
      <c r="J165" s="11" t="n">
        <v>19255</v>
      </c>
      <c r="K165" s="11" t="n">
        <v>1061</v>
      </c>
      <c r="L165" s="11" t="n">
        <v>478201.68</v>
      </c>
    </row>
    <row r="166" customFormat="false" ht="15" hidden="false" customHeight="true" outlineLevel="0" collapsed="false">
      <c r="A166" s="11" t="n">
        <v>1005</v>
      </c>
      <c r="B166" s="11" t="s">
        <v>423</v>
      </c>
      <c r="C166" s="11" t="s">
        <v>141</v>
      </c>
      <c r="D166" s="11" t="s">
        <v>246</v>
      </c>
      <c r="E166" s="11" t="s">
        <v>424</v>
      </c>
      <c r="F166" s="11" t="s">
        <v>60</v>
      </c>
      <c r="G166" s="11" t="s">
        <v>112</v>
      </c>
      <c r="H166" s="11" t="n">
        <v>2535.25</v>
      </c>
      <c r="I166" s="11" t="n">
        <v>101253</v>
      </c>
      <c r="J166" s="11" t="n">
        <v>2053</v>
      </c>
      <c r="K166" s="11" t="n">
        <v>33</v>
      </c>
      <c r="L166" s="11" t="n">
        <v>13804.52</v>
      </c>
    </row>
    <row r="167" customFormat="false" ht="15" hidden="false" customHeight="true" outlineLevel="0" collapsed="false">
      <c r="A167" s="11" t="n">
        <v>1592</v>
      </c>
      <c r="B167" s="11" t="s">
        <v>80</v>
      </c>
      <c r="C167" s="11" t="s">
        <v>59</v>
      </c>
      <c r="D167" s="11" t="s">
        <v>425</v>
      </c>
      <c r="E167" s="11" t="s">
        <v>426</v>
      </c>
      <c r="F167" s="11" t="s">
        <v>60</v>
      </c>
      <c r="G167" s="11" t="s">
        <v>147</v>
      </c>
      <c r="H167" s="11" t="n">
        <v>83299.03</v>
      </c>
      <c r="I167" s="11" t="n">
        <v>1939830</v>
      </c>
      <c r="J167" s="11" t="n">
        <v>22246</v>
      </c>
      <c r="K167" s="11" t="n">
        <v>1364</v>
      </c>
      <c r="L167" s="11"/>
    </row>
    <row r="168" customFormat="false" ht="15" hidden="false" customHeight="true" outlineLevel="0" collapsed="false">
      <c r="A168" s="11" t="n">
        <v>1191</v>
      </c>
      <c r="B168" s="11" t="s">
        <v>78</v>
      </c>
      <c r="C168" s="11" t="s">
        <v>134</v>
      </c>
      <c r="D168" s="11" t="s">
        <v>314</v>
      </c>
      <c r="E168" s="11" t="s">
        <v>396</v>
      </c>
      <c r="F168" s="11" t="s">
        <v>60</v>
      </c>
      <c r="G168" s="11" t="s">
        <v>54</v>
      </c>
      <c r="H168" s="11" t="n">
        <v>36458.68</v>
      </c>
      <c r="I168" s="11" t="n">
        <v>979276</v>
      </c>
      <c r="J168" s="11" t="n">
        <v>9394</v>
      </c>
      <c r="K168" s="11" t="n">
        <v>551</v>
      </c>
      <c r="L168" s="11" t="n">
        <v>696437.25</v>
      </c>
    </row>
    <row r="169" customFormat="false" ht="15" hidden="false" customHeight="true" outlineLevel="0" collapsed="false">
      <c r="A169" s="11" t="n">
        <v>1708</v>
      </c>
      <c r="B169" s="11" t="s">
        <v>68</v>
      </c>
      <c r="C169" s="11" t="s">
        <v>141</v>
      </c>
      <c r="D169" s="11" t="s">
        <v>314</v>
      </c>
      <c r="E169" s="11" t="s">
        <v>427</v>
      </c>
      <c r="F169" s="11" t="s">
        <v>56</v>
      </c>
      <c r="G169" s="11" t="s">
        <v>175</v>
      </c>
      <c r="H169" s="11" t="n">
        <v>1949.19</v>
      </c>
      <c r="I169" s="11" t="n">
        <v>47801</v>
      </c>
      <c r="J169" s="11" t="n">
        <v>783</v>
      </c>
      <c r="K169" s="11" t="n">
        <v>17</v>
      </c>
      <c r="L169" s="11" t="n">
        <v>6441.87</v>
      </c>
    </row>
    <row r="170" customFormat="false" ht="15" hidden="false" customHeight="true" outlineLevel="0" collapsed="false">
      <c r="A170" s="11" t="n">
        <v>1057</v>
      </c>
      <c r="B170" s="11" t="s">
        <v>46</v>
      </c>
      <c r="C170" s="11" t="s">
        <v>50</v>
      </c>
      <c r="D170" s="11" t="s">
        <v>428</v>
      </c>
      <c r="E170" s="11" t="s">
        <v>429</v>
      </c>
      <c r="F170" s="11" t="s">
        <v>65</v>
      </c>
      <c r="G170" s="11" t="s">
        <v>72</v>
      </c>
      <c r="H170" s="11" t="n">
        <v>56393.81</v>
      </c>
      <c r="I170" s="11" t="n">
        <v>1750611</v>
      </c>
      <c r="J170" s="11" t="n">
        <v>40114</v>
      </c>
      <c r="K170" s="11" t="n">
        <v>461</v>
      </c>
      <c r="L170" s="11" t="n">
        <v>687282.84</v>
      </c>
    </row>
    <row r="171" customFormat="false" ht="15" hidden="false" customHeight="true" outlineLevel="0" collapsed="false">
      <c r="A171" s="11" t="n">
        <v>1684</v>
      </c>
      <c r="B171" s="11" t="s">
        <v>73</v>
      </c>
      <c r="C171" s="11" t="s">
        <v>155</v>
      </c>
      <c r="D171" s="11" t="s">
        <v>146</v>
      </c>
      <c r="E171" s="11" t="s">
        <v>241</v>
      </c>
      <c r="F171" s="11" t="s">
        <v>56</v>
      </c>
      <c r="G171" s="11" t="s">
        <v>84</v>
      </c>
      <c r="H171" s="11" t="n">
        <v>48908.38</v>
      </c>
      <c r="I171" s="11" t="n">
        <v>1391927</v>
      </c>
      <c r="J171" s="11" t="n">
        <v>35132</v>
      </c>
      <c r="K171" s="11" t="n">
        <v>1164</v>
      </c>
      <c r="L171" s="11" t="n">
        <v>1369205.26</v>
      </c>
    </row>
    <row r="172" customFormat="false" ht="15" hidden="false" customHeight="true" outlineLevel="0" collapsed="false">
      <c r="A172" s="11" t="n">
        <v>1341</v>
      </c>
      <c r="B172" s="11" t="s">
        <v>68</v>
      </c>
      <c r="C172" s="11" t="s">
        <v>328</v>
      </c>
      <c r="D172" s="11" t="s">
        <v>282</v>
      </c>
      <c r="E172" s="11" t="s">
        <v>430</v>
      </c>
      <c r="F172" s="11" t="s">
        <v>53</v>
      </c>
      <c r="G172" s="11" t="s">
        <v>99</v>
      </c>
      <c r="H172" s="11" t="n">
        <v>11128.89</v>
      </c>
      <c r="I172" s="11" t="n">
        <v>203445</v>
      </c>
      <c r="J172" s="11" t="n">
        <v>1123</v>
      </c>
      <c r="K172" s="11" t="n">
        <v>38</v>
      </c>
      <c r="L172" s="11" t="n">
        <v>51376.89</v>
      </c>
    </row>
    <row r="173" customFormat="false" ht="15" hidden="false" customHeight="true" outlineLevel="0" collapsed="false">
      <c r="A173" s="11" t="n">
        <v>1037</v>
      </c>
      <c r="B173" s="11" t="s">
        <v>431</v>
      </c>
      <c r="C173" s="11" t="s">
        <v>192</v>
      </c>
      <c r="D173" s="11" t="s">
        <v>432</v>
      </c>
      <c r="E173" s="11" t="s">
        <v>433</v>
      </c>
      <c r="F173" s="11" t="s">
        <v>51</v>
      </c>
      <c r="G173" s="11" t="s">
        <v>175</v>
      </c>
      <c r="H173" s="11" t="n">
        <v>36325.45</v>
      </c>
      <c r="I173" s="11" t="n">
        <v>979619</v>
      </c>
      <c r="J173" s="11" t="n">
        <v>14910</v>
      </c>
      <c r="K173" s="11" t="n">
        <v>1156</v>
      </c>
      <c r="L173" s="11" t="n">
        <v>827804.28</v>
      </c>
    </row>
    <row r="174" customFormat="false" ht="15" hidden="false" customHeight="true" outlineLevel="0" collapsed="false">
      <c r="A174" s="11" t="n">
        <v>1229</v>
      </c>
      <c r="B174" s="11" t="s">
        <v>62</v>
      </c>
      <c r="C174" s="11" t="s">
        <v>50</v>
      </c>
      <c r="D174" s="11" t="s">
        <v>434</v>
      </c>
      <c r="E174" s="11" t="s">
        <v>234</v>
      </c>
      <c r="F174" s="11" t="s">
        <v>48</v>
      </c>
      <c r="G174" s="11" t="s">
        <v>72</v>
      </c>
      <c r="H174" s="11" t="n">
        <v>37821.79</v>
      </c>
      <c r="I174" s="11" t="n">
        <v>759928</v>
      </c>
      <c r="J174" s="11" t="n">
        <v>16386</v>
      </c>
      <c r="K174" s="11" t="n">
        <v>803</v>
      </c>
      <c r="L174" s="11" t="n">
        <v>489142.16</v>
      </c>
    </row>
    <row r="175" customFormat="false" ht="15" hidden="false" customHeight="true" outlineLevel="0" collapsed="false">
      <c r="A175" s="11" t="n">
        <v>1106</v>
      </c>
      <c r="B175" s="11" t="s">
        <v>184</v>
      </c>
      <c r="C175" s="11" t="s">
        <v>63</v>
      </c>
      <c r="D175" s="11" t="s">
        <v>435</v>
      </c>
      <c r="E175" s="11" t="s">
        <v>436</v>
      </c>
      <c r="F175" s="11" t="s">
        <v>69</v>
      </c>
      <c r="G175" s="11" t="s">
        <v>163</v>
      </c>
      <c r="H175" s="11" t="n">
        <v>36481.82</v>
      </c>
      <c r="I175" s="11" t="n">
        <v>603887</v>
      </c>
      <c r="J175" s="11" t="n">
        <v>5161</v>
      </c>
      <c r="K175" s="11" t="n">
        <v>162</v>
      </c>
      <c r="L175" s="11" t="n">
        <v>151932.36</v>
      </c>
    </row>
    <row r="176" customFormat="false" ht="15" hidden="false" customHeight="true" outlineLevel="0" collapsed="false">
      <c r="A176" s="11" t="n">
        <v>1667</v>
      </c>
      <c r="B176" s="11" t="s">
        <v>64</v>
      </c>
      <c r="C176" s="11" t="s">
        <v>118</v>
      </c>
      <c r="D176" s="11" t="s">
        <v>437</v>
      </c>
      <c r="E176" s="11" t="s">
        <v>438</v>
      </c>
      <c r="F176" s="11" t="s">
        <v>65</v>
      </c>
      <c r="G176" s="11" t="s">
        <v>147</v>
      </c>
      <c r="H176" s="11" t="n">
        <v>64313.8</v>
      </c>
      <c r="I176" s="11" t="n">
        <v>1284149</v>
      </c>
      <c r="J176" s="11" t="n">
        <v>35105</v>
      </c>
      <c r="K176" s="11" t="n">
        <v>1642</v>
      </c>
      <c r="L176" s="11" t="n">
        <v>2431653.65</v>
      </c>
    </row>
    <row r="177" customFormat="false" ht="15" hidden="false" customHeight="true" outlineLevel="0" collapsed="false">
      <c r="A177" s="11" t="n">
        <v>1114</v>
      </c>
      <c r="B177" s="11" t="s">
        <v>70</v>
      </c>
      <c r="C177" s="11" t="s">
        <v>118</v>
      </c>
      <c r="D177" s="11" t="s">
        <v>439</v>
      </c>
      <c r="E177" s="11" t="s">
        <v>440</v>
      </c>
      <c r="F177" s="11" t="s">
        <v>56</v>
      </c>
      <c r="G177" s="11" t="s">
        <v>95</v>
      </c>
      <c r="H177" s="11" t="n">
        <v>69453.87</v>
      </c>
      <c r="I177" s="11" t="n">
        <v>1563990</v>
      </c>
      <c r="J177" s="11" t="n">
        <v>41019</v>
      </c>
      <c r="K177" s="11" t="n">
        <v>2723</v>
      </c>
      <c r="L177" s="11" t="n">
        <v>4564768.31</v>
      </c>
    </row>
    <row r="178" customFormat="false" ht="15" hidden="false" customHeight="true" outlineLevel="0" collapsed="false">
      <c r="A178" s="11" t="n">
        <v>1150</v>
      </c>
      <c r="B178" s="11" t="s">
        <v>68</v>
      </c>
      <c r="C178" s="11" t="s">
        <v>134</v>
      </c>
      <c r="D178" s="11" t="s">
        <v>441</v>
      </c>
      <c r="E178" s="11" t="s">
        <v>442</v>
      </c>
      <c r="F178" s="11" t="s">
        <v>65</v>
      </c>
      <c r="G178" s="11" t="s">
        <v>72</v>
      </c>
      <c r="H178" s="11" t="n">
        <v>28318.04</v>
      </c>
      <c r="I178" s="11" t="n">
        <v>873819</v>
      </c>
      <c r="J178" s="11" t="n">
        <v>26245</v>
      </c>
      <c r="K178" s="11" t="n">
        <v>1513</v>
      </c>
      <c r="L178" s="11" t="n">
        <v>674596.58</v>
      </c>
    </row>
    <row r="179" customFormat="false" ht="15" hidden="false" customHeight="true" outlineLevel="0" collapsed="false">
      <c r="A179" s="11" t="n">
        <v>1488</v>
      </c>
      <c r="B179" s="11" t="s">
        <v>68</v>
      </c>
      <c r="C179" s="11" t="s">
        <v>210</v>
      </c>
      <c r="D179" s="11" t="s">
        <v>443</v>
      </c>
      <c r="E179" s="11" t="s">
        <v>444</v>
      </c>
      <c r="F179" s="11" t="s">
        <v>67</v>
      </c>
      <c r="G179" s="11" t="s">
        <v>175</v>
      </c>
      <c r="H179" s="11" t="n">
        <v>31794.71</v>
      </c>
      <c r="I179" s="11" t="n">
        <v>901034</v>
      </c>
      <c r="J179" s="11" t="n">
        <v>12393</v>
      </c>
      <c r="K179" s="11" t="n">
        <v>678</v>
      </c>
      <c r="L179" s="11" t="n">
        <v>1163425.42</v>
      </c>
    </row>
    <row r="180" customFormat="false" ht="15" hidden="false" customHeight="true" outlineLevel="0" collapsed="false">
      <c r="A180" s="11" t="n">
        <v>1670</v>
      </c>
      <c r="B180" s="11" t="s">
        <v>144</v>
      </c>
      <c r="C180" s="11" t="s">
        <v>149</v>
      </c>
      <c r="D180" s="11" t="s">
        <v>169</v>
      </c>
      <c r="E180" s="11" t="s">
        <v>445</v>
      </c>
      <c r="F180" s="11" t="s">
        <v>60</v>
      </c>
      <c r="G180" s="11" t="s">
        <v>103</v>
      </c>
      <c r="H180" s="11" t="n">
        <v>16937.23</v>
      </c>
      <c r="I180" s="11" t="n">
        <v>402431</v>
      </c>
      <c r="J180" s="11" t="n">
        <v>4744</v>
      </c>
      <c r="K180" s="11" t="n">
        <v>362</v>
      </c>
      <c r="L180" s="11" t="n">
        <v>200417.13</v>
      </c>
    </row>
    <row r="181" customFormat="false" ht="15" hidden="false" customHeight="true" outlineLevel="0" collapsed="false">
      <c r="A181" s="11" t="n">
        <v>1335</v>
      </c>
      <c r="B181" s="11" t="s">
        <v>184</v>
      </c>
      <c r="C181" s="11" t="s">
        <v>235</v>
      </c>
      <c r="D181" s="11" t="s">
        <v>446</v>
      </c>
      <c r="E181" s="11" t="s">
        <v>383</v>
      </c>
      <c r="F181" s="11" t="s">
        <v>51</v>
      </c>
      <c r="G181" s="11" t="s">
        <v>226</v>
      </c>
      <c r="H181" s="11" t="n">
        <v>30204.38</v>
      </c>
      <c r="I181" s="11" t="n">
        <v>1061436</v>
      </c>
      <c r="J181" s="11" t="n">
        <v>36206</v>
      </c>
      <c r="K181" s="11" t="n">
        <v>1436</v>
      </c>
      <c r="L181" s="11" t="n">
        <v>2369144.1</v>
      </c>
    </row>
    <row r="182" customFormat="false" ht="15" hidden="false" customHeight="true" outlineLevel="0" collapsed="false">
      <c r="A182" s="11" t="n">
        <v>1619</v>
      </c>
      <c r="B182" s="11" t="s">
        <v>447</v>
      </c>
      <c r="C182" s="11" t="s">
        <v>115</v>
      </c>
      <c r="D182" s="11" t="s">
        <v>448</v>
      </c>
      <c r="E182" s="11" t="s">
        <v>206</v>
      </c>
      <c r="F182" s="11" t="s">
        <v>56</v>
      </c>
      <c r="G182" s="11" t="s">
        <v>49</v>
      </c>
      <c r="H182" s="11" t="n">
        <v>24786.26</v>
      </c>
      <c r="I182" s="11" t="n">
        <v>641592</v>
      </c>
      <c r="J182" s="11" t="n">
        <v>9744</v>
      </c>
      <c r="K182" s="11" t="n">
        <v>543</v>
      </c>
      <c r="L182" s="11" t="n">
        <v>525233.81</v>
      </c>
    </row>
    <row r="183" customFormat="false" ht="15" hidden="false" customHeight="true" outlineLevel="0" collapsed="false">
      <c r="A183" s="11" t="n">
        <v>1458</v>
      </c>
      <c r="B183" s="11" t="s">
        <v>144</v>
      </c>
      <c r="C183" s="11" t="s">
        <v>81</v>
      </c>
      <c r="D183" s="11" t="s">
        <v>449</v>
      </c>
      <c r="E183" s="11" t="s">
        <v>332</v>
      </c>
      <c r="F183" s="11" t="s">
        <v>53</v>
      </c>
      <c r="G183" s="11" t="s">
        <v>72</v>
      </c>
      <c r="H183" s="11" t="n">
        <v>5145.4</v>
      </c>
      <c r="I183" s="11" t="n">
        <v>101384</v>
      </c>
      <c r="J183" s="11" t="n">
        <v>3372</v>
      </c>
      <c r="K183" s="11" t="n">
        <v>168</v>
      </c>
      <c r="L183" s="11" t="n">
        <v>89838.89</v>
      </c>
    </row>
    <row r="184" customFormat="false" ht="15" hidden="false" customHeight="true" outlineLevel="0" collapsed="false">
      <c r="A184" s="11" t="n">
        <v>1631</v>
      </c>
      <c r="B184" s="11" t="s">
        <v>144</v>
      </c>
      <c r="C184" s="11" t="s">
        <v>141</v>
      </c>
      <c r="D184" s="11" t="s">
        <v>450</v>
      </c>
      <c r="E184" s="11" t="s">
        <v>451</v>
      </c>
      <c r="F184" s="11" t="s">
        <v>56</v>
      </c>
      <c r="G184" s="11" t="s">
        <v>209</v>
      </c>
      <c r="H184" s="11" t="n">
        <v>4728.66</v>
      </c>
      <c r="I184" s="11" t="n">
        <v>110420</v>
      </c>
      <c r="J184" s="11" t="n">
        <v>2089</v>
      </c>
      <c r="K184" s="11" t="n">
        <v>46</v>
      </c>
      <c r="L184" s="11" t="n">
        <v>76615.64</v>
      </c>
    </row>
    <row r="185" customFormat="false" ht="15" hidden="false" customHeight="true" outlineLevel="0" collapsed="false">
      <c r="A185" s="11" t="n">
        <v>1462</v>
      </c>
      <c r="B185" s="11" t="s">
        <v>109</v>
      </c>
      <c r="C185" s="11" t="s">
        <v>105</v>
      </c>
      <c r="D185" s="11" t="s">
        <v>452</v>
      </c>
      <c r="E185" s="11" t="s">
        <v>201</v>
      </c>
      <c r="F185" s="11" t="s">
        <v>67</v>
      </c>
      <c r="G185" s="11" t="s">
        <v>57</v>
      </c>
      <c r="H185" s="11" t="n">
        <v>31394.93</v>
      </c>
      <c r="I185" s="11" t="n">
        <v>817746</v>
      </c>
      <c r="J185" s="11" t="n">
        <v>15924</v>
      </c>
      <c r="K185" s="11" t="n">
        <v>1159</v>
      </c>
      <c r="L185" s="11" t="n">
        <v>758172.83</v>
      </c>
    </row>
    <row r="186" customFormat="false" ht="15" hidden="false" customHeight="true" outlineLevel="0" collapsed="false">
      <c r="A186" s="11" t="n">
        <v>1083</v>
      </c>
      <c r="B186" s="11" t="s">
        <v>88</v>
      </c>
      <c r="C186" s="11" t="s">
        <v>138</v>
      </c>
      <c r="D186" s="11" t="s">
        <v>214</v>
      </c>
      <c r="E186" s="11" t="s">
        <v>410</v>
      </c>
      <c r="F186" s="11" t="s">
        <v>48</v>
      </c>
      <c r="G186" s="11" t="s">
        <v>163</v>
      </c>
      <c r="H186" s="11" t="n">
        <v>25348.41</v>
      </c>
      <c r="I186" s="11" t="n">
        <v>986356</v>
      </c>
      <c r="J186" s="11" t="n">
        <v>14964</v>
      </c>
      <c r="K186" s="11" t="n">
        <v>345</v>
      </c>
      <c r="L186" s="11" t="n">
        <v>466957.26</v>
      </c>
    </row>
    <row r="187" customFormat="false" ht="15" hidden="false" customHeight="true" outlineLevel="0" collapsed="false">
      <c r="A187" s="11" t="n">
        <v>1797</v>
      </c>
      <c r="B187" s="11" t="s">
        <v>55</v>
      </c>
      <c r="C187" s="11" t="s">
        <v>59</v>
      </c>
      <c r="D187" s="11" t="s">
        <v>453</v>
      </c>
      <c r="E187" s="11" t="s">
        <v>454</v>
      </c>
      <c r="F187" s="11" t="s">
        <v>60</v>
      </c>
      <c r="G187" s="11" t="s">
        <v>131</v>
      </c>
      <c r="H187" s="11" t="n">
        <v>29933.48</v>
      </c>
      <c r="I187" s="11" t="n">
        <v>480405</v>
      </c>
      <c r="J187" s="11" t="n">
        <v>8929</v>
      </c>
      <c r="K187" s="11" t="n">
        <v>91</v>
      </c>
      <c r="L187" s="11" t="n">
        <v>78747.86</v>
      </c>
    </row>
    <row r="188" customFormat="false" ht="15" hidden="false" customHeight="true" outlineLevel="0" collapsed="false">
      <c r="A188" s="11" t="n">
        <v>1485</v>
      </c>
      <c r="B188" s="11" t="s">
        <v>455</v>
      </c>
      <c r="C188" s="11" t="s">
        <v>138</v>
      </c>
      <c r="D188" s="11" t="s">
        <v>129</v>
      </c>
      <c r="E188" s="11" t="s">
        <v>456</v>
      </c>
      <c r="F188" s="11" t="s">
        <v>53</v>
      </c>
      <c r="G188" s="11" t="s">
        <v>226</v>
      </c>
      <c r="H188" s="11" t="n">
        <v>41966</v>
      </c>
      <c r="I188" s="11" t="n">
        <v>831899</v>
      </c>
      <c r="J188" s="11" t="n">
        <v>15284</v>
      </c>
      <c r="K188" s="11" t="n">
        <v>258</v>
      </c>
      <c r="L188" s="11" t="n">
        <v>442634.11</v>
      </c>
    </row>
    <row r="189" customFormat="false" ht="15" hidden="false" customHeight="true" outlineLevel="0" collapsed="false">
      <c r="A189" s="11" t="n">
        <v>1813</v>
      </c>
      <c r="B189" s="11" t="s">
        <v>78</v>
      </c>
      <c r="C189" s="11" t="s">
        <v>50</v>
      </c>
      <c r="D189" s="11" t="s">
        <v>457</v>
      </c>
      <c r="E189" s="11" t="s">
        <v>323</v>
      </c>
      <c r="F189" s="11" t="s">
        <v>51</v>
      </c>
      <c r="G189" s="11" t="s">
        <v>49</v>
      </c>
      <c r="H189" s="11" t="n">
        <v>74649.7</v>
      </c>
      <c r="I189" s="11" t="n">
        <v>2261464</v>
      </c>
      <c r="J189" s="11" t="n">
        <v>17651</v>
      </c>
      <c r="K189" s="11" t="n">
        <v>485</v>
      </c>
      <c r="L189" s="11" t="n">
        <v>590520.98</v>
      </c>
    </row>
    <row r="190" customFormat="false" ht="15" hidden="false" customHeight="true" outlineLevel="0" collapsed="false">
      <c r="A190" s="11" t="n">
        <v>1270</v>
      </c>
      <c r="B190" s="11" t="s">
        <v>46</v>
      </c>
      <c r="C190" s="11" t="s">
        <v>235</v>
      </c>
      <c r="D190" s="11" t="s">
        <v>458</v>
      </c>
      <c r="E190" s="11" t="s">
        <v>459</v>
      </c>
      <c r="F190" s="11" t="s">
        <v>67</v>
      </c>
      <c r="G190" s="11" t="s">
        <v>112</v>
      </c>
      <c r="H190" s="11" t="n">
        <v>76438.15</v>
      </c>
      <c r="I190" s="11" t="n">
        <v>1577650</v>
      </c>
      <c r="J190" s="11" t="n">
        <v>24064</v>
      </c>
      <c r="K190" s="11" t="n">
        <v>902</v>
      </c>
      <c r="L190" s="11" t="n">
        <v>495223.24</v>
      </c>
    </row>
    <row r="191" customFormat="false" ht="15" hidden="false" customHeight="true" outlineLevel="0" collapsed="false">
      <c r="A191" s="11" t="n">
        <v>1358</v>
      </c>
      <c r="B191" s="11" t="s">
        <v>460</v>
      </c>
      <c r="C191" s="11" t="s">
        <v>149</v>
      </c>
      <c r="D191" s="11" t="s">
        <v>213</v>
      </c>
      <c r="E191" s="11" t="s">
        <v>461</v>
      </c>
      <c r="F191" s="11" t="s">
        <v>60</v>
      </c>
      <c r="G191" s="11" t="s">
        <v>238</v>
      </c>
      <c r="H191" s="11" t="n">
        <v>14887.58</v>
      </c>
      <c r="I191" s="11" t="n">
        <v>324814</v>
      </c>
      <c r="J191" s="11" t="n">
        <v>1908</v>
      </c>
      <c r="K191" s="11" t="n">
        <v>124</v>
      </c>
      <c r="L191" s="11" t="n">
        <v>93343.4</v>
      </c>
    </row>
    <row r="192" customFormat="false" ht="15" hidden="false" customHeight="true" outlineLevel="0" collapsed="false">
      <c r="A192" s="11" t="n">
        <v>1072</v>
      </c>
      <c r="B192" s="11" t="s">
        <v>66</v>
      </c>
      <c r="C192" s="11" t="s">
        <v>121</v>
      </c>
      <c r="D192" s="11" t="s">
        <v>462</v>
      </c>
      <c r="E192" s="11" t="s">
        <v>463</v>
      </c>
      <c r="F192" s="11" t="s">
        <v>69</v>
      </c>
      <c r="G192" s="11" t="s">
        <v>91</v>
      </c>
      <c r="H192" s="11" t="n">
        <v>59531.27</v>
      </c>
      <c r="I192" s="11" t="n">
        <v>1672930</v>
      </c>
      <c r="J192" s="11" t="n">
        <v>38969</v>
      </c>
      <c r="K192" s="11" t="n">
        <v>1382</v>
      </c>
      <c r="L192" s="11" t="n">
        <v>2323153.53</v>
      </c>
    </row>
    <row r="193" customFormat="false" ht="15" hidden="false" customHeight="true" outlineLevel="0" collapsed="false">
      <c r="A193" s="11" t="n">
        <v>1166</v>
      </c>
      <c r="B193" s="11" t="s">
        <v>144</v>
      </c>
      <c r="C193" s="11" t="s">
        <v>63</v>
      </c>
      <c r="D193" s="11" t="s">
        <v>464</v>
      </c>
      <c r="E193" s="11" t="s">
        <v>465</v>
      </c>
      <c r="F193" s="11" t="s">
        <v>60</v>
      </c>
      <c r="G193" s="11" t="s">
        <v>199</v>
      </c>
      <c r="H193" s="11" t="n">
        <v>19277.67</v>
      </c>
      <c r="I193" s="11" t="n">
        <v>354926</v>
      </c>
      <c r="J193" s="11" t="n">
        <v>3451</v>
      </c>
      <c r="K193" s="11" t="n">
        <v>263</v>
      </c>
      <c r="L193" s="11" t="n">
        <v>394019.15</v>
      </c>
    </row>
    <row r="194" customFormat="false" ht="15" hidden="false" customHeight="true" outlineLevel="0" collapsed="false">
      <c r="A194" s="11" t="n">
        <v>1201</v>
      </c>
      <c r="B194" s="11" t="s">
        <v>73</v>
      </c>
      <c r="C194" s="11" t="s">
        <v>71</v>
      </c>
      <c r="D194" s="11" t="s">
        <v>466</v>
      </c>
      <c r="E194" s="11" t="s">
        <v>467</v>
      </c>
      <c r="F194" s="11" t="s">
        <v>65</v>
      </c>
      <c r="G194" s="11" t="s">
        <v>49</v>
      </c>
      <c r="H194" s="11" t="n">
        <v>19210.65</v>
      </c>
      <c r="I194" s="11" t="n">
        <v>684165</v>
      </c>
      <c r="J194" s="11" t="n">
        <v>7332</v>
      </c>
      <c r="K194" s="11" t="n">
        <v>246</v>
      </c>
      <c r="L194" s="11" t="n">
        <v>356175.17</v>
      </c>
    </row>
    <row r="195" customFormat="false" ht="15" hidden="false" customHeight="true" outlineLevel="0" collapsed="false">
      <c r="A195" s="11" t="n">
        <v>1211</v>
      </c>
      <c r="B195" s="11" t="s">
        <v>73</v>
      </c>
      <c r="C195" s="11" t="s">
        <v>50</v>
      </c>
      <c r="D195" s="11" t="s">
        <v>468</v>
      </c>
      <c r="E195" s="11" t="s">
        <v>469</v>
      </c>
      <c r="F195" s="11" t="s">
        <v>69</v>
      </c>
      <c r="G195" s="11" t="s">
        <v>99</v>
      </c>
      <c r="H195" s="11" t="n">
        <v>32421.89</v>
      </c>
      <c r="I195" s="11" t="n">
        <v>553073</v>
      </c>
      <c r="J195" s="11" t="n">
        <v>4357</v>
      </c>
      <c r="K195" s="11" t="n">
        <v>339</v>
      </c>
      <c r="L195" s="11" t="n">
        <v>498774.72</v>
      </c>
    </row>
    <row r="196" customFormat="false" ht="15" hidden="false" customHeight="true" outlineLevel="0" collapsed="false">
      <c r="A196" s="11" t="n">
        <v>1772</v>
      </c>
      <c r="B196" s="11" t="s">
        <v>62</v>
      </c>
      <c r="C196" s="11" t="s">
        <v>210</v>
      </c>
      <c r="D196" s="11" t="s">
        <v>470</v>
      </c>
      <c r="E196" s="11" t="s">
        <v>471</v>
      </c>
      <c r="F196" s="11" t="s">
        <v>53</v>
      </c>
      <c r="G196" s="11" t="s">
        <v>112</v>
      </c>
      <c r="H196" s="11" t="n">
        <v>43195.82</v>
      </c>
      <c r="I196" s="11" t="n">
        <v>1051411</v>
      </c>
      <c r="J196" s="11" t="n">
        <v>15178</v>
      </c>
      <c r="K196" s="11" t="n">
        <v>362</v>
      </c>
      <c r="L196" s="11" t="n">
        <v>135120.2</v>
      </c>
    </row>
    <row r="197" customFormat="false" ht="15" hidden="false" customHeight="true" outlineLevel="0" collapsed="false">
      <c r="A197" s="11" t="n">
        <v>1594</v>
      </c>
      <c r="B197" s="11" t="s">
        <v>78</v>
      </c>
      <c r="C197" s="11" t="s">
        <v>47</v>
      </c>
      <c r="D197" s="11" t="s">
        <v>356</v>
      </c>
      <c r="E197" s="11" t="s">
        <v>472</v>
      </c>
      <c r="F197" s="11" t="s">
        <v>60</v>
      </c>
      <c r="G197" s="11" t="s">
        <v>61</v>
      </c>
      <c r="H197" s="11" t="n">
        <v>6493.4</v>
      </c>
      <c r="I197" s="11" t="n">
        <v>166418</v>
      </c>
      <c r="J197" s="11" t="n">
        <v>4543</v>
      </c>
      <c r="K197" s="11" t="n">
        <v>141</v>
      </c>
      <c r="L197" s="11" t="n">
        <v>143173.26</v>
      </c>
    </row>
    <row r="198" customFormat="false" ht="15" hidden="false" customHeight="true" outlineLevel="0" collapsed="false">
      <c r="A198" s="11" t="n">
        <v>1212</v>
      </c>
      <c r="B198" s="11" t="s">
        <v>447</v>
      </c>
      <c r="C198" s="11" t="s">
        <v>149</v>
      </c>
      <c r="D198" s="11" t="s">
        <v>473</v>
      </c>
      <c r="E198" s="11" t="s">
        <v>474</v>
      </c>
      <c r="F198" s="11" t="s">
        <v>56</v>
      </c>
      <c r="G198" s="11" t="s">
        <v>49</v>
      </c>
      <c r="H198" s="11" t="n">
        <v>20595.48</v>
      </c>
      <c r="I198" s="11" t="n">
        <v>353995</v>
      </c>
      <c r="J198" s="11" t="n">
        <v>2346</v>
      </c>
      <c r="K198" s="11" t="n">
        <v>153</v>
      </c>
      <c r="L198" s="11" t="n">
        <v>177360.98</v>
      </c>
    </row>
    <row r="199" customFormat="false" ht="15" hidden="false" customHeight="true" outlineLevel="0" collapsed="false">
      <c r="A199" s="11" t="n">
        <v>1013</v>
      </c>
      <c r="B199" s="11" t="s">
        <v>79</v>
      </c>
      <c r="C199" s="11" t="s">
        <v>141</v>
      </c>
      <c r="D199" s="11" t="s">
        <v>475</v>
      </c>
      <c r="E199" s="11" t="s">
        <v>219</v>
      </c>
      <c r="F199" s="11" t="s">
        <v>48</v>
      </c>
      <c r="G199" s="11" t="s">
        <v>99</v>
      </c>
      <c r="H199" s="11" t="n">
        <v>4337.52</v>
      </c>
      <c r="I199" s="11" t="n">
        <v>164759</v>
      </c>
      <c r="J199" s="11" t="n">
        <v>3449</v>
      </c>
      <c r="K199" s="11" t="n">
        <v>48</v>
      </c>
      <c r="L199" s="11" t="n">
        <v>52144.86</v>
      </c>
    </row>
    <row r="200" customFormat="false" ht="15" hidden="false" customHeight="true" outlineLevel="0" collapsed="false">
      <c r="A200" s="11" t="n">
        <v>1007</v>
      </c>
      <c r="B200" s="11" t="s">
        <v>68</v>
      </c>
      <c r="C200" s="11" t="s">
        <v>192</v>
      </c>
      <c r="D200" s="11" t="s">
        <v>476</v>
      </c>
      <c r="E200" s="11" t="s">
        <v>283</v>
      </c>
      <c r="F200" s="11" t="s">
        <v>56</v>
      </c>
      <c r="G200" s="11" t="s">
        <v>72</v>
      </c>
      <c r="H200" s="11" t="n">
        <v>55453.43</v>
      </c>
      <c r="I200" s="11" t="n">
        <v>1911239</v>
      </c>
      <c r="J200" s="11" t="n">
        <v>39965</v>
      </c>
      <c r="K200" s="11" t="n">
        <v>401</v>
      </c>
      <c r="L200" s="11"/>
    </row>
    <row r="201" customFormat="false" ht="15" hidden="false" customHeight="true" outlineLevel="0" collapsed="false">
      <c r="A201" s="11" t="n">
        <v>1573</v>
      </c>
      <c r="B201" s="11" t="s">
        <v>144</v>
      </c>
      <c r="C201" s="11" t="s">
        <v>235</v>
      </c>
      <c r="D201" s="11" t="s">
        <v>477</v>
      </c>
      <c r="E201" s="11" t="s">
        <v>478</v>
      </c>
      <c r="F201" s="11" t="s">
        <v>69</v>
      </c>
      <c r="G201" s="11" t="s">
        <v>137</v>
      </c>
      <c r="H201" s="11" t="n">
        <v>12695.12</v>
      </c>
      <c r="I201" s="11" t="n">
        <v>407653</v>
      </c>
      <c r="J201" s="11" t="n">
        <v>12562</v>
      </c>
      <c r="K201" s="11" t="n">
        <v>635</v>
      </c>
      <c r="L201" s="11" t="n">
        <v>260880.61</v>
      </c>
    </row>
    <row r="202" customFormat="false" ht="15" hidden="false" customHeight="true" outlineLevel="0" collapsed="false">
      <c r="A202" s="11" t="n">
        <v>1157</v>
      </c>
      <c r="B202" s="11" t="s">
        <v>479</v>
      </c>
      <c r="C202" s="11" t="s">
        <v>149</v>
      </c>
      <c r="D202" s="11" t="s">
        <v>480</v>
      </c>
      <c r="E202" s="11" t="s">
        <v>481</v>
      </c>
      <c r="F202" s="11" t="s">
        <v>48</v>
      </c>
      <c r="G202" s="11" t="s">
        <v>137</v>
      </c>
      <c r="H202" s="11" t="n">
        <v>20355.07</v>
      </c>
      <c r="I202" s="11" t="n">
        <v>535723</v>
      </c>
      <c r="J202" s="11" t="n">
        <v>6433</v>
      </c>
      <c r="K202" s="11" t="n">
        <v>489</v>
      </c>
      <c r="L202" s="11" t="n">
        <v>267660.1</v>
      </c>
    </row>
    <row r="203" customFormat="false" ht="15" hidden="false" customHeight="true" outlineLevel="0" collapsed="false">
      <c r="A203" s="11" t="n">
        <v>1682</v>
      </c>
      <c r="B203" s="11" t="s">
        <v>144</v>
      </c>
      <c r="C203" s="11" t="s">
        <v>138</v>
      </c>
      <c r="D203" s="11" t="s">
        <v>482</v>
      </c>
      <c r="E203" s="11" t="s">
        <v>483</v>
      </c>
      <c r="F203" s="11" t="s">
        <v>51</v>
      </c>
      <c r="G203" s="11" t="s">
        <v>99</v>
      </c>
      <c r="H203" s="11" t="n">
        <v>41519.16</v>
      </c>
      <c r="I203" s="11" t="n">
        <v>1249821</v>
      </c>
      <c r="J203" s="11" t="n">
        <v>33249</v>
      </c>
      <c r="K203" s="11" t="n">
        <v>2002</v>
      </c>
      <c r="L203" s="11" t="n">
        <v>2572971.69</v>
      </c>
    </row>
    <row r="204" customFormat="false" ht="15" hidden="false" customHeight="true" outlineLevel="0" collapsed="false">
      <c r="A204" s="11" t="n">
        <v>1546</v>
      </c>
      <c r="B204" s="11" t="s">
        <v>250</v>
      </c>
      <c r="C204" s="11" t="s">
        <v>138</v>
      </c>
      <c r="D204" s="11" t="s">
        <v>484</v>
      </c>
      <c r="E204" s="11" t="s">
        <v>485</v>
      </c>
      <c r="F204" s="11" t="s">
        <v>69</v>
      </c>
      <c r="G204" s="11" t="s">
        <v>72</v>
      </c>
      <c r="H204" s="11" t="n">
        <v>21409.6</v>
      </c>
      <c r="I204" s="11" t="n">
        <v>472759</v>
      </c>
      <c r="J204" s="11" t="n">
        <v>14546</v>
      </c>
      <c r="K204" s="11" t="n">
        <v>822</v>
      </c>
      <c r="L204" s="11" t="n">
        <v>1204134.48</v>
      </c>
    </row>
    <row r="205" customFormat="false" ht="15" hidden="false" customHeight="true" outlineLevel="0" collapsed="false">
      <c r="A205" s="11" t="n">
        <v>1409</v>
      </c>
      <c r="B205" s="11" t="s">
        <v>46</v>
      </c>
      <c r="C205" s="11" t="s">
        <v>185</v>
      </c>
      <c r="D205" s="11" t="s">
        <v>324</v>
      </c>
      <c r="E205" s="11" t="s">
        <v>486</v>
      </c>
      <c r="F205" s="11" t="s">
        <v>65</v>
      </c>
      <c r="G205" s="11" t="s">
        <v>91</v>
      </c>
      <c r="H205" s="11" t="n">
        <v>9913.39</v>
      </c>
      <c r="I205" s="11" t="n">
        <v>270843</v>
      </c>
      <c r="J205" s="11" t="n">
        <v>7074</v>
      </c>
      <c r="K205" s="11" t="n">
        <v>370</v>
      </c>
      <c r="L205" s="11" t="n">
        <v>133328.14</v>
      </c>
    </row>
    <row r="206" customFormat="false" ht="15" hidden="false" customHeight="true" outlineLevel="0" collapsed="false">
      <c r="A206" s="11" t="n">
        <v>1020</v>
      </c>
      <c r="B206" s="11" t="s">
        <v>184</v>
      </c>
      <c r="C206" s="11" t="s">
        <v>96</v>
      </c>
      <c r="D206" s="11" t="s">
        <v>487</v>
      </c>
      <c r="E206" s="11" t="s">
        <v>488</v>
      </c>
      <c r="F206" s="11" t="s">
        <v>60</v>
      </c>
      <c r="G206" s="11" t="s">
        <v>61</v>
      </c>
      <c r="H206" s="11" t="n">
        <v>7768.22</v>
      </c>
      <c r="I206" s="11" t="n">
        <v>170730</v>
      </c>
      <c r="J206" s="11" t="n">
        <v>4139</v>
      </c>
      <c r="K206" s="11" t="n">
        <v>157</v>
      </c>
      <c r="L206" s="11" t="n">
        <v>278308.73</v>
      </c>
    </row>
    <row r="207" customFormat="false" ht="15" hidden="false" customHeight="true" outlineLevel="0" collapsed="false">
      <c r="A207" s="11" t="n">
        <v>1500</v>
      </c>
      <c r="B207" s="11" t="s">
        <v>342</v>
      </c>
      <c r="C207" s="11" t="s">
        <v>149</v>
      </c>
      <c r="D207" s="11" t="s">
        <v>396</v>
      </c>
      <c r="E207" s="11" t="s">
        <v>298</v>
      </c>
      <c r="F207" s="11" t="s">
        <v>53</v>
      </c>
      <c r="G207" s="11" t="s">
        <v>72</v>
      </c>
      <c r="H207" s="11" t="n">
        <v>7328.17</v>
      </c>
      <c r="I207" s="11" t="n">
        <v>176836</v>
      </c>
      <c r="J207" s="11" t="n">
        <v>1303</v>
      </c>
      <c r="K207" s="11" t="n">
        <v>20</v>
      </c>
      <c r="L207" s="11" t="n">
        <v>23506.31</v>
      </c>
    </row>
    <row r="208" customFormat="false" ht="15" hidden="false" customHeight="true" outlineLevel="0" collapsed="false">
      <c r="A208" s="11" t="n">
        <v>1719</v>
      </c>
      <c r="B208" s="11" t="s">
        <v>76</v>
      </c>
      <c r="C208" s="11" t="s">
        <v>118</v>
      </c>
      <c r="D208" s="11" t="s">
        <v>489</v>
      </c>
      <c r="E208" s="11" t="s">
        <v>391</v>
      </c>
      <c r="F208" s="11" t="s">
        <v>51</v>
      </c>
      <c r="G208" s="11" t="s">
        <v>84</v>
      </c>
      <c r="H208" s="11" t="n">
        <v>61650.14</v>
      </c>
      <c r="I208" s="11" t="n">
        <v>1519004</v>
      </c>
      <c r="J208" s="11" t="n">
        <v>50869</v>
      </c>
      <c r="K208" s="11" t="n">
        <v>3618</v>
      </c>
      <c r="L208" s="11" t="n">
        <v>5401618.62</v>
      </c>
    </row>
    <row r="209" customFormat="false" ht="15" hidden="false" customHeight="true" outlineLevel="0" collapsed="false">
      <c r="A209" s="11" t="n">
        <v>1733</v>
      </c>
      <c r="B209" s="11" t="s">
        <v>66</v>
      </c>
      <c r="C209" s="11" t="s">
        <v>118</v>
      </c>
      <c r="D209" s="11" t="s">
        <v>490</v>
      </c>
      <c r="E209" s="11" t="s">
        <v>491</v>
      </c>
      <c r="F209" s="11" t="s">
        <v>60</v>
      </c>
      <c r="G209" s="11" t="s">
        <v>131</v>
      </c>
      <c r="H209" s="11" t="n">
        <v>12916.21</v>
      </c>
      <c r="I209" s="11" t="n">
        <v>453564</v>
      </c>
      <c r="J209" s="11" t="n">
        <v>12375</v>
      </c>
      <c r="K209" s="11" t="n">
        <v>881</v>
      </c>
      <c r="L209" s="11" t="n">
        <v>564022.21</v>
      </c>
    </row>
    <row r="210" customFormat="false" ht="15" hidden="false" customHeight="true" outlineLevel="0" collapsed="false">
      <c r="A210" s="11" t="n">
        <v>1748</v>
      </c>
      <c r="B210" s="11" t="s">
        <v>64</v>
      </c>
      <c r="C210" s="11" t="s">
        <v>115</v>
      </c>
      <c r="D210" s="11" t="s">
        <v>492</v>
      </c>
      <c r="E210" s="11" t="s">
        <v>128</v>
      </c>
      <c r="F210" s="11" t="s">
        <v>51</v>
      </c>
      <c r="G210" s="11" t="s">
        <v>199</v>
      </c>
      <c r="H210" s="11" t="n">
        <v>69748.85</v>
      </c>
      <c r="I210" s="11" t="n">
        <v>1115661</v>
      </c>
      <c r="J210" s="11" t="n">
        <v>25697</v>
      </c>
      <c r="K210" s="11" t="n">
        <v>1024</v>
      </c>
      <c r="L210" s="11" t="n">
        <v>1378171.57</v>
      </c>
    </row>
    <row r="211" customFormat="false" ht="15" hidden="false" customHeight="true" outlineLevel="0" collapsed="false">
      <c r="A211" s="11" t="n">
        <v>1030</v>
      </c>
      <c r="B211" s="11" t="s">
        <v>290</v>
      </c>
      <c r="C211" s="11" t="s">
        <v>121</v>
      </c>
      <c r="D211" s="11" t="s">
        <v>493</v>
      </c>
      <c r="E211" s="11" t="s">
        <v>156</v>
      </c>
      <c r="F211" s="11" t="s">
        <v>69</v>
      </c>
      <c r="G211" s="11" t="s">
        <v>175</v>
      </c>
      <c r="H211" s="11" t="n">
        <v>51639.9</v>
      </c>
      <c r="I211" s="11" t="n">
        <v>1576741</v>
      </c>
      <c r="J211" s="11" t="n">
        <v>19167</v>
      </c>
      <c r="K211" s="11" t="n">
        <v>827</v>
      </c>
      <c r="L211" s="11" t="n">
        <v>426620.1</v>
      </c>
    </row>
    <row r="212" customFormat="false" ht="15" hidden="false" customHeight="true" outlineLevel="0" collapsed="false">
      <c r="A212" s="11" t="n">
        <v>1015</v>
      </c>
      <c r="B212" s="11" t="s">
        <v>152</v>
      </c>
      <c r="C212" s="11" t="s">
        <v>96</v>
      </c>
      <c r="D212" s="11" t="s">
        <v>494</v>
      </c>
      <c r="E212" s="11" t="s">
        <v>132</v>
      </c>
      <c r="F212" s="11" t="s">
        <v>53</v>
      </c>
      <c r="G212" s="11" t="s">
        <v>131</v>
      </c>
      <c r="H212" s="11" t="n">
        <v>4541.19</v>
      </c>
      <c r="I212" s="11" t="n">
        <v>83155</v>
      </c>
      <c r="J212" s="11" t="n">
        <v>1286</v>
      </c>
      <c r="K212" s="11" t="n">
        <v>19</v>
      </c>
      <c r="L212" s="11" t="n">
        <v>13380.04</v>
      </c>
    </row>
    <row r="213" customFormat="false" ht="15" hidden="false" customHeight="true" outlineLevel="0" collapsed="false">
      <c r="A213" s="11" t="n">
        <v>1017</v>
      </c>
      <c r="B213" s="11" t="s">
        <v>184</v>
      </c>
      <c r="C213" s="11" t="s">
        <v>210</v>
      </c>
      <c r="D213" s="11" t="s">
        <v>495</v>
      </c>
      <c r="E213" s="11" t="s">
        <v>496</v>
      </c>
      <c r="F213" s="11" t="s">
        <v>69</v>
      </c>
      <c r="G213" s="11" t="s">
        <v>172</v>
      </c>
      <c r="H213" s="11" t="n">
        <v>62783.5</v>
      </c>
      <c r="I213" s="11" t="n">
        <v>1352914</v>
      </c>
      <c r="J213" s="11" t="n">
        <v>36849</v>
      </c>
      <c r="K213" s="11" t="n">
        <v>1791</v>
      </c>
      <c r="L213" s="11"/>
    </row>
    <row r="214" customFormat="false" ht="15" hidden="false" customHeight="true" outlineLevel="0" collapsed="false">
      <c r="A214" s="11" t="n">
        <v>1580</v>
      </c>
      <c r="B214" s="11" t="s">
        <v>62</v>
      </c>
      <c r="C214" s="11" t="s">
        <v>47</v>
      </c>
      <c r="D214" s="11" t="s">
        <v>116</v>
      </c>
      <c r="E214" s="11" t="s">
        <v>497</v>
      </c>
      <c r="F214" s="11" t="s">
        <v>56</v>
      </c>
      <c r="G214" s="11" t="s">
        <v>226</v>
      </c>
      <c r="H214" s="11" t="n">
        <v>7329.82</v>
      </c>
      <c r="I214" s="11" t="n">
        <v>174883</v>
      </c>
      <c r="J214" s="11" t="n">
        <v>2985</v>
      </c>
      <c r="K214" s="11" t="n">
        <v>146</v>
      </c>
      <c r="L214" s="11" t="n">
        <v>201826.91</v>
      </c>
    </row>
    <row r="215" customFormat="false" ht="15" hidden="false" customHeight="true" outlineLevel="0" collapsed="false">
      <c r="A215" s="11" t="n">
        <v>1776</v>
      </c>
      <c r="B215" s="11" t="s">
        <v>70</v>
      </c>
      <c r="C215" s="11" t="s">
        <v>92</v>
      </c>
      <c r="D215" s="11" t="s">
        <v>498</v>
      </c>
      <c r="E215" s="11" t="s">
        <v>499</v>
      </c>
      <c r="F215" s="11" t="s">
        <v>56</v>
      </c>
      <c r="G215" s="11" t="s">
        <v>99</v>
      </c>
      <c r="H215" s="11" t="n">
        <v>5999.9</v>
      </c>
      <c r="I215" s="11" t="n">
        <v>199714</v>
      </c>
      <c r="J215" s="11" t="n">
        <v>4804</v>
      </c>
      <c r="K215" s="11" t="n">
        <v>96</v>
      </c>
      <c r="L215" s="11" t="n">
        <v>139685.54</v>
      </c>
    </row>
    <row r="216" customFormat="false" ht="15" hidden="false" customHeight="true" outlineLevel="0" collapsed="false">
      <c r="A216" s="11" t="n">
        <v>1761</v>
      </c>
      <c r="B216" s="11" t="s">
        <v>447</v>
      </c>
      <c r="C216" s="11" t="s">
        <v>71</v>
      </c>
      <c r="D216" s="11" t="s">
        <v>213</v>
      </c>
      <c r="E216" s="11" t="s">
        <v>314</v>
      </c>
      <c r="F216" s="11" t="s">
        <v>53</v>
      </c>
      <c r="G216" s="11" t="s">
        <v>112</v>
      </c>
      <c r="H216" s="11" t="n">
        <v>54348.2</v>
      </c>
      <c r="I216" s="11" t="n">
        <v>1585020</v>
      </c>
      <c r="J216" s="11" t="n">
        <v>8393</v>
      </c>
      <c r="K216" s="11" t="n">
        <v>282</v>
      </c>
      <c r="L216" s="11" t="n">
        <v>354000.81</v>
      </c>
    </row>
    <row r="217" customFormat="false" ht="15" hidden="false" customHeight="true" outlineLevel="0" collapsed="false">
      <c r="A217" s="11" t="n">
        <v>1436</v>
      </c>
      <c r="B217" s="11" t="s">
        <v>62</v>
      </c>
      <c r="C217" s="11" t="s">
        <v>59</v>
      </c>
      <c r="D217" s="11" t="s">
        <v>486</v>
      </c>
      <c r="E217" s="11" t="s">
        <v>500</v>
      </c>
      <c r="F217" s="11" t="s">
        <v>69</v>
      </c>
      <c r="G217" s="11" t="s">
        <v>95</v>
      </c>
      <c r="H217" s="11" t="n">
        <v>41856.52</v>
      </c>
      <c r="I217" s="11" t="n">
        <v>854576</v>
      </c>
      <c r="J217" s="11" t="n">
        <v>5155</v>
      </c>
      <c r="K217" s="11" t="n">
        <v>295</v>
      </c>
      <c r="L217" s="11" t="n">
        <v>195715.22</v>
      </c>
    </row>
    <row r="218" customFormat="false" ht="15" hidden="false" customHeight="true" outlineLevel="0" collapsed="false">
      <c r="A218" s="11" t="n">
        <v>1132</v>
      </c>
      <c r="B218" s="11" t="s">
        <v>349</v>
      </c>
      <c r="C218" s="11" t="s">
        <v>47</v>
      </c>
      <c r="D218" s="11" t="s">
        <v>501</v>
      </c>
      <c r="E218" s="11" t="s">
        <v>502</v>
      </c>
      <c r="F218" s="11" t="s">
        <v>65</v>
      </c>
      <c r="G218" s="11" t="s">
        <v>99</v>
      </c>
      <c r="H218" s="11" t="n">
        <v>4241.44</v>
      </c>
      <c r="I218" s="11" t="n">
        <v>135678</v>
      </c>
      <c r="J218" s="11" t="n">
        <v>3488</v>
      </c>
      <c r="K218" s="11" t="n">
        <v>71</v>
      </c>
      <c r="L218" s="11" t="n">
        <v>127563.5</v>
      </c>
    </row>
    <row r="219" customFormat="false" ht="15" hidden="false" customHeight="true" outlineLevel="0" collapsed="false">
      <c r="A219" s="11" t="n">
        <v>1171</v>
      </c>
      <c r="B219" s="11" t="s">
        <v>58</v>
      </c>
      <c r="C219" s="11" t="s">
        <v>141</v>
      </c>
      <c r="D219" s="11" t="s">
        <v>503</v>
      </c>
      <c r="E219" s="11" t="s">
        <v>504</v>
      </c>
      <c r="F219" s="11" t="s">
        <v>65</v>
      </c>
      <c r="G219" s="11" t="s">
        <v>199</v>
      </c>
      <c r="H219" s="11" t="n">
        <v>6054.27</v>
      </c>
      <c r="I219" s="11" t="n">
        <v>201300</v>
      </c>
      <c r="J219" s="11" t="n">
        <v>2608</v>
      </c>
      <c r="K219" s="11" t="n">
        <v>77</v>
      </c>
      <c r="L219" s="11" t="n">
        <v>53472.27</v>
      </c>
    </row>
    <row r="220" customFormat="false" ht="15" hidden="false" customHeight="true" outlineLevel="0" collapsed="false">
      <c r="A220" s="11" t="n">
        <v>1281</v>
      </c>
      <c r="B220" s="11" t="s">
        <v>88</v>
      </c>
      <c r="C220" s="11" t="s">
        <v>155</v>
      </c>
      <c r="D220" s="11" t="s">
        <v>190</v>
      </c>
      <c r="E220" s="11" t="s">
        <v>505</v>
      </c>
      <c r="F220" s="11" t="s">
        <v>67</v>
      </c>
      <c r="G220" s="11" t="s">
        <v>95</v>
      </c>
      <c r="H220" s="11" t="n">
        <v>67488.51</v>
      </c>
      <c r="I220" s="11" t="n">
        <v>1977890</v>
      </c>
      <c r="J220" s="11" t="n">
        <v>43247</v>
      </c>
      <c r="K220" s="11" t="n">
        <v>3357</v>
      </c>
      <c r="L220" s="11" t="n">
        <v>4822449.58</v>
      </c>
    </row>
    <row r="221" customFormat="false" ht="15" hidden="false" customHeight="true" outlineLevel="0" collapsed="false">
      <c r="A221" s="11" t="n">
        <v>1001</v>
      </c>
      <c r="B221" s="11" t="s">
        <v>55</v>
      </c>
      <c r="C221" s="11" t="s">
        <v>71</v>
      </c>
      <c r="D221" s="11" t="s">
        <v>496</v>
      </c>
      <c r="E221" s="11" t="s">
        <v>325</v>
      </c>
      <c r="F221" s="11" t="s">
        <v>60</v>
      </c>
      <c r="G221" s="11" t="s">
        <v>91</v>
      </c>
      <c r="H221" s="11" t="n">
        <v>19369.17</v>
      </c>
      <c r="I221" s="11" t="n">
        <v>535245</v>
      </c>
      <c r="J221" s="11" t="n">
        <v>3102</v>
      </c>
      <c r="K221" s="11" t="n">
        <v>74</v>
      </c>
      <c r="L221" s="11" t="n">
        <v>95632.6</v>
      </c>
    </row>
    <row r="222" customFormat="false" ht="15" hidden="false" customHeight="true" outlineLevel="0" collapsed="false">
      <c r="A222" s="11" t="n">
        <v>1058</v>
      </c>
      <c r="B222" s="11" t="s">
        <v>79</v>
      </c>
      <c r="C222" s="11" t="s">
        <v>134</v>
      </c>
      <c r="D222" s="11" t="s">
        <v>506</v>
      </c>
      <c r="E222" s="11" t="s">
        <v>507</v>
      </c>
      <c r="F222" s="11" t="s">
        <v>69</v>
      </c>
      <c r="G222" s="11" t="s">
        <v>238</v>
      </c>
      <c r="H222" s="11" t="n">
        <v>36091.2</v>
      </c>
      <c r="I222" s="11" t="n">
        <v>1261851</v>
      </c>
      <c r="J222" s="11" t="n">
        <v>10470</v>
      </c>
      <c r="K222" s="11" t="n">
        <v>739</v>
      </c>
      <c r="L222" s="11" t="n">
        <v>399883.75</v>
      </c>
    </row>
    <row r="223" customFormat="false" ht="15" hidden="false" customHeight="true" outlineLevel="0" collapsed="false">
      <c r="A223" s="11" t="n">
        <v>1712</v>
      </c>
      <c r="B223" s="11" t="s">
        <v>109</v>
      </c>
      <c r="C223" s="11" t="s">
        <v>92</v>
      </c>
      <c r="D223" s="11" t="s">
        <v>508</v>
      </c>
      <c r="E223" s="11" t="s">
        <v>509</v>
      </c>
      <c r="F223" s="11" t="s">
        <v>60</v>
      </c>
      <c r="G223" s="11" t="s">
        <v>108</v>
      </c>
      <c r="H223" s="11" t="n">
        <v>1926.38</v>
      </c>
      <c r="I223" s="11" t="n">
        <v>45570</v>
      </c>
      <c r="J223" s="11" t="n">
        <v>585</v>
      </c>
      <c r="K223" s="11" t="n">
        <v>13</v>
      </c>
      <c r="L223" s="11" t="n">
        <v>9858.94</v>
      </c>
    </row>
    <row r="224" customFormat="false" ht="15" hidden="false" customHeight="true" outlineLevel="0" collapsed="false">
      <c r="A224" s="11" t="n">
        <v>1762</v>
      </c>
      <c r="B224" s="11" t="s">
        <v>58</v>
      </c>
      <c r="C224" s="11" t="s">
        <v>100</v>
      </c>
      <c r="D224" s="11" t="s">
        <v>510</v>
      </c>
      <c r="E224" s="11" t="s">
        <v>203</v>
      </c>
      <c r="F224" s="11" t="s">
        <v>48</v>
      </c>
      <c r="G224" s="11" t="s">
        <v>175</v>
      </c>
      <c r="H224" s="11" t="n">
        <v>30235.59</v>
      </c>
      <c r="I224" s="11" t="n">
        <v>919386</v>
      </c>
      <c r="J224" s="11" t="n">
        <v>30922</v>
      </c>
      <c r="K224" s="11" t="n">
        <v>506</v>
      </c>
      <c r="L224" s="11" t="n">
        <v>720372.65</v>
      </c>
    </row>
    <row r="225" customFormat="false" ht="15" hidden="false" customHeight="true" outlineLevel="0" collapsed="false">
      <c r="A225" s="11" t="n">
        <v>1741</v>
      </c>
      <c r="B225" s="11" t="s">
        <v>52</v>
      </c>
      <c r="C225" s="11" t="s">
        <v>85</v>
      </c>
      <c r="D225" s="11" t="s">
        <v>129</v>
      </c>
      <c r="E225" s="11" t="s">
        <v>130</v>
      </c>
      <c r="F225" s="11" t="s">
        <v>56</v>
      </c>
      <c r="G225" s="11" t="s">
        <v>131</v>
      </c>
      <c r="H225" s="11" t="n">
        <v>74280.91</v>
      </c>
      <c r="I225" s="11" t="n">
        <v>2939136</v>
      </c>
      <c r="J225" s="11" t="n">
        <v>27485</v>
      </c>
      <c r="K225" s="11" t="n">
        <v>932</v>
      </c>
      <c r="L225" s="11" t="n">
        <v>1181227.33</v>
      </c>
    </row>
    <row r="226" customFormat="false" ht="15" hidden="false" customHeight="true" outlineLevel="0" collapsed="false">
      <c r="A226" s="11" t="n">
        <v>1368</v>
      </c>
      <c r="B226" s="11" t="s">
        <v>313</v>
      </c>
      <c r="C226" s="11" t="s">
        <v>141</v>
      </c>
      <c r="D226" s="11" t="s">
        <v>511</v>
      </c>
      <c r="E226" s="11" t="s">
        <v>512</v>
      </c>
      <c r="F226" s="11" t="s">
        <v>65</v>
      </c>
      <c r="G226" s="11" t="s">
        <v>175</v>
      </c>
      <c r="H226" s="11" t="n">
        <v>5530.65</v>
      </c>
      <c r="I226" s="11" t="n">
        <v>94814</v>
      </c>
      <c r="J226" s="11" t="n">
        <v>1807</v>
      </c>
      <c r="K226" s="11" t="n">
        <v>128</v>
      </c>
      <c r="L226" s="11" t="n">
        <v>225648.49</v>
      </c>
    </row>
    <row r="227" customFormat="false" ht="15" hidden="false" customHeight="true" outlineLevel="0" collapsed="false">
      <c r="A227" s="11" t="n">
        <v>1470</v>
      </c>
      <c r="B227" s="11" t="s">
        <v>58</v>
      </c>
      <c r="C227" s="11" t="s">
        <v>100</v>
      </c>
      <c r="D227" s="11" t="s">
        <v>277</v>
      </c>
      <c r="E227" s="11" t="s">
        <v>513</v>
      </c>
      <c r="F227" s="11" t="s">
        <v>65</v>
      </c>
      <c r="G227" s="11" t="s">
        <v>209</v>
      </c>
      <c r="H227" s="11" t="n">
        <v>54860.26</v>
      </c>
      <c r="I227" s="11" t="n">
        <v>1760985</v>
      </c>
      <c r="J227" s="11" t="n">
        <v>30294</v>
      </c>
      <c r="K227" s="11" t="n">
        <v>1001</v>
      </c>
      <c r="L227" s="11" t="n">
        <v>479491.54</v>
      </c>
    </row>
    <row r="228" customFormat="false" ht="15" hidden="false" customHeight="true" outlineLevel="0" collapsed="false">
      <c r="A228" s="11" t="n">
        <v>1663</v>
      </c>
      <c r="B228" s="11" t="s">
        <v>70</v>
      </c>
      <c r="C228" s="11" t="s">
        <v>192</v>
      </c>
      <c r="D228" s="11" t="s">
        <v>514</v>
      </c>
      <c r="E228" s="11" t="s">
        <v>515</v>
      </c>
      <c r="F228" s="11" t="s">
        <v>67</v>
      </c>
      <c r="G228" s="11" t="s">
        <v>54</v>
      </c>
      <c r="H228" s="11" t="n">
        <v>31966.76</v>
      </c>
      <c r="I228" s="11" t="n">
        <v>627049</v>
      </c>
      <c r="J228" s="11" t="n">
        <v>15538</v>
      </c>
      <c r="K228" s="11" t="n">
        <v>512</v>
      </c>
      <c r="L228" s="11" t="n">
        <v>902265.49</v>
      </c>
    </row>
    <row r="229" customFormat="false" ht="15" hidden="false" customHeight="true" outlineLevel="0" collapsed="false">
      <c r="A229" s="11" t="n">
        <v>1324</v>
      </c>
      <c r="B229" s="11" t="s">
        <v>78</v>
      </c>
      <c r="C229" s="11" t="s">
        <v>81</v>
      </c>
      <c r="D229" s="11" t="s">
        <v>166</v>
      </c>
      <c r="E229" s="11" t="s">
        <v>514</v>
      </c>
      <c r="F229" s="11" t="s">
        <v>53</v>
      </c>
      <c r="G229" s="11" t="s">
        <v>172</v>
      </c>
      <c r="H229" s="11"/>
      <c r="I229" s="11" t="n">
        <v>147271</v>
      </c>
      <c r="J229" s="11" t="n">
        <v>1699</v>
      </c>
      <c r="K229" s="11" t="n">
        <v>59</v>
      </c>
      <c r="L229" s="11" t="n">
        <v>41101.79</v>
      </c>
    </row>
    <row r="230" customFormat="false" ht="15" hidden="false" customHeight="true" outlineLevel="0" collapsed="false">
      <c r="A230" s="11" t="n">
        <v>1655</v>
      </c>
      <c r="B230" s="11" t="s">
        <v>76</v>
      </c>
      <c r="C230" s="11" t="s">
        <v>115</v>
      </c>
      <c r="D230" s="11" t="s">
        <v>101</v>
      </c>
      <c r="E230" s="11" t="s">
        <v>516</v>
      </c>
      <c r="F230" s="11" t="s">
        <v>56</v>
      </c>
      <c r="G230" s="11" t="s">
        <v>112</v>
      </c>
      <c r="H230" s="11" t="n">
        <v>24430.09</v>
      </c>
      <c r="I230" s="11" t="n">
        <v>477355</v>
      </c>
      <c r="J230" s="11" t="n">
        <v>2762</v>
      </c>
      <c r="K230" s="11" t="n">
        <v>143</v>
      </c>
      <c r="L230" s="11" t="n">
        <v>225198.2</v>
      </c>
    </row>
    <row r="231" customFormat="false" ht="15" hidden="false" customHeight="true" outlineLevel="0" collapsed="false">
      <c r="A231" s="11" t="n">
        <v>1431</v>
      </c>
      <c r="B231" s="11" t="s">
        <v>64</v>
      </c>
      <c r="C231" s="11" t="s">
        <v>47</v>
      </c>
      <c r="D231" s="11" t="s">
        <v>517</v>
      </c>
      <c r="E231" s="11" t="s">
        <v>518</v>
      </c>
      <c r="F231" s="11" t="s">
        <v>51</v>
      </c>
      <c r="G231" s="11" t="s">
        <v>137</v>
      </c>
      <c r="H231" s="11" t="n">
        <v>7574.08</v>
      </c>
      <c r="I231" s="11" t="n">
        <v>224853</v>
      </c>
      <c r="J231" s="11" t="n">
        <v>4513</v>
      </c>
      <c r="K231" s="11" t="n">
        <v>261</v>
      </c>
      <c r="L231" s="11"/>
    </row>
    <row r="232" customFormat="false" ht="15" hidden="false" customHeight="true" outlineLevel="0" collapsed="false">
      <c r="A232" s="11" t="n">
        <v>1359</v>
      </c>
      <c r="B232" s="11" t="s">
        <v>290</v>
      </c>
      <c r="C232" s="11" t="s">
        <v>47</v>
      </c>
      <c r="D232" s="11" t="s">
        <v>519</v>
      </c>
      <c r="E232" s="11" t="s">
        <v>512</v>
      </c>
      <c r="F232" s="11" t="s">
        <v>60</v>
      </c>
      <c r="G232" s="11" t="s">
        <v>112</v>
      </c>
      <c r="H232" s="11" t="n">
        <v>7200.04</v>
      </c>
      <c r="I232" s="11" t="n">
        <v>179442</v>
      </c>
      <c r="J232" s="11" t="n">
        <v>5418</v>
      </c>
      <c r="K232" s="11" t="n">
        <v>373</v>
      </c>
      <c r="L232" s="11" t="n">
        <v>258212.86</v>
      </c>
    </row>
    <row r="233" customFormat="false" ht="15" hidden="false" customHeight="true" outlineLevel="0" collapsed="false">
      <c r="A233" s="11" t="n">
        <v>1420</v>
      </c>
      <c r="B233" s="11" t="s">
        <v>79</v>
      </c>
      <c r="C233" s="11" t="s">
        <v>124</v>
      </c>
      <c r="D233" s="11" t="s">
        <v>263</v>
      </c>
      <c r="E233" s="11" t="s">
        <v>520</v>
      </c>
      <c r="F233" s="11" t="s">
        <v>65</v>
      </c>
      <c r="G233" s="11" t="s">
        <v>175</v>
      </c>
      <c r="H233" s="11" t="n">
        <v>17156.03</v>
      </c>
      <c r="I233" s="11" t="n">
        <v>369621</v>
      </c>
      <c r="J233" s="11" t="n">
        <v>2970</v>
      </c>
      <c r="K233" s="11" t="n">
        <v>202</v>
      </c>
      <c r="L233" s="11" t="n">
        <v>110898.63</v>
      </c>
    </row>
    <row r="234" customFormat="false" ht="15" hidden="false" customHeight="true" outlineLevel="0" collapsed="false">
      <c r="A234" s="11" t="n">
        <v>1302</v>
      </c>
      <c r="B234" s="11" t="s">
        <v>70</v>
      </c>
      <c r="C234" s="11" t="s">
        <v>96</v>
      </c>
      <c r="D234" s="11" t="s">
        <v>521</v>
      </c>
      <c r="E234" s="11" t="s">
        <v>522</v>
      </c>
      <c r="F234" s="11" t="s">
        <v>67</v>
      </c>
      <c r="G234" s="11" t="s">
        <v>112</v>
      </c>
      <c r="H234" s="11" t="n">
        <v>5046.99</v>
      </c>
      <c r="I234" s="11" t="n">
        <v>147985</v>
      </c>
      <c r="J234" s="11" t="n">
        <v>3653</v>
      </c>
      <c r="K234" s="11" t="n">
        <v>111</v>
      </c>
      <c r="L234" s="11"/>
    </row>
    <row r="235" customFormat="false" ht="15" hidden="false" customHeight="true" outlineLevel="0" collapsed="false">
      <c r="A235" s="11" t="n">
        <v>1169</v>
      </c>
      <c r="B235" s="11" t="s">
        <v>184</v>
      </c>
      <c r="C235" s="11" t="s">
        <v>185</v>
      </c>
      <c r="D235" s="11" t="s">
        <v>186</v>
      </c>
      <c r="E235" s="11" t="s">
        <v>187</v>
      </c>
      <c r="F235" s="11" t="s">
        <v>60</v>
      </c>
      <c r="G235" s="11" t="s">
        <v>172</v>
      </c>
      <c r="H235" s="11" t="n">
        <v>53852.07</v>
      </c>
      <c r="I235" s="11" t="n">
        <v>1280644</v>
      </c>
      <c r="J235" s="11" t="n">
        <v>20823</v>
      </c>
      <c r="K235" s="11" t="n">
        <v>1416</v>
      </c>
      <c r="L235" s="11" t="n">
        <v>2115020.42</v>
      </c>
    </row>
    <row r="236" customFormat="false" ht="15" hidden="false" customHeight="true" outlineLevel="0" collapsed="false">
      <c r="A236" s="11" t="n">
        <v>1643</v>
      </c>
      <c r="B236" s="11" t="s">
        <v>523</v>
      </c>
      <c r="C236" s="11" t="s">
        <v>124</v>
      </c>
      <c r="D236" s="11" t="s">
        <v>524</v>
      </c>
      <c r="E236" s="11" t="s">
        <v>170</v>
      </c>
      <c r="F236" s="11" t="s">
        <v>65</v>
      </c>
      <c r="G236" s="11" t="s">
        <v>61</v>
      </c>
      <c r="H236" s="11" t="n">
        <v>37605.12</v>
      </c>
      <c r="I236" s="11" t="n">
        <v>1110961</v>
      </c>
      <c r="J236" s="11" t="n">
        <v>34255</v>
      </c>
      <c r="K236" s="11" t="n">
        <v>609</v>
      </c>
      <c r="L236" s="11" t="n">
        <v>995989.26</v>
      </c>
    </row>
    <row r="237" customFormat="false" ht="15" hidden="false" customHeight="true" outlineLevel="0" collapsed="false">
      <c r="A237" s="11" t="n">
        <v>1313</v>
      </c>
      <c r="B237" s="11" t="s">
        <v>525</v>
      </c>
      <c r="C237" s="11" t="s">
        <v>141</v>
      </c>
      <c r="D237" s="11" t="s">
        <v>526</v>
      </c>
      <c r="E237" s="11" t="s">
        <v>527</v>
      </c>
      <c r="F237" s="11" t="s">
        <v>53</v>
      </c>
      <c r="G237" s="11" t="s">
        <v>147</v>
      </c>
      <c r="H237" s="11" t="n">
        <v>4497.79</v>
      </c>
      <c r="I237" s="11" t="n">
        <v>175970</v>
      </c>
      <c r="J237" s="11" t="n">
        <v>5165</v>
      </c>
      <c r="K237" s="11" t="n">
        <v>401</v>
      </c>
      <c r="L237" s="11" t="n">
        <v>149896.41</v>
      </c>
    </row>
    <row r="238" customFormat="false" ht="15" hidden="false" customHeight="true" outlineLevel="0" collapsed="false">
      <c r="A238" s="11" t="n">
        <v>1062</v>
      </c>
      <c r="B238" s="11" t="s">
        <v>479</v>
      </c>
      <c r="C238" s="11" t="s">
        <v>47</v>
      </c>
      <c r="D238" s="11" t="s">
        <v>528</v>
      </c>
      <c r="E238" s="11" t="s">
        <v>529</v>
      </c>
      <c r="F238" s="11" t="s">
        <v>69</v>
      </c>
      <c r="G238" s="11" t="s">
        <v>199</v>
      </c>
      <c r="H238" s="11" t="n">
        <v>3307.52</v>
      </c>
      <c r="I238" s="11" t="n">
        <v>59719</v>
      </c>
      <c r="J238" s="11" t="n">
        <v>932</v>
      </c>
      <c r="K238" s="11" t="n">
        <v>52</v>
      </c>
      <c r="L238" s="11" t="n">
        <v>74771.43</v>
      </c>
    </row>
    <row r="239" customFormat="false" ht="15" hidden="false" customHeight="true" outlineLevel="0" collapsed="false">
      <c r="A239" s="11" t="n">
        <v>1777</v>
      </c>
      <c r="B239" s="11" t="s">
        <v>78</v>
      </c>
      <c r="C239" s="11" t="s">
        <v>63</v>
      </c>
      <c r="D239" s="11" t="s">
        <v>530</v>
      </c>
      <c r="E239" s="11" t="s">
        <v>531</v>
      </c>
      <c r="F239" s="11" t="s">
        <v>60</v>
      </c>
      <c r="G239" s="11" t="s">
        <v>103</v>
      </c>
      <c r="H239" s="11" t="n">
        <v>31000.22</v>
      </c>
      <c r="I239" s="11" t="n">
        <v>1232589</v>
      </c>
      <c r="J239" s="11" t="n">
        <v>13951</v>
      </c>
      <c r="K239" s="11" t="n">
        <v>1107</v>
      </c>
      <c r="L239" s="11"/>
    </row>
    <row r="240" customFormat="false" ht="15" hidden="false" customHeight="true" outlineLevel="0" collapsed="false">
      <c r="A240" s="11" t="n">
        <v>1139</v>
      </c>
      <c r="B240" s="11" t="s">
        <v>144</v>
      </c>
      <c r="C240" s="11" t="s">
        <v>115</v>
      </c>
      <c r="D240" s="11" t="s">
        <v>432</v>
      </c>
      <c r="E240" s="11" t="s">
        <v>532</v>
      </c>
      <c r="F240" s="11" t="s">
        <v>60</v>
      </c>
      <c r="G240" s="11" t="s">
        <v>131</v>
      </c>
      <c r="H240" s="11" t="n">
        <v>62594.18</v>
      </c>
      <c r="I240" s="11" t="n">
        <v>1404783</v>
      </c>
      <c r="J240" s="11" t="n">
        <v>49138</v>
      </c>
      <c r="K240" s="11" t="n">
        <v>2038</v>
      </c>
      <c r="L240" s="11" t="n">
        <v>1743379.82</v>
      </c>
    </row>
    <row r="241" customFormat="false" ht="15" hidden="false" customHeight="true" outlineLevel="0" collapsed="false">
      <c r="A241" s="11" t="n">
        <v>1103</v>
      </c>
      <c r="B241" s="11" t="s">
        <v>46</v>
      </c>
      <c r="C241" s="11" t="s">
        <v>92</v>
      </c>
      <c r="D241" s="11" t="s">
        <v>296</v>
      </c>
      <c r="E241" s="11" t="s">
        <v>533</v>
      </c>
      <c r="F241" s="11" t="s">
        <v>53</v>
      </c>
      <c r="G241" s="11" t="s">
        <v>163</v>
      </c>
      <c r="H241" s="11" t="n">
        <v>4746.07</v>
      </c>
      <c r="I241" s="11" t="n">
        <v>156990</v>
      </c>
      <c r="J241" s="11" t="n">
        <v>5196</v>
      </c>
      <c r="K241" s="11" t="n">
        <v>384</v>
      </c>
      <c r="L241" s="11" t="n">
        <v>231876.07</v>
      </c>
    </row>
    <row r="242" customFormat="false" ht="15" hidden="false" customHeight="true" outlineLevel="0" collapsed="false">
      <c r="A242" s="11" t="n">
        <v>1069</v>
      </c>
      <c r="B242" s="11" t="s">
        <v>68</v>
      </c>
      <c r="C242" s="11" t="s">
        <v>59</v>
      </c>
      <c r="D242" s="11" t="s">
        <v>534</v>
      </c>
      <c r="E242" s="11" t="s">
        <v>247</v>
      </c>
      <c r="F242" s="11" t="s">
        <v>56</v>
      </c>
      <c r="G242" s="11" t="s">
        <v>163</v>
      </c>
      <c r="H242" s="11" t="n">
        <v>34197.62</v>
      </c>
      <c r="I242" s="11" t="n">
        <v>661295</v>
      </c>
      <c r="J242" s="11" t="n">
        <v>6339</v>
      </c>
      <c r="K242" s="11" t="n">
        <v>400</v>
      </c>
      <c r="L242" s="11" t="n">
        <v>183704.9</v>
      </c>
    </row>
    <row r="243" customFormat="false" ht="15" hidden="false" customHeight="true" outlineLevel="0" collapsed="false">
      <c r="A243" s="11" t="n">
        <v>1605</v>
      </c>
      <c r="B243" s="11" t="s">
        <v>78</v>
      </c>
      <c r="C243" s="11" t="s">
        <v>85</v>
      </c>
      <c r="D243" s="11" t="s">
        <v>168</v>
      </c>
      <c r="E243" s="11" t="s">
        <v>535</v>
      </c>
      <c r="F243" s="11" t="s">
        <v>65</v>
      </c>
      <c r="G243" s="11" t="s">
        <v>209</v>
      </c>
      <c r="H243" s="11" t="n">
        <v>75323.47</v>
      </c>
      <c r="I243" s="11" t="n">
        <v>3004348</v>
      </c>
      <c r="J243" s="11" t="n">
        <v>32672</v>
      </c>
      <c r="K243" s="11" t="n">
        <v>1152</v>
      </c>
      <c r="L243" s="11" t="n">
        <v>728741.93</v>
      </c>
    </row>
    <row r="244" customFormat="false" ht="15" hidden="false" customHeight="true" outlineLevel="0" collapsed="false">
      <c r="A244" s="11" t="n">
        <v>1727</v>
      </c>
      <c r="B244" s="11" t="s">
        <v>76</v>
      </c>
      <c r="C244" s="11" t="s">
        <v>185</v>
      </c>
      <c r="D244" s="11" t="s">
        <v>536</v>
      </c>
      <c r="E244" s="11" t="s">
        <v>537</v>
      </c>
      <c r="F244" s="11" t="s">
        <v>51</v>
      </c>
      <c r="G244" s="11" t="s">
        <v>84</v>
      </c>
      <c r="H244" s="11"/>
      <c r="I244" s="11" t="n">
        <v>632421</v>
      </c>
      <c r="J244" s="11" t="n">
        <v>14669</v>
      </c>
      <c r="K244" s="11" t="n">
        <v>439</v>
      </c>
      <c r="L244" s="11" t="n">
        <v>526974.06</v>
      </c>
    </row>
    <row r="245" customFormat="false" ht="15" hidden="false" customHeight="true" outlineLevel="0" collapsed="false">
      <c r="A245" s="11" t="n">
        <v>1445</v>
      </c>
      <c r="B245" s="11" t="s">
        <v>68</v>
      </c>
      <c r="C245" s="11" t="s">
        <v>92</v>
      </c>
      <c r="D245" s="11" t="s">
        <v>538</v>
      </c>
      <c r="E245" s="11" t="s">
        <v>539</v>
      </c>
      <c r="F245" s="11" t="s">
        <v>60</v>
      </c>
      <c r="G245" s="11"/>
      <c r="H245" s="11" t="n">
        <v>5166.28</v>
      </c>
      <c r="I245" s="11" t="n">
        <v>97229</v>
      </c>
      <c r="J245" s="11" t="n">
        <v>2605</v>
      </c>
      <c r="K245" s="11" t="n">
        <v>72</v>
      </c>
      <c r="L245" s="11" t="n">
        <v>73605.19</v>
      </c>
    </row>
    <row r="246" customFormat="false" ht="15" hidden="false" customHeight="true" outlineLevel="0" collapsed="false">
      <c r="A246" s="11" t="n">
        <v>1065</v>
      </c>
      <c r="B246" s="11" t="s">
        <v>76</v>
      </c>
      <c r="C246" s="11" t="s">
        <v>92</v>
      </c>
      <c r="D246" s="11" t="s">
        <v>401</v>
      </c>
      <c r="E246" s="11" t="s">
        <v>540</v>
      </c>
      <c r="F246" s="11" t="s">
        <v>69</v>
      </c>
      <c r="G246" s="11" t="s">
        <v>72</v>
      </c>
      <c r="H246" s="11" t="n">
        <v>1348.34</v>
      </c>
      <c r="I246" s="11" t="n">
        <v>22975</v>
      </c>
      <c r="J246" s="11" t="n">
        <v>420</v>
      </c>
      <c r="K246" s="11" t="n">
        <v>16</v>
      </c>
      <c r="L246" s="11" t="n">
        <v>19684.16</v>
      </c>
    </row>
    <row r="247" customFormat="false" ht="15" hidden="false" customHeight="true" outlineLevel="0" collapsed="false">
      <c r="A247" s="11" t="n">
        <v>1589</v>
      </c>
      <c r="B247" s="11" t="s">
        <v>402</v>
      </c>
      <c r="C247" s="11" t="s">
        <v>155</v>
      </c>
      <c r="D247" s="11" t="s">
        <v>541</v>
      </c>
      <c r="E247" s="11" t="s">
        <v>542</v>
      </c>
      <c r="F247" s="11" t="s">
        <v>51</v>
      </c>
      <c r="G247" s="11" t="s">
        <v>199</v>
      </c>
      <c r="H247" s="11" t="n">
        <v>46864.9</v>
      </c>
      <c r="I247" s="11" t="n">
        <v>909406</v>
      </c>
      <c r="J247" s="11" t="n">
        <v>30637</v>
      </c>
      <c r="K247" s="11" t="n">
        <v>1723</v>
      </c>
      <c r="L247" s="11" t="n">
        <v>1471422.93</v>
      </c>
    </row>
    <row r="248" customFormat="false" ht="15" hidden="false" customHeight="true" outlineLevel="0" collapsed="false">
      <c r="A248" s="11" t="n">
        <v>1348</v>
      </c>
      <c r="B248" s="11" t="s">
        <v>66</v>
      </c>
      <c r="C248" s="11" t="s">
        <v>210</v>
      </c>
      <c r="D248" s="11" t="s">
        <v>276</v>
      </c>
      <c r="E248" s="11" t="s">
        <v>543</v>
      </c>
      <c r="F248" s="11" t="s">
        <v>67</v>
      </c>
      <c r="G248" s="11" t="s">
        <v>108</v>
      </c>
      <c r="H248" s="11" t="n">
        <v>50686.97</v>
      </c>
      <c r="I248" s="11" t="n">
        <v>1524620</v>
      </c>
      <c r="J248" s="11" t="n">
        <v>26121</v>
      </c>
      <c r="K248" s="11" t="n">
        <v>1147</v>
      </c>
      <c r="L248" s="11" t="n">
        <v>865286.96</v>
      </c>
    </row>
    <row r="249" customFormat="false" ht="15" hidden="false" customHeight="true" outlineLevel="0" collapsed="false">
      <c r="A249" s="11" t="n">
        <v>1726</v>
      </c>
      <c r="B249" s="11" t="s">
        <v>188</v>
      </c>
      <c r="C249" s="11" t="s">
        <v>105</v>
      </c>
      <c r="D249" s="11" t="s">
        <v>544</v>
      </c>
      <c r="E249" s="11" t="s">
        <v>545</v>
      </c>
      <c r="F249" s="11" t="s">
        <v>67</v>
      </c>
      <c r="G249" s="11" t="s">
        <v>61</v>
      </c>
      <c r="H249" s="11" t="n">
        <v>24611.62</v>
      </c>
      <c r="I249" s="11" t="n">
        <v>872842</v>
      </c>
      <c r="J249" s="11" t="n">
        <v>4649</v>
      </c>
      <c r="K249" s="11" t="n">
        <v>131</v>
      </c>
      <c r="L249" s="11"/>
    </row>
    <row r="250" customFormat="false" ht="15" hidden="false" customHeight="true" outlineLevel="0" collapsed="false">
      <c r="A250" s="11" t="n">
        <v>1723</v>
      </c>
      <c r="B250" s="11" t="s">
        <v>55</v>
      </c>
      <c r="C250" s="11" t="s">
        <v>138</v>
      </c>
      <c r="D250" s="11" t="s">
        <v>546</v>
      </c>
      <c r="E250" s="11" t="s">
        <v>547</v>
      </c>
      <c r="F250" s="11" t="s">
        <v>48</v>
      </c>
      <c r="G250" s="11" t="s">
        <v>209</v>
      </c>
      <c r="H250" s="11" t="n">
        <v>36726.5</v>
      </c>
      <c r="I250" s="11" t="n">
        <v>1378947</v>
      </c>
      <c r="J250" s="11" t="n">
        <v>46834</v>
      </c>
      <c r="K250" s="11" t="n">
        <v>3030</v>
      </c>
      <c r="L250" s="11" t="n">
        <v>3574790.04</v>
      </c>
    </row>
    <row r="251" customFormat="false" ht="15" hidden="false" customHeight="true" outlineLevel="0" collapsed="false">
      <c r="A251" s="11" t="n">
        <v>1606</v>
      </c>
      <c r="B251" s="11" t="s">
        <v>316</v>
      </c>
      <c r="C251" s="11" t="s">
        <v>115</v>
      </c>
      <c r="D251" s="11" t="s">
        <v>548</v>
      </c>
      <c r="E251" s="11" t="s">
        <v>549</v>
      </c>
      <c r="F251" s="11" t="s">
        <v>67</v>
      </c>
      <c r="G251" s="11" t="s">
        <v>209</v>
      </c>
      <c r="H251" s="11" t="n">
        <v>77979.85</v>
      </c>
      <c r="I251" s="11" t="n">
        <v>2774768</v>
      </c>
      <c r="J251" s="11" t="n">
        <v>85728</v>
      </c>
      <c r="K251" s="11" t="n">
        <v>6423</v>
      </c>
      <c r="L251" s="11" t="n">
        <v>11535616.71</v>
      </c>
    </row>
    <row r="252" customFormat="false" ht="15" hidden="false" customHeight="true" outlineLevel="0" collapsed="false">
      <c r="A252" s="11" t="n">
        <v>1081</v>
      </c>
      <c r="B252" s="11" t="s">
        <v>78</v>
      </c>
      <c r="C252" s="11" t="s">
        <v>100</v>
      </c>
      <c r="D252" s="11" t="s">
        <v>550</v>
      </c>
      <c r="E252" s="11" t="s">
        <v>551</v>
      </c>
      <c r="F252" s="11" t="s">
        <v>69</v>
      </c>
      <c r="G252" s="11" t="s">
        <v>108</v>
      </c>
      <c r="H252" s="11" t="n">
        <v>40860.19</v>
      </c>
      <c r="I252" s="11" t="n">
        <v>1361605</v>
      </c>
      <c r="J252" s="11" t="n">
        <v>32471</v>
      </c>
      <c r="K252" s="11" t="n">
        <v>2078</v>
      </c>
      <c r="L252" s="11" t="n">
        <v>2942491.9</v>
      </c>
    </row>
    <row r="253" customFormat="false" ht="15" hidden="false" customHeight="true" outlineLevel="0" collapsed="false">
      <c r="A253" s="11" t="n">
        <v>1412</v>
      </c>
      <c r="B253" s="11" t="s">
        <v>76</v>
      </c>
      <c r="C253" s="11" t="s">
        <v>81</v>
      </c>
      <c r="D253" s="11" t="s">
        <v>552</v>
      </c>
      <c r="E253" s="11" t="s">
        <v>553</v>
      </c>
      <c r="F253" s="11" t="s">
        <v>69</v>
      </c>
      <c r="G253" s="11" t="s">
        <v>72</v>
      </c>
      <c r="H253" s="11" t="n">
        <v>7704.43</v>
      </c>
      <c r="I253" s="11" t="n">
        <v>292189</v>
      </c>
      <c r="J253" s="11" t="n">
        <v>3186</v>
      </c>
      <c r="K253" s="11" t="n">
        <v>105</v>
      </c>
      <c r="L253" s="11" t="n">
        <v>46318.02</v>
      </c>
    </row>
    <row r="254" customFormat="false" ht="15" hidden="false" customHeight="true" outlineLevel="0" collapsed="false">
      <c r="A254" s="11" t="n">
        <v>1556</v>
      </c>
      <c r="B254" s="11" t="s">
        <v>64</v>
      </c>
      <c r="C254" s="11" t="s">
        <v>121</v>
      </c>
      <c r="D254" s="11" t="s">
        <v>554</v>
      </c>
      <c r="E254" s="11" t="s">
        <v>202</v>
      </c>
      <c r="F254" s="11" t="s">
        <v>67</v>
      </c>
      <c r="G254" s="11" t="s">
        <v>61</v>
      </c>
      <c r="H254" s="11" t="n">
        <v>38620.31</v>
      </c>
      <c r="I254" s="11" t="n">
        <v>1139998</v>
      </c>
      <c r="J254" s="11" t="n">
        <v>25689</v>
      </c>
      <c r="K254" s="11" t="n">
        <v>1749</v>
      </c>
      <c r="L254" s="11"/>
    </row>
    <row r="255" customFormat="false" ht="15" hidden="false" customHeight="true" outlineLevel="0" collapsed="false">
      <c r="A255" s="11" t="n">
        <v>1715</v>
      </c>
      <c r="B255" s="11" t="s">
        <v>46</v>
      </c>
      <c r="C255" s="11" t="s">
        <v>96</v>
      </c>
      <c r="D255" s="11" t="s">
        <v>410</v>
      </c>
      <c r="E255" s="11" t="s">
        <v>411</v>
      </c>
      <c r="F255" s="11" t="s">
        <v>56</v>
      </c>
      <c r="G255" s="11" t="s">
        <v>103</v>
      </c>
      <c r="H255" s="11" t="n">
        <v>5733.12</v>
      </c>
      <c r="I255" s="11" t="n">
        <v>209976</v>
      </c>
      <c r="J255" s="11" t="n">
        <v>1435</v>
      </c>
      <c r="K255" s="11" t="n">
        <v>32</v>
      </c>
      <c r="L255" s="11" t="n">
        <v>11492.94</v>
      </c>
    </row>
    <row r="256" customFormat="false" ht="15" hidden="false" customHeight="true" outlineLevel="0" collapsed="false">
      <c r="A256" s="11" t="n">
        <v>1333</v>
      </c>
      <c r="B256" s="11" t="s">
        <v>55</v>
      </c>
      <c r="C256" s="11" t="s">
        <v>105</v>
      </c>
      <c r="D256" s="11" t="s">
        <v>555</v>
      </c>
      <c r="E256" s="11" t="s">
        <v>556</v>
      </c>
      <c r="F256" s="11" t="s">
        <v>56</v>
      </c>
      <c r="G256" s="11" t="s">
        <v>172</v>
      </c>
      <c r="H256" s="11" t="n">
        <v>7091.01</v>
      </c>
      <c r="I256" s="11" t="n">
        <v>215836</v>
      </c>
      <c r="J256" s="11" t="n">
        <v>2506</v>
      </c>
      <c r="K256" s="11" t="n">
        <v>87</v>
      </c>
      <c r="L256" s="11" t="n">
        <v>71621.13</v>
      </c>
    </row>
    <row r="257" customFormat="false" ht="15" hidden="false" customHeight="true" outlineLevel="0" collapsed="false">
      <c r="A257" s="11" t="n">
        <v>1347</v>
      </c>
      <c r="B257" s="11" t="s">
        <v>279</v>
      </c>
      <c r="C257" s="11" t="s">
        <v>96</v>
      </c>
      <c r="D257" s="11" t="s">
        <v>557</v>
      </c>
      <c r="E257" s="11" t="s">
        <v>113</v>
      </c>
      <c r="F257" s="11" t="s">
        <v>53</v>
      </c>
      <c r="G257" s="11" t="s">
        <v>172</v>
      </c>
      <c r="H257" s="11" t="n">
        <v>3804.37</v>
      </c>
      <c r="I257" s="11" t="n">
        <v>113233</v>
      </c>
      <c r="J257" s="11" t="n">
        <v>911</v>
      </c>
      <c r="K257" s="11" t="n">
        <v>68</v>
      </c>
      <c r="L257" s="11" t="n">
        <v>120216.34</v>
      </c>
    </row>
    <row r="258" customFormat="false" ht="15" hidden="false" customHeight="true" outlineLevel="0" collapsed="false">
      <c r="A258" s="11" t="n">
        <v>1747</v>
      </c>
      <c r="B258" s="11" t="s">
        <v>64</v>
      </c>
      <c r="C258" s="11" t="s">
        <v>121</v>
      </c>
      <c r="D258" s="11" t="s">
        <v>558</v>
      </c>
      <c r="E258" s="11" t="s">
        <v>559</v>
      </c>
      <c r="F258" s="11" t="s">
        <v>51</v>
      </c>
      <c r="G258" s="11" t="s">
        <v>49</v>
      </c>
      <c r="H258" s="11" t="n">
        <v>12937.6</v>
      </c>
      <c r="I258" s="11" t="n">
        <v>415239</v>
      </c>
      <c r="J258" s="11" t="n">
        <v>9468</v>
      </c>
      <c r="K258" s="11" t="n">
        <v>542</v>
      </c>
      <c r="L258" s="11" t="n">
        <v>211890.47</v>
      </c>
    </row>
    <row r="259" customFormat="false" ht="15" hidden="false" customHeight="true" outlineLevel="0" collapsed="false">
      <c r="A259" s="11" t="n">
        <v>1468</v>
      </c>
      <c r="B259" s="11" t="s">
        <v>76</v>
      </c>
      <c r="C259" s="11" t="s">
        <v>105</v>
      </c>
      <c r="D259" s="11" t="s">
        <v>560</v>
      </c>
      <c r="E259" s="11" t="s">
        <v>561</v>
      </c>
      <c r="F259" s="11" t="s">
        <v>65</v>
      </c>
      <c r="G259" s="11" t="s">
        <v>72</v>
      </c>
      <c r="H259" s="11" t="n">
        <v>16432.42</v>
      </c>
      <c r="I259" s="11" t="n">
        <v>323748</v>
      </c>
      <c r="J259" s="11" t="n">
        <v>4529</v>
      </c>
      <c r="K259" s="11" t="n">
        <v>309</v>
      </c>
      <c r="L259" s="11" t="n">
        <v>537123.34</v>
      </c>
    </row>
    <row r="260" customFormat="false" ht="15" hidden="false" customHeight="true" outlineLevel="0" collapsed="false">
      <c r="A260" s="11" t="n">
        <v>1679</v>
      </c>
      <c r="B260" s="11" t="s">
        <v>73</v>
      </c>
      <c r="C260" s="11" t="s">
        <v>134</v>
      </c>
      <c r="D260" s="11" t="s">
        <v>159</v>
      </c>
      <c r="E260" s="11" t="s">
        <v>446</v>
      </c>
      <c r="F260" s="11" t="s">
        <v>48</v>
      </c>
      <c r="G260" s="11" t="s">
        <v>175</v>
      </c>
      <c r="H260" s="11" t="n">
        <v>13388.55</v>
      </c>
      <c r="I260" s="11" t="n">
        <v>520839</v>
      </c>
      <c r="J260" s="11" t="n">
        <v>15332</v>
      </c>
      <c r="K260" s="11" t="n">
        <v>1105</v>
      </c>
      <c r="L260" s="11" t="n">
        <v>857670.92</v>
      </c>
    </row>
    <row r="261" customFormat="false" ht="15" hidden="false" customHeight="true" outlineLevel="0" collapsed="false">
      <c r="A261" s="11" t="n">
        <v>1008</v>
      </c>
      <c r="B261" s="11" t="s">
        <v>78</v>
      </c>
      <c r="C261" s="11" t="s">
        <v>85</v>
      </c>
      <c r="D261" s="11" t="s">
        <v>562</v>
      </c>
      <c r="E261" s="11" t="s">
        <v>236</v>
      </c>
      <c r="F261" s="11" t="s">
        <v>53</v>
      </c>
      <c r="G261" s="11" t="s">
        <v>54</v>
      </c>
      <c r="H261" s="11" t="n">
        <v>18987.4</v>
      </c>
      <c r="I261" s="11" t="n">
        <v>510420</v>
      </c>
      <c r="J261" s="11" t="n">
        <v>10971</v>
      </c>
      <c r="K261" s="11" t="n">
        <v>313</v>
      </c>
      <c r="L261" s="11" t="n">
        <v>505503.74</v>
      </c>
    </row>
    <row r="262" customFormat="false" ht="15" hidden="false" customHeight="true" outlineLevel="0" collapsed="false">
      <c r="A262" s="11" t="n">
        <v>1331</v>
      </c>
      <c r="B262" s="11" t="s">
        <v>184</v>
      </c>
      <c r="C262" s="11" t="s">
        <v>105</v>
      </c>
      <c r="D262" s="11" t="s">
        <v>563</v>
      </c>
      <c r="E262" s="11" t="s">
        <v>564</v>
      </c>
      <c r="F262" s="11" t="s">
        <v>69</v>
      </c>
      <c r="G262" s="11" t="s">
        <v>137</v>
      </c>
      <c r="H262" s="11" t="n">
        <v>25399.1</v>
      </c>
      <c r="I262" s="11" t="n">
        <v>615719</v>
      </c>
      <c r="J262" s="11" t="n">
        <v>6868</v>
      </c>
      <c r="K262" s="11" t="n">
        <v>408</v>
      </c>
      <c r="L262" s="11" t="n">
        <v>536541.32</v>
      </c>
    </row>
    <row r="263" customFormat="false" ht="15" hidden="false" customHeight="true" outlineLevel="0" collapsed="false">
      <c r="A263" s="11" t="n">
        <v>1443</v>
      </c>
      <c r="B263" s="11" t="s">
        <v>144</v>
      </c>
      <c r="C263" s="11" t="s">
        <v>105</v>
      </c>
      <c r="D263" s="11" t="s">
        <v>273</v>
      </c>
      <c r="E263" s="11" t="s">
        <v>565</v>
      </c>
      <c r="F263" s="11" t="s">
        <v>51</v>
      </c>
      <c r="G263" s="11" t="s">
        <v>49</v>
      </c>
      <c r="H263" s="11" t="n">
        <v>33912.15</v>
      </c>
      <c r="I263" s="11" t="n">
        <v>628673</v>
      </c>
      <c r="J263" s="11" t="n">
        <v>6994</v>
      </c>
      <c r="K263" s="11" t="n">
        <v>114</v>
      </c>
      <c r="L263" s="11" t="n">
        <v>137861.85</v>
      </c>
    </row>
    <row r="264" customFormat="false" ht="15" hidden="false" customHeight="true" outlineLevel="0" collapsed="false">
      <c r="A264" s="11" t="n">
        <v>1279</v>
      </c>
      <c r="B264" s="11" t="s">
        <v>64</v>
      </c>
      <c r="C264" s="11" t="s">
        <v>63</v>
      </c>
      <c r="D264" s="11" t="s">
        <v>421</v>
      </c>
      <c r="E264" s="11" t="s">
        <v>566</v>
      </c>
      <c r="F264" s="11" t="s">
        <v>53</v>
      </c>
      <c r="G264" s="11" t="s">
        <v>108</v>
      </c>
      <c r="H264" s="11" t="n">
        <v>33392.65</v>
      </c>
      <c r="I264" s="11" t="n">
        <v>712190</v>
      </c>
      <c r="J264" s="11" t="n">
        <v>13360</v>
      </c>
      <c r="K264" s="11" t="n">
        <v>933</v>
      </c>
      <c r="L264" s="11"/>
    </row>
    <row r="265" customFormat="false" ht="15" hidden="false" customHeight="true" outlineLevel="0" collapsed="false">
      <c r="A265" s="11" t="n">
        <v>1280</v>
      </c>
      <c r="B265" s="11" t="s">
        <v>160</v>
      </c>
      <c r="C265" s="11" t="s">
        <v>210</v>
      </c>
      <c r="D265" s="11" t="s">
        <v>198</v>
      </c>
      <c r="E265" s="11" t="s">
        <v>567</v>
      </c>
      <c r="F265" s="11" t="s">
        <v>67</v>
      </c>
      <c r="G265" s="11" t="s">
        <v>57</v>
      </c>
      <c r="H265" s="11" t="n">
        <v>76509.1</v>
      </c>
      <c r="I265" s="11" t="n">
        <v>1544790</v>
      </c>
      <c r="J265" s="11" t="n">
        <v>16290</v>
      </c>
      <c r="K265" s="11" t="n">
        <v>225</v>
      </c>
      <c r="L265" s="11" t="n">
        <v>192617.72</v>
      </c>
    </row>
    <row r="266" customFormat="false" ht="15" hidden="false" customHeight="true" outlineLevel="0" collapsed="false">
      <c r="A266" s="11" t="n">
        <v>1194</v>
      </c>
      <c r="B266" s="11" t="s">
        <v>180</v>
      </c>
      <c r="C266" s="11" t="s">
        <v>235</v>
      </c>
      <c r="D266" s="11" t="s">
        <v>451</v>
      </c>
      <c r="E266" s="11" t="s">
        <v>568</v>
      </c>
      <c r="F266" s="11" t="s">
        <v>48</v>
      </c>
      <c r="G266" s="11" t="s">
        <v>199</v>
      </c>
      <c r="H266" s="11" t="n">
        <v>16649.89</v>
      </c>
      <c r="I266" s="11" t="n">
        <v>565348</v>
      </c>
      <c r="J266" s="11" t="n">
        <v>3605</v>
      </c>
      <c r="K266" s="11" t="n">
        <v>251</v>
      </c>
      <c r="L266" s="11" t="n">
        <v>329278.06</v>
      </c>
    </row>
    <row r="267" customFormat="false" ht="15" hidden="false" customHeight="true" outlineLevel="0" collapsed="false">
      <c r="A267" s="11" t="n">
        <v>1196</v>
      </c>
      <c r="B267" s="11" t="s">
        <v>64</v>
      </c>
      <c r="C267" s="11" t="s">
        <v>63</v>
      </c>
      <c r="D267" s="11" t="s">
        <v>569</v>
      </c>
      <c r="E267" s="11" t="s">
        <v>570</v>
      </c>
      <c r="F267" s="11" t="s">
        <v>60</v>
      </c>
      <c r="G267" s="11" t="s">
        <v>183</v>
      </c>
      <c r="H267" s="11" t="n">
        <v>43953.33</v>
      </c>
      <c r="I267" s="11" t="n">
        <v>1626218</v>
      </c>
      <c r="J267" s="11" t="n">
        <v>43612</v>
      </c>
      <c r="K267" s="11" t="n">
        <v>3158</v>
      </c>
      <c r="L267" s="11" t="n">
        <v>3317370.05</v>
      </c>
    </row>
    <row r="268" customFormat="false" ht="15" hidden="false" customHeight="true" outlineLevel="0" collapsed="false">
      <c r="A268" s="11" t="n">
        <v>1506</v>
      </c>
      <c r="B268" s="11" t="s">
        <v>184</v>
      </c>
      <c r="C268" s="11" t="s">
        <v>59</v>
      </c>
      <c r="D268" s="11" t="s">
        <v>571</v>
      </c>
      <c r="E268" s="11" t="s">
        <v>572</v>
      </c>
      <c r="F268" s="11" t="s">
        <v>65</v>
      </c>
      <c r="G268" s="11" t="s">
        <v>54</v>
      </c>
      <c r="H268" s="11" t="n">
        <v>64066.51</v>
      </c>
      <c r="I268" s="11" t="n">
        <v>2192397</v>
      </c>
      <c r="J268" s="11" t="n">
        <v>21554</v>
      </c>
      <c r="K268" s="11" t="n">
        <v>1669</v>
      </c>
      <c r="L268" s="11" t="n">
        <v>1833623.74</v>
      </c>
    </row>
    <row r="269" customFormat="false" ht="15" hidden="false" customHeight="true" outlineLevel="0" collapsed="false">
      <c r="A269" s="11" t="n">
        <v>1137</v>
      </c>
      <c r="B269" s="11" t="s">
        <v>68</v>
      </c>
      <c r="C269" s="11" t="s">
        <v>192</v>
      </c>
      <c r="D269" s="11" t="s">
        <v>573</v>
      </c>
      <c r="E269" s="11" t="s">
        <v>158</v>
      </c>
      <c r="F269" s="11" t="s">
        <v>69</v>
      </c>
      <c r="G269" s="11" t="s">
        <v>238</v>
      </c>
      <c r="H269" s="11" t="n">
        <v>25240.1</v>
      </c>
      <c r="I269" s="11" t="n">
        <v>893004</v>
      </c>
      <c r="J269" s="11" t="n">
        <v>30286</v>
      </c>
      <c r="K269" s="11" t="n">
        <v>1374</v>
      </c>
      <c r="L269" s="11" t="n">
        <v>1467028.43</v>
      </c>
    </row>
    <row r="270" customFormat="false" ht="15" hidden="false" customHeight="true" outlineLevel="0" collapsed="false">
      <c r="A270" s="11" t="n">
        <v>1753</v>
      </c>
      <c r="B270" s="11" t="s">
        <v>46</v>
      </c>
      <c r="C270" s="11" t="s">
        <v>328</v>
      </c>
      <c r="D270" s="11" t="s">
        <v>574</v>
      </c>
      <c r="E270" s="11" t="s">
        <v>575</v>
      </c>
      <c r="F270" s="11" t="s">
        <v>53</v>
      </c>
      <c r="G270" s="11" t="s">
        <v>226</v>
      </c>
      <c r="H270" s="11" t="n">
        <v>43745.21</v>
      </c>
      <c r="I270" s="11" t="n">
        <v>815194</v>
      </c>
      <c r="J270" s="11" t="n">
        <v>22675</v>
      </c>
      <c r="K270" s="11" t="n">
        <v>984</v>
      </c>
      <c r="L270" s="11" t="n">
        <v>1756742.13</v>
      </c>
    </row>
    <row r="271" customFormat="false" ht="15" hidden="false" customHeight="true" outlineLevel="0" collapsed="false">
      <c r="A271" s="11" t="n">
        <v>1273</v>
      </c>
      <c r="B271" s="11" t="s">
        <v>62</v>
      </c>
      <c r="C271" s="11" t="s">
        <v>63</v>
      </c>
      <c r="D271" s="11" t="s">
        <v>576</v>
      </c>
      <c r="E271" s="11" t="s">
        <v>577</v>
      </c>
      <c r="F271" s="11" t="s">
        <v>65</v>
      </c>
      <c r="G271" s="11" t="s">
        <v>99</v>
      </c>
      <c r="H271" s="11" t="n">
        <v>36244.63</v>
      </c>
      <c r="I271" s="11" t="n">
        <v>869201</v>
      </c>
      <c r="J271" s="11" t="n">
        <v>22289</v>
      </c>
      <c r="K271" s="11" t="n">
        <v>966</v>
      </c>
      <c r="L271" s="11" t="n">
        <v>1041706.05</v>
      </c>
    </row>
    <row r="272" customFormat="false" ht="15" hidden="false" customHeight="true" outlineLevel="0" collapsed="false">
      <c r="A272" s="11" t="n">
        <v>1184</v>
      </c>
      <c r="B272" s="11" t="s">
        <v>316</v>
      </c>
      <c r="C272" s="11" t="s">
        <v>192</v>
      </c>
      <c r="D272" s="11" t="s">
        <v>578</v>
      </c>
      <c r="E272" s="11" t="s">
        <v>579</v>
      </c>
      <c r="F272" s="11" t="s">
        <v>56</v>
      </c>
      <c r="G272" s="11" t="s">
        <v>183</v>
      </c>
      <c r="H272" s="11" t="n">
        <v>89810.18</v>
      </c>
      <c r="I272" s="11" t="n">
        <v>1929630</v>
      </c>
      <c r="J272" s="11" t="n">
        <v>33878</v>
      </c>
      <c r="K272" s="11" t="n">
        <v>1259</v>
      </c>
      <c r="L272" s="11" t="n">
        <v>505126.61</v>
      </c>
    </row>
    <row r="273" customFormat="false" ht="15" hidden="false" customHeight="true" outlineLevel="0" collapsed="false">
      <c r="A273" s="11" t="n">
        <v>1208</v>
      </c>
      <c r="B273" s="11" t="s">
        <v>109</v>
      </c>
      <c r="C273" s="11" t="s">
        <v>59</v>
      </c>
      <c r="D273" s="11" t="s">
        <v>580</v>
      </c>
      <c r="E273" s="11" t="s">
        <v>581</v>
      </c>
      <c r="F273" s="11" t="s">
        <v>67</v>
      </c>
      <c r="G273" s="11" t="s">
        <v>175</v>
      </c>
      <c r="H273" s="11" t="n">
        <v>68226.7</v>
      </c>
      <c r="I273" s="11" t="n">
        <v>1287447</v>
      </c>
      <c r="J273" s="11" t="n">
        <v>12373</v>
      </c>
      <c r="K273" s="11" t="n">
        <v>403</v>
      </c>
      <c r="L273" s="11" t="n">
        <v>170767.38</v>
      </c>
    </row>
    <row r="274" customFormat="false" ht="15" hidden="false" customHeight="true" outlineLevel="0" collapsed="false">
      <c r="A274" s="11" t="n">
        <v>1344</v>
      </c>
      <c r="B274" s="11" t="s">
        <v>144</v>
      </c>
      <c r="C274" s="11" t="s">
        <v>124</v>
      </c>
      <c r="D274" s="11" t="s">
        <v>205</v>
      </c>
      <c r="E274" s="11" t="s">
        <v>582</v>
      </c>
      <c r="F274" s="11" t="s">
        <v>65</v>
      </c>
      <c r="G274" s="11" t="s">
        <v>112</v>
      </c>
      <c r="H274" s="11" t="n">
        <v>13153.5</v>
      </c>
      <c r="I274" s="11" t="n">
        <v>387414</v>
      </c>
      <c r="J274" s="11" t="n">
        <v>2099</v>
      </c>
      <c r="K274" s="11" t="n">
        <v>52</v>
      </c>
      <c r="L274" s="11" t="n">
        <v>32642.68</v>
      </c>
    </row>
    <row r="275" customFormat="false" ht="15" hidden="false" customHeight="true" outlineLevel="0" collapsed="false">
      <c r="A275" s="11" t="n">
        <v>1334</v>
      </c>
      <c r="B275" s="11" t="s">
        <v>349</v>
      </c>
      <c r="C275" s="11" t="s">
        <v>85</v>
      </c>
      <c r="D275" s="11" t="s">
        <v>583</v>
      </c>
      <c r="E275" s="11" t="s">
        <v>519</v>
      </c>
      <c r="F275" s="11" t="s">
        <v>51</v>
      </c>
      <c r="G275" s="11" t="s">
        <v>91</v>
      </c>
      <c r="H275" s="11" t="n">
        <v>45808.91</v>
      </c>
      <c r="I275" s="11" t="n">
        <v>751320</v>
      </c>
      <c r="J275" s="11" t="n">
        <v>18785</v>
      </c>
      <c r="K275" s="11" t="n">
        <v>710</v>
      </c>
      <c r="L275" s="11" t="n">
        <v>985584.7</v>
      </c>
    </row>
    <row r="276" customFormat="false" ht="15" hidden="false" customHeight="true" outlineLevel="0" collapsed="false">
      <c r="A276" s="11" t="n">
        <v>1593</v>
      </c>
      <c r="B276" s="11" t="s">
        <v>313</v>
      </c>
      <c r="C276" s="11" t="s">
        <v>134</v>
      </c>
      <c r="D276" s="11" t="s">
        <v>584</v>
      </c>
      <c r="E276" s="11" t="s">
        <v>585</v>
      </c>
      <c r="F276" s="11" t="s">
        <v>65</v>
      </c>
      <c r="G276" s="11"/>
      <c r="H276" s="11" t="n">
        <v>14429.43</v>
      </c>
      <c r="I276" s="11" t="n">
        <v>499277</v>
      </c>
      <c r="J276" s="11" t="n">
        <v>12311</v>
      </c>
      <c r="K276" s="11" t="n">
        <v>236</v>
      </c>
      <c r="L276" s="11" t="n">
        <v>336007.91</v>
      </c>
    </row>
    <row r="277" customFormat="false" ht="15" hidden="false" customHeight="true" outlineLevel="0" collapsed="false">
      <c r="A277" s="11" t="n">
        <v>1743</v>
      </c>
      <c r="B277" s="11" t="s">
        <v>73</v>
      </c>
      <c r="C277" s="11" t="s">
        <v>115</v>
      </c>
      <c r="D277" s="11" t="s">
        <v>586</v>
      </c>
      <c r="E277" s="11" t="s">
        <v>587</v>
      </c>
      <c r="F277" s="11" t="s">
        <v>60</v>
      </c>
      <c r="G277" s="11" t="s">
        <v>95</v>
      </c>
      <c r="H277" s="11" t="n">
        <v>55073.16</v>
      </c>
      <c r="I277" s="11" t="n">
        <v>1040471</v>
      </c>
      <c r="J277" s="11" t="n">
        <v>26863</v>
      </c>
      <c r="K277" s="11" t="n">
        <v>1685</v>
      </c>
      <c r="L277" s="11" t="n">
        <v>2339610.26</v>
      </c>
    </row>
    <row r="278" customFormat="false" ht="15" hidden="false" customHeight="true" outlineLevel="0" collapsed="false">
      <c r="A278" s="11" t="n">
        <v>1459</v>
      </c>
      <c r="B278" s="11" t="s">
        <v>58</v>
      </c>
      <c r="C278" s="11" t="s">
        <v>50</v>
      </c>
      <c r="D278" s="11" t="s">
        <v>397</v>
      </c>
      <c r="E278" s="11" t="s">
        <v>588</v>
      </c>
      <c r="F278" s="11" t="s">
        <v>56</v>
      </c>
      <c r="G278" s="11" t="s">
        <v>108</v>
      </c>
      <c r="H278" s="11" t="n">
        <v>51354.32</v>
      </c>
      <c r="I278" s="11" t="n">
        <v>907155</v>
      </c>
      <c r="J278" s="11" t="n">
        <v>4785</v>
      </c>
      <c r="K278" s="11" t="n">
        <v>333</v>
      </c>
      <c r="L278" s="11" t="n">
        <v>269094.98</v>
      </c>
    </row>
    <row r="279" customFormat="false" ht="15" hidden="false" customHeight="true" outlineLevel="0" collapsed="false">
      <c r="A279" s="11" t="n">
        <v>1528</v>
      </c>
      <c r="B279" s="11" t="s">
        <v>58</v>
      </c>
      <c r="C279" s="11" t="s">
        <v>141</v>
      </c>
      <c r="D279" s="11" t="s">
        <v>589</v>
      </c>
      <c r="E279" s="11" t="s">
        <v>590</v>
      </c>
      <c r="F279" s="11" t="s">
        <v>69</v>
      </c>
      <c r="G279" s="11" t="s">
        <v>172</v>
      </c>
      <c r="H279" s="11" t="n">
        <v>3868.66</v>
      </c>
      <c r="I279" s="11" t="n">
        <v>116435</v>
      </c>
      <c r="J279" s="11" t="n">
        <v>3646</v>
      </c>
      <c r="K279" s="11" t="n">
        <v>279</v>
      </c>
      <c r="L279" s="11" t="n">
        <v>312263.04</v>
      </c>
    </row>
    <row r="280" customFormat="false" ht="15" hidden="false" customHeight="true" outlineLevel="0" collapsed="false">
      <c r="A280" s="11" t="n">
        <v>1306</v>
      </c>
      <c r="B280" s="11" t="s">
        <v>46</v>
      </c>
      <c r="C280" s="11" t="s">
        <v>134</v>
      </c>
      <c r="D280" s="11" t="s">
        <v>591</v>
      </c>
      <c r="E280" s="11" t="s">
        <v>592</v>
      </c>
      <c r="F280" s="11" t="s">
        <v>67</v>
      </c>
      <c r="G280" s="11" t="s">
        <v>112</v>
      </c>
      <c r="H280" s="11" t="n">
        <v>38377.2</v>
      </c>
      <c r="I280" s="11" t="n">
        <v>1018059</v>
      </c>
      <c r="J280" s="11" t="n">
        <v>25714</v>
      </c>
      <c r="K280" s="11" t="n">
        <v>692</v>
      </c>
      <c r="L280" s="11" t="n">
        <v>916374.28</v>
      </c>
    </row>
    <row r="281" customFormat="false" ht="15" hidden="false" customHeight="true" outlineLevel="0" collapsed="false">
      <c r="A281" s="11" t="n">
        <v>1177</v>
      </c>
      <c r="B281" s="11" t="s">
        <v>144</v>
      </c>
      <c r="C281" s="11" t="s">
        <v>185</v>
      </c>
      <c r="D281" s="11" t="s">
        <v>593</v>
      </c>
      <c r="E281" s="11" t="s">
        <v>594</v>
      </c>
      <c r="F281" s="11" t="s">
        <v>51</v>
      </c>
      <c r="G281" s="11" t="s">
        <v>108</v>
      </c>
      <c r="H281" s="11" t="n">
        <v>9948.21</v>
      </c>
      <c r="I281" s="11" t="n">
        <v>217720</v>
      </c>
      <c r="J281" s="11" t="n">
        <v>2028</v>
      </c>
      <c r="K281" s="11" t="n">
        <v>106</v>
      </c>
      <c r="L281" s="11"/>
    </row>
    <row r="282" customFormat="false" ht="15" hidden="false" customHeight="true" outlineLevel="0" collapsed="false">
      <c r="A282" s="11" t="n">
        <v>1002</v>
      </c>
      <c r="B282" s="11" t="s">
        <v>55</v>
      </c>
      <c r="C282" s="11" t="s">
        <v>124</v>
      </c>
      <c r="D282" s="11" t="s">
        <v>595</v>
      </c>
      <c r="E282" s="11" t="s">
        <v>596</v>
      </c>
      <c r="F282" s="11" t="s">
        <v>60</v>
      </c>
      <c r="G282" s="11" t="s">
        <v>238</v>
      </c>
      <c r="H282" s="11" t="n">
        <v>39393.75</v>
      </c>
      <c r="I282" s="11" t="n">
        <v>1385801</v>
      </c>
      <c r="J282" s="11" t="n">
        <v>37266</v>
      </c>
      <c r="K282" s="11" t="n">
        <v>1771</v>
      </c>
      <c r="L282" s="11" t="n">
        <v>3118762.63</v>
      </c>
    </row>
    <row r="283" customFormat="false" ht="15" hidden="false" customHeight="true" outlineLevel="0" collapsed="false">
      <c r="A283" s="11" t="n">
        <v>1146</v>
      </c>
      <c r="B283" s="11" t="s">
        <v>55</v>
      </c>
      <c r="C283" s="11" t="s">
        <v>47</v>
      </c>
      <c r="D283" s="11" t="s">
        <v>597</v>
      </c>
      <c r="E283" s="11" t="s">
        <v>598</v>
      </c>
      <c r="F283" s="11" t="s">
        <v>56</v>
      </c>
      <c r="G283" s="11" t="s">
        <v>163</v>
      </c>
      <c r="H283" s="11" t="n">
        <v>1478.88</v>
      </c>
      <c r="I283" s="11" t="n">
        <v>43009</v>
      </c>
      <c r="J283" s="11" t="n">
        <v>1002</v>
      </c>
      <c r="K283" s="11" t="n">
        <v>21</v>
      </c>
      <c r="L283" s="11" t="n">
        <v>18043.67</v>
      </c>
    </row>
    <row r="284" customFormat="false" ht="15" hidden="false" customHeight="true" outlineLevel="0" collapsed="false">
      <c r="A284" s="11" t="n">
        <v>1361</v>
      </c>
      <c r="B284" s="11" t="s">
        <v>78</v>
      </c>
      <c r="C284" s="11" t="s">
        <v>115</v>
      </c>
      <c r="D284" s="11" t="s">
        <v>599</v>
      </c>
      <c r="E284" s="11" t="s">
        <v>600</v>
      </c>
      <c r="F284" s="11" t="s">
        <v>51</v>
      </c>
      <c r="G284" s="11" t="s">
        <v>199</v>
      </c>
      <c r="H284" s="11" t="n">
        <v>35409.86</v>
      </c>
      <c r="I284" s="11" t="n">
        <v>1164693</v>
      </c>
      <c r="J284" s="11" t="n">
        <v>34522</v>
      </c>
      <c r="K284" s="11" t="n">
        <v>396</v>
      </c>
      <c r="L284" s="11" t="n">
        <v>693739.52</v>
      </c>
    </row>
    <row r="285" customFormat="false" ht="15" hidden="false" customHeight="true" outlineLevel="0" collapsed="false">
      <c r="A285" s="11" t="n">
        <v>1071</v>
      </c>
      <c r="B285" s="11" t="s">
        <v>66</v>
      </c>
      <c r="C285" s="11" t="s">
        <v>235</v>
      </c>
      <c r="D285" s="11" t="s">
        <v>504</v>
      </c>
      <c r="E285" s="11" t="s">
        <v>601</v>
      </c>
      <c r="F285" s="11" t="s">
        <v>60</v>
      </c>
      <c r="G285" s="11" t="s">
        <v>91</v>
      </c>
      <c r="H285" s="11" t="n">
        <v>76796.2</v>
      </c>
      <c r="I285" s="11" t="n">
        <v>2570601</v>
      </c>
      <c r="J285" s="11" t="n">
        <v>16016</v>
      </c>
      <c r="K285" s="11" t="n">
        <v>1179</v>
      </c>
      <c r="L285" s="11" t="n">
        <v>1389925.69</v>
      </c>
    </row>
    <row r="286" customFormat="false" ht="15" hidden="false" customHeight="true" outlineLevel="0" collapsed="false">
      <c r="A286" s="11" t="n">
        <v>1332</v>
      </c>
      <c r="B286" s="11" t="s">
        <v>431</v>
      </c>
      <c r="C286" s="11" t="s">
        <v>105</v>
      </c>
      <c r="D286" s="11" t="s">
        <v>401</v>
      </c>
      <c r="E286" s="11" t="s">
        <v>216</v>
      </c>
      <c r="F286" s="11" t="s">
        <v>48</v>
      </c>
      <c r="G286" s="11" t="s">
        <v>95</v>
      </c>
      <c r="H286" s="11" t="n">
        <v>30030.41</v>
      </c>
      <c r="I286" s="11" t="n">
        <v>831398</v>
      </c>
      <c r="J286" s="11" t="n">
        <v>20300</v>
      </c>
      <c r="K286" s="11" t="n">
        <v>622</v>
      </c>
      <c r="L286" s="11" t="n">
        <v>1025782.07</v>
      </c>
    </row>
    <row r="287" customFormat="false" ht="15" hidden="false" customHeight="true" outlineLevel="0" collapsed="false">
      <c r="A287" s="11" t="n">
        <v>1125</v>
      </c>
      <c r="B287" s="11" t="s">
        <v>62</v>
      </c>
      <c r="C287" s="11" t="s">
        <v>92</v>
      </c>
      <c r="D287" s="11" t="s">
        <v>602</v>
      </c>
      <c r="E287" s="11" t="s">
        <v>154</v>
      </c>
      <c r="F287" s="11" t="s">
        <v>65</v>
      </c>
      <c r="G287" s="11" t="s">
        <v>91</v>
      </c>
      <c r="H287" s="11"/>
      <c r="I287" s="11" t="n">
        <v>68192</v>
      </c>
      <c r="J287" s="11" t="n">
        <v>1637</v>
      </c>
      <c r="K287" s="11" t="n">
        <v>101</v>
      </c>
      <c r="L287" s="11" t="n">
        <v>81727.53</v>
      </c>
    </row>
    <row r="288" customFormat="false" ht="15" hidden="false" customHeight="true" outlineLevel="0" collapsed="false">
      <c r="A288" s="11" t="n">
        <v>1186</v>
      </c>
      <c r="B288" s="11" t="s">
        <v>52</v>
      </c>
      <c r="C288" s="11" t="s">
        <v>124</v>
      </c>
      <c r="D288" s="11" t="s">
        <v>603</v>
      </c>
      <c r="E288" s="11" t="s">
        <v>604</v>
      </c>
      <c r="F288" s="11" t="s">
        <v>67</v>
      </c>
      <c r="G288" s="11" t="s">
        <v>108</v>
      </c>
      <c r="H288" s="11" t="n">
        <v>10791.2</v>
      </c>
      <c r="I288" s="11" t="n">
        <v>333015</v>
      </c>
      <c r="J288" s="11" t="n">
        <v>7462</v>
      </c>
      <c r="K288" s="11" t="n">
        <v>398</v>
      </c>
      <c r="L288" s="11" t="n">
        <v>411817.98</v>
      </c>
    </row>
    <row r="289" customFormat="false" ht="15" hidden="false" customHeight="true" outlineLevel="0" collapsed="false">
      <c r="A289" s="11" t="n">
        <v>1167</v>
      </c>
      <c r="B289" s="11" t="s">
        <v>70</v>
      </c>
      <c r="C289" s="11" t="s">
        <v>100</v>
      </c>
      <c r="D289" s="11" t="s">
        <v>605</v>
      </c>
      <c r="E289" s="11" t="s">
        <v>606</v>
      </c>
      <c r="F289" s="11" t="s">
        <v>67</v>
      </c>
      <c r="G289" s="11" t="s">
        <v>103</v>
      </c>
      <c r="H289" s="11" t="n">
        <v>15134.84</v>
      </c>
      <c r="I289" s="11" t="n">
        <v>492642</v>
      </c>
      <c r="J289" s="11" t="n">
        <v>10929</v>
      </c>
      <c r="K289" s="11" t="n">
        <v>760</v>
      </c>
      <c r="L289" s="11" t="n">
        <v>1115455.09</v>
      </c>
    </row>
    <row r="290" customFormat="false" ht="15" hidden="false" customHeight="true" outlineLevel="0" collapsed="false">
      <c r="A290" s="11" t="n">
        <v>1113</v>
      </c>
      <c r="B290" s="11" t="s">
        <v>58</v>
      </c>
      <c r="C290" s="11" t="s">
        <v>155</v>
      </c>
      <c r="D290" s="11" t="s">
        <v>258</v>
      </c>
      <c r="E290" s="11" t="s">
        <v>607</v>
      </c>
      <c r="F290" s="11" t="s">
        <v>56</v>
      </c>
      <c r="G290" s="11" t="s">
        <v>175</v>
      </c>
      <c r="H290" s="11" t="n">
        <v>37537.57</v>
      </c>
      <c r="I290" s="11" t="n">
        <v>620268</v>
      </c>
      <c r="J290" s="11" t="n">
        <v>20751</v>
      </c>
      <c r="K290" s="11" t="n">
        <v>1485</v>
      </c>
      <c r="L290" s="11" t="n">
        <v>2482604.61</v>
      </c>
    </row>
    <row r="291" customFormat="false" ht="15" hidden="false" customHeight="true" outlineLevel="0" collapsed="false">
      <c r="A291" s="11" t="n">
        <v>1460</v>
      </c>
      <c r="B291" s="11" t="s">
        <v>58</v>
      </c>
      <c r="C291" s="11" t="s">
        <v>141</v>
      </c>
      <c r="D291" s="11" t="s">
        <v>572</v>
      </c>
      <c r="E291" s="11" t="s">
        <v>608</v>
      </c>
      <c r="F291" s="11" t="s">
        <v>53</v>
      </c>
      <c r="G291" s="11" t="s">
        <v>91</v>
      </c>
      <c r="H291" s="11" t="n">
        <v>4347.98</v>
      </c>
      <c r="I291" s="11" t="n">
        <v>155297</v>
      </c>
      <c r="J291" s="11" t="n">
        <v>3082</v>
      </c>
      <c r="K291" s="11" t="n">
        <v>182</v>
      </c>
      <c r="L291" s="11" t="n">
        <v>163113.41</v>
      </c>
    </row>
    <row r="292" customFormat="false" ht="15" hidden="false" customHeight="true" outlineLevel="0" collapsed="false">
      <c r="A292" s="11" t="n">
        <v>1117</v>
      </c>
      <c r="B292" s="11" t="s">
        <v>68</v>
      </c>
      <c r="C292" s="11" t="s">
        <v>235</v>
      </c>
      <c r="D292" s="11" t="s">
        <v>609</v>
      </c>
      <c r="E292" s="11" t="s">
        <v>610</v>
      </c>
      <c r="F292" s="11" t="s">
        <v>48</v>
      </c>
      <c r="G292" s="11" t="s">
        <v>108</v>
      </c>
      <c r="H292" s="11" t="n">
        <v>49376.73</v>
      </c>
      <c r="I292" s="11" t="n">
        <v>1013795</v>
      </c>
      <c r="J292" s="11" t="n">
        <v>9507</v>
      </c>
      <c r="K292" s="11" t="n">
        <v>268</v>
      </c>
      <c r="L292" s="11" t="n">
        <v>457047.06</v>
      </c>
    </row>
    <row r="293" customFormat="false" ht="15" hidden="false" customHeight="true" outlineLevel="0" collapsed="false">
      <c r="A293" s="11" t="n">
        <v>1791</v>
      </c>
      <c r="B293" s="11" t="s">
        <v>73</v>
      </c>
      <c r="C293" s="11" t="s">
        <v>192</v>
      </c>
      <c r="D293" s="11" t="s">
        <v>611</v>
      </c>
      <c r="E293" s="11" t="s">
        <v>208</v>
      </c>
      <c r="F293" s="11" t="s">
        <v>69</v>
      </c>
      <c r="G293" s="11" t="s">
        <v>108</v>
      </c>
      <c r="H293" s="11" t="n">
        <v>34060.64</v>
      </c>
      <c r="I293" s="11" t="n">
        <v>736872</v>
      </c>
      <c r="J293" s="11" t="n">
        <v>15417</v>
      </c>
      <c r="K293" s="11" t="n">
        <v>197</v>
      </c>
      <c r="L293" s="11" t="n">
        <v>340891.25</v>
      </c>
    </row>
    <row r="294" customFormat="false" ht="15" hidden="false" customHeight="true" outlineLevel="0" collapsed="false">
      <c r="A294" s="11" t="n">
        <v>1786</v>
      </c>
      <c r="B294" s="11" t="s">
        <v>66</v>
      </c>
      <c r="C294" s="11" t="s">
        <v>124</v>
      </c>
      <c r="D294" s="11" t="s">
        <v>365</v>
      </c>
      <c r="E294" s="11" t="s">
        <v>612</v>
      </c>
      <c r="F294" s="11" t="s">
        <v>48</v>
      </c>
      <c r="G294" s="11" t="s">
        <v>199</v>
      </c>
      <c r="H294" s="11" t="n">
        <v>33043.03</v>
      </c>
      <c r="I294" s="11" t="n">
        <v>834237</v>
      </c>
      <c r="J294" s="11" t="n">
        <v>27443</v>
      </c>
      <c r="K294" s="11" t="n">
        <v>1558</v>
      </c>
      <c r="L294" s="11" t="n">
        <v>2062603.48</v>
      </c>
    </row>
    <row r="295" customFormat="false" ht="15" hidden="false" customHeight="true" outlineLevel="0" collapsed="false">
      <c r="A295" s="11" t="n">
        <v>1111</v>
      </c>
      <c r="B295" s="11" t="s">
        <v>613</v>
      </c>
      <c r="C295" s="11" t="s">
        <v>328</v>
      </c>
      <c r="D295" s="11" t="s">
        <v>562</v>
      </c>
      <c r="E295" s="11" t="s">
        <v>483</v>
      </c>
      <c r="F295" s="11" t="s">
        <v>60</v>
      </c>
      <c r="G295" s="11" t="s">
        <v>209</v>
      </c>
      <c r="H295" s="11" t="n">
        <v>16890.53</v>
      </c>
      <c r="I295" s="11" t="n">
        <v>399528</v>
      </c>
      <c r="J295" s="11" t="n">
        <v>5301</v>
      </c>
      <c r="K295" s="11" t="n">
        <v>400</v>
      </c>
      <c r="L295" s="11" t="n">
        <v>560513.89</v>
      </c>
    </row>
    <row r="296" customFormat="false" ht="15" hidden="false" customHeight="true" outlineLevel="0" collapsed="false">
      <c r="A296" s="11" t="n">
        <v>1692</v>
      </c>
      <c r="B296" s="11" t="s">
        <v>52</v>
      </c>
      <c r="C296" s="11" t="s">
        <v>47</v>
      </c>
      <c r="D296" s="11" t="s">
        <v>82</v>
      </c>
      <c r="E296" s="11" t="s">
        <v>83</v>
      </c>
      <c r="F296" s="11" t="s">
        <v>67</v>
      </c>
      <c r="G296" s="11" t="s">
        <v>209</v>
      </c>
      <c r="H296" s="11" t="n">
        <v>2316.55</v>
      </c>
      <c r="I296" s="11" t="n">
        <v>39913</v>
      </c>
      <c r="J296" s="11" t="n">
        <v>1267</v>
      </c>
      <c r="K296" s="11" t="n">
        <v>78</v>
      </c>
      <c r="L296" s="11" t="n">
        <v>91911.19</v>
      </c>
    </row>
    <row r="297" customFormat="false" ht="15" hidden="false" customHeight="true" outlineLevel="0" collapsed="false">
      <c r="A297" s="11" t="n">
        <v>1227</v>
      </c>
      <c r="B297" s="11" t="s">
        <v>447</v>
      </c>
      <c r="C297" s="11" t="s">
        <v>100</v>
      </c>
      <c r="D297" s="11" t="s">
        <v>614</v>
      </c>
      <c r="E297" s="11" t="s">
        <v>483</v>
      </c>
      <c r="F297" s="11" t="s">
        <v>69</v>
      </c>
      <c r="G297" s="11" t="s">
        <v>131</v>
      </c>
      <c r="H297" s="11" t="n">
        <v>85381.62</v>
      </c>
      <c r="I297" s="11" t="n">
        <v>2309836</v>
      </c>
      <c r="J297" s="11" t="n">
        <v>64814</v>
      </c>
      <c r="K297" s="11" t="n">
        <v>2238</v>
      </c>
      <c r="L297" s="11" t="n">
        <v>3394375.73</v>
      </c>
    </row>
    <row r="298" customFormat="false" ht="15" hidden="false" customHeight="true" outlineLevel="0" collapsed="false">
      <c r="A298" s="11" t="n">
        <v>1016</v>
      </c>
      <c r="B298" s="11" t="s">
        <v>615</v>
      </c>
      <c r="C298" s="11" t="s">
        <v>115</v>
      </c>
      <c r="D298" s="11" t="s">
        <v>388</v>
      </c>
      <c r="E298" s="11" t="s">
        <v>429</v>
      </c>
      <c r="F298" s="11" t="s">
        <v>53</v>
      </c>
      <c r="G298" s="11" t="s">
        <v>112</v>
      </c>
      <c r="H298" s="11" t="n">
        <v>72279.89</v>
      </c>
      <c r="I298" s="11" t="n">
        <v>2425743</v>
      </c>
      <c r="J298" s="11" t="n">
        <v>23441</v>
      </c>
      <c r="K298" s="11" t="n">
        <v>696</v>
      </c>
      <c r="L298" s="11" t="n">
        <v>456167.45</v>
      </c>
    </row>
    <row r="299" customFormat="false" ht="15" hidden="false" customHeight="true" outlineLevel="0" collapsed="false">
      <c r="A299" s="11" t="n">
        <v>1560</v>
      </c>
      <c r="B299" s="11" t="s">
        <v>613</v>
      </c>
      <c r="C299" s="11" t="s">
        <v>100</v>
      </c>
      <c r="D299" s="11" t="s">
        <v>605</v>
      </c>
      <c r="E299" s="11" t="s">
        <v>531</v>
      </c>
      <c r="F299" s="11" t="s">
        <v>53</v>
      </c>
      <c r="G299" s="11" t="s">
        <v>84</v>
      </c>
      <c r="H299" s="11" t="n">
        <v>37367.02</v>
      </c>
      <c r="I299" s="11" t="n">
        <v>670670</v>
      </c>
      <c r="J299" s="11" t="n">
        <v>7992</v>
      </c>
      <c r="K299" s="11" t="n">
        <v>416</v>
      </c>
      <c r="L299" s="11" t="n">
        <v>345210.82</v>
      </c>
    </row>
    <row r="300" customFormat="false" ht="15" hidden="false" customHeight="true" outlineLevel="0" collapsed="false">
      <c r="A300" s="11" t="n">
        <v>1648</v>
      </c>
      <c r="B300" s="11" t="s">
        <v>64</v>
      </c>
      <c r="C300" s="11" t="s">
        <v>47</v>
      </c>
      <c r="D300" s="11" t="s">
        <v>616</v>
      </c>
      <c r="E300" s="11" t="s">
        <v>617</v>
      </c>
      <c r="F300" s="11" t="s">
        <v>65</v>
      </c>
      <c r="G300" s="11"/>
      <c r="H300" s="11" t="n">
        <v>2791.51</v>
      </c>
      <c r="I300" s="11" t="n">
        <v>99974</v>
      </c>
      <c r="J300" s="11" t="n">
        <v>570</v>
      </c>
      <c r="K300" s="11" t="n">
        <v>22</v>
      </c>
      <c r="L300" s="11" t="n">
        <v>19898.76</v>
      </c>
    </row>
    <row r="301" customFormat="false" ht="15" hidden="false" customHeight="true" outlineLevel="0" collapsed="false">
      <c r="A301" s="11" t="n">
        <v>1061</v>
      </c>
      <c r="B301" s="11" t="s">
        <v>58</v>
      </c>
      <c r="C301" s="11" t="s">
        <v>81</v>
      </c>
      <c r="D301" s="11" t="s">
        <v>283</v>
      </c>
      <c r="E301" s="11" t="s">
        <v>270</v>
      </c>
      <c r="F301" s="11" t="s">
        <v>65</v>
      </c>
      <c r="G301" s="11" t="s">
        <v>91</v>
      </c>
      <c r="H301" s="11" t="n">
        <v>3896.69</v>
      </c>
      <c r="I301" s="11" t="n">
        <v>139055</v>
      </c>
      <c r="J301" s="11" t="n">
        <v>2358</v>
      </c>
      <c r="K301" s="11" t="n">
        <v>144</v>
      </c>
      <c r="L301" s="11" t="n">
        <v>115660.1</v>
      </c>
    </row>
    <row r="302" customFormat="false" ht="15" hidden="false" customHeight="true" outlineLevel="0" collapsed="false">
      <c r="A302" s="11" t="n">
        <v>1455</v>
      </c>
      <c r="B302" s="11" t="s">
        <v>79</v>
      </c>
      <c r="C302" s="11" t="s">
        <v>118</v>
      </c>
      <c r="D302" s="11" t="s">
        <v>618</v>
      </c>
      <c r="E302" s="11" t="s">
        <v>441</v>
      </c>
      <c r="F302" s="11" t="s">
        <v>51</v>
      </c>
      <c r="G302" s="11" t="s">
        <v>57</v>
      </c>
      <c r="H302" s="11" t="n">
        <v>30570.41</v>
      </c>
      <c r="I302" s="11" t="n">
        <v>607645</v>
      </c>
      <c r="J302" s="11" t="n">
        <v>5647</v>
      </c>
      <c r="K302" s="11" t="n">
        <v>262</v>
      </c>
      <c r="L302" s="11" t="n">
        <v>308962.01</v>
      </c>
    </row>
    <row r="303" customFormat="false" ht="15" hidden="false" customHeight="true" outlineLevel="0" collapsed="false">
      <c r="A303" s="11" t="n">
        <v>1080</v>
      </c>
      <c r="B303" s="11" t="s">
        <v>58</v>
      </c>
      <c r="C303" s="11" t="s">
        <v>121</v>
      </c>
      <c r="D303" s="11" t="s">
        <v>619</v>
      </c>
      <c r="E303" s="11" t="s">
        <v>620</v>
      </c>
      <c r="F303" s="11" t="s">
        <v>67</v>
      </c>
      <c r="G303" s="11" t="s">
        <v>147</v>
      </c>
      <c r="H303" s="11" t="n">
        <v>26346.43</v>
      </c>
      <c r="I303" s="11" t="n">
        <v>771070</v>
      </c>
      <c r="J303" s="11" t="n">
        <v>8188</v>
      </c>
      <c r="K303" s="11" t="n">
        <v>464</v>
      </c>
      <c r="L303" s="11" t="n">
        <v>514600.41</v>
      </c>
    </row>
    <row r="304" customFormat="false" ht="15" hidden="false" customHeight="true" outlineLevel="0" collapsed="false">
      <c r="A304" s="11" t="n">
        <v>1243</v>
      </c>
      <c r="B304" s="11" t="s">
        <v>52</v>
      </c>
      <c r="C304" s="11" t="s">
        <v>85</v>
      </c>
      <c r="D304" s="11" t="s">
        <v>621</v>
      </c>
      <c r="E304" s="11" t="s">
        <v>622</v>
      </c>
      <c r="F304" s="11" t="s">
        <v>67</v>
      </c>
      <c r="G304" s="11" t="s">
        <v>72</v>
      </c>
      <c r="H304" s="11" t="n">
        <v>62352.68</v>
      </c>
      <c r="I304" s="11" t="n">
        <v>1747333</v>
      </c>
      <c r="J304" s="11" t="n">
        <v>32340</v>
      </c>
      <c r="K304" s="11" t="n">
        <v>702</v>
      </c>
      <c r="L304" s="11" t="n">
        <v>1115202.24</v>
      </c>
    </row>
    <row r="305" customFormat="false" ht="15" hidden="false" customHeight="true" outlineLevel="0" collapsed="false">
      <c r="A305" s="11" t="n">
        <v>1286</v>
      </c>
      <c r="B305" s="11" t="s">
        <v>62</v>
      </c>
      <c r="C305" s="11" t="s">
        <v>149</v>
      </c>
      <c r="D305" s="11" t="s">
        <v>623</v>
      </c>
      <c r="E305" s="11" t="s">
        <v>595</v>
      </c>
      <c r="F305" s="11" t="s">
        <v>60</v>
      </c>
      <c r="G305" s="11" t="s">
        <v>112</v>
      </c>
      <c r="H305" s="11" t="n">
        <v>30857.48</v>
      </c>
      <c r="I305" s="11" t="n">
        <v>986048</v>
      </c>
      <c r="J305" s="11" t="n">
        <v>21353</v>
      </c>
      <c r="K305" s="11" t="n">
        <v>241</v>
      </c>
      <c r="L305" s="11" t="n">
        <v>286121.61</v>
      </c>
    </row>
    <row r="306" customFormat="false" ht="15" hidden="false" customHeight="true" outlineLevel="0" collapsed="false">
      <c r="A306" s="11" t="n">
        <v>1012</v>
      </c>
      <c r="B306" s="11" t="s">
        <v>73</v>
      </c>
      <c r="C306" s="11" t="s">
        <v>71</v>
      </c>
      <c r="D306" s="11" t="s">
        <v>624</v>
      </c>
      <c r="E306" s="11" t="s">
        <v>625</v>
      </c>
      <c r="F306" s="11" t="s">
        <v>60</v>
      </c>
      <c r="G306" s="11" t="s">
        <v>84</v>
      </c>
      <c r="H306" s="11" t="n">
        <v>8112.08</v>
      </c>
      <c r="I306" s="11" t="n">
        <v>200859</v>
      </c>
      <c r="J306" s="11" t="n">
        <v>6587</v>
      </c>
      <c r="K306" s="11" t="n">
        <v>427</v>
      </c>
      <c r="L306" s="11" t="n">
        <v>326062.06</v>
      </c>
    </row>
    <row r="307" customFormat="false" ht="15" hidden="false" customHeight="true" outlineLevel="0" collapsed="false">
      <c r="A307" s="11" t="n">
        <v>1390</v>
      </c>
      <c r="B307" s="11" t="s">
        <v>523</v>
      </c>
      <c r="C307" s="11" t="s">
        <v>50</v>
      </c>
      <c r="D307" s="11" t="s">
        <v>626</v>
      </c>
      <c r="E307" s="11" t="s">
        <v>452</v>
      </c>
      <c r="F307" s="11" t="s">
        <v>48</v>
      </c>
      <c r="G307" s="11" t="s">
        <v>57</v>
      </c>
      <c r="H307" s="11" t="n">
        <v>40385.06</v>
      </c>
      <c r="I307" s="11" t="n">
        <v>1002827</v>
      </c>
      <c r="J307" s="11" t="n">
        <v>6130</v>
      </c>
      <c r="K307" s="11" t="n">
        <v>457</v>
      </c>
      <c r="L307" s="11" t="n">
        <v>259978.41</v>
      </c>
    </row>
    <row r="308" customFormat="false" ht="15" hidden="false" customHeight="true" outlineLevel="0" collapsed="false">
      <c r="A308" s="11" t="n">
        <v>1461</v>
      </c>
      <c r="B308" s="11" t="s">
        <v>55</v>
      </c>
      <c r="C308" s="11" t="s">
        <v>328</v>
      </c>
      <c r="D308" s="11" t="s">
        <v>517</v>
      </c>
      <c r="E308" s="11" t="s">
        <v>627</v>
      </c>
      <c r="F308" s="11" t="s">
        <v>67</v>
      </c>
      <c r="G308" s="11" t="s">
        <v>103</v>
      </c>
      <c r="H308" s="11" t="n">
        <v>23260.57</v>
      </c>
      <c r="I308" s="11" t="n">
        <v>594561</v>
      </c>
      <c r="J308" s="11" t="n">
        <v>11417</v>
      </c>
      <c r="K308" s="11" t="n">
        <v>392</v>
      </c>
      <c r="L308" s="11" t="n">
        <v>359650.57</v>
      </c>
    </row>
    <row r="309" customFormat="false" ht="15" hidden="false" customHeight="true" outlineLevel="0" collapsed="false">
      <c r="A309" s="11" t="n">
        <v>1635</v>
      </c>
      <c r="B309" s="11" t="s">
        <v>73</v>
      </c>
      <c r="C309" s="11" t="s">
        <v>96</v>
      </c>
      <c r="D309" s="11" t="s">
        <v>568</v>
      </c>
      <c r="E309" s="11" t="s">
        <v>482</v>
      </c>
      <c r="F309" s="11" t="s">
        <v>51</v>
      </c>
      <c r="G309" s="11" t="s">
        <v>99</v>
      </c>
      <c r="H309" s="11" t="n">
        <v>3050.74</v>
      </c>
      <c r="I309" s="11" t="n">
        <v>76146</v>
      </c>
      <c r="J309" s="11" t="n">
        <v>2259</v>
      </c>
      <c r="K309" s="11" t="n">
        <v>144</v>
      </c>
      <c r="L309" s="11" t="n">
        <v>126272.34</v>
      </c>
    </row>
    <row r="310" customFormat="false" ht="15" hidden="false" customHeight="true" outlineLevel="0" collapsed="false">
      <c r="A310" s="11" t="n">
        <v>1289</v>
      </c>
      <c r="B310" s="11" t="s">
        <v>46</v>
      </c>
      <c r="C310" s="11" t="s">
        <v>134</v>
      </c>
      <c r="D310" s="11" t="s">
        <v>628</v>
      </c>
      <c r="E310" s="11" t="s">
        <v>496</v>
      </c>
      <c r="F310" s="11" t="s">
        <v>53</v>
      </c>
      <c r="G310" s="11" t="s">
        <v>172</v>
      </c>
      <c r="H310" s="11" t="n">
        <v>43726.72</v>
      </c>
      <c r="I310" s="11" t="n">
        <v>1305556</v>
      </c>
      <c r="J310" s="11" t="n">
        <v>9938</v>
      </c>
      <c r="K310" s="11" t="n">
        <v>424</v>
      </c>
      <c r="L310" s="11" t="n">
        <v>176766.73</v>
      </c>
    </row>
    <row r="311" customFormat="false" ht="15" hidden="false" customHeight="true" outlineLevel="0" collapsed="false">
      <c r="A311" s="11" t="n">
        <v>1499</v>
      </c>
      <c r="B311" s="11" t="s">
        <v>68</v>
      </c>
      <c r="C311" s="11" t="s">
        <v>185</v>
      </c>
      <c r="D311" s="11" t="s">
        <v>629</v>
      </c>
      <c r="E311" s="11" t="s">
        <v>186</v>
      </c>
      <c r="F311" s="11" t="s">
        <v>48</v>
      </c>
      <c r="G311" s="11" t="s">
        <v>54</v>
      </c>
      <c r="H311" s="11" t="n">
        <v>15495.29</v>
      </c>
      <c r="I311" s="11" t="n">
        <v>562987</v>
      </c>
      <c r="J311" s="11" t="n">
        <v>19228</v>
      </c>
      <c r="K311" s="11" t="n">
        <v>1421</v>
      </c>
      <c r="L311" s="11" t="n">
        <v>997003.79</v>
      </c>
    </row>
    <row r="312" customFormat="false" ht="15" hidden="false" customHeight="true" outlineLevel="0" collapsed="false">
      <c r="A312" s="11" t="n">
        <v>1671</v>
      </c>
      <c r="B312" s="11" t="s">
        <v>180</v>
      </c>
      <c r="C312" s="11" t="s">
        <v>328</v>
      </c>
      <c r="D312" s="11" t="s">
        <v>177</v>
      </c>
      <c r="E312" s="11" t="s">
        <v>630</v>
      </c>
      <c r="F312" s="11" t="s">
        <v>67</v>
      </c>
      <c r="G312" s="11" t="s">
        <v>72</v>
      </c>
      <c r="H312" s="11" t="n">
        <v>32331.65</v>
      </c>
      <c r="I312" s="11" t="n">
        <v>672644</v>
      </c>
      <c r="J312" s="11" t="n">
        <v>12207</v>
      </c>
      <c r="K312" s="11" t="n">
        <v>824</v>
      </c>
      <c r="L312" s="11" t="n">
        <v>935096.83</v>
      </c>
    </row>
    <row r="313" customFormat="false" ht="15" hidden="false" customHeight="true" outlineLevel="0" collapsed="false">
      <c r="A313" s="11" t="n">
        <v>1622</v>
      </c>
      <c r="B313" s="11" t="s">
        <v>78</v>
      </c>
      <c r="C313" s="11" t="s">
        <v>124</v>
      </c>
      <c r="D313" s="11" t="s">
        <v>631</v>
      </c>
      <c r="E313" s="11" t="s">
        <v>501</v>
      </c>
      <c r="F313" s="11" t="s">
        <v>51</v>
      </c>
      <c r="G313" s="11" t="s">
        <v>112</v>
      </c>
      <c r="H313" s="11" t="n">
        <v>22649.13</v>
      </c>
      <c r="I313" s="11" t="n">
        <v>408562</v>
      </c>
      <c r="J313" s="11" t="n">
        <v>8044</v>
      </c>
      <c r="K313" s="11" t="n">
        <v>287</v>
      </c>
      <c r="L313" s="11" t="n">
        <v>470476.4</v>
      </c>
    </row>
    <row r="314" customFormat="false" ht="15" hidden="false" customHeight="true" outlineLevel="0" collapsed="false">
      <c r="A314" s="11" t="n">
        <v>1325</v>
      </c>
      <c r="B314" s="11" t="s">
        <v>144</v>
      </c>
      <c r="C314" s="11" t="s">
        <v>149</v>
      </c>
      <c r="D314" s="11" t="s">
        <v>632</v>
      </c>
      <c r="E314" s="11" t="s">
        <v>633</v>
      </c>
      <c r="F314" s="11" t="s">
        <v>60</v>
      </c>
      <c r="G314" s="11" t="s">
        <v>84</v>
      </c>
      <c r="H314" s="11" t="n">
        <v>33579.68</v>
      </c>
      <c r="I314" s="11" t="n">
        <v>1094615</v>
      </c>
      <c r="J314" s="11" t="n">
        <v>5517</v>
      </c>
      <c r="K314" s="11" t="n">
        <v>297</v>
      </c>
      <c r="L314" s="11" t="n">
        <v>269698.26</v>
      </c>
    </row>
    <row r="315" customFormat="false" ht="15" hidden="false" customHeight="true" outlineLevel="0" collapsed="false">
      <c r="A315" s="11" t="n">
        <v>1554</v>
      </c>
      <c r="B315" s="11" t="s">
        <v>78</v>
      </c>
      <c r="C315" s="11" t="s">
        <v>141</v>
      </c>
      <c r="D315" s="11" t="s">
        <v>634</v>
      </c>
      <c r="E315" s="11" t="s">
        <v>635</v>
      </c>
      <c r="F315" s="11" t="s">
        <v>69</v>
      </c>
      <c r="G315" s="11" t="s">
        <v>49</v>
      </c>
      <c r="H315" s="11" t="n">
        <v>5339.14</v>
      </c>
      <c r="I315" s="11" t="n">
        <v>85777</v>
      </c>
      <c r="J315" s="11" t="n">
        <v>2763</v>
      </c>
      <c r="K315" s="11" t="n">
        <v>213</v>
      </c>
      <c r="L315" s="11" t="n">
        <v>219063.11</v>
      </c>
    </row>
    <row r="316" customFormat="false" ht="15" hidden="false" customHeight="true" outlineLevel="0" collapsed="false">
      <c r="A316" s="11" t="n">
        <v>1095</v>
      </c>
      <c r="B316" s="11" t="s">
        <v>191</v>
      </c>
      <c r="C316" s="11" t="s">
        <v>96</v>
      </c>
      <c r="D316" s="11" t="s">
        <v>636</v>
      </c>
      <c r="E316" s="11" t="s">
        <v>320</v>
      </c>
      <c r="F316" s="11" t="s">
        <v>60</v>
      </c>
      <c r="G316" s="11" t="s">
        <v>238</v>
      </c>
      <c r="H316" s="11" t="n">
        <v>1358.1</v>
      </c>
      <c r="I316" s="11" t="n">
        <v>39446</v>
      </c>
      <c r="J316" s="11" t="n">
        <v>626</v>
      </c>
      <c r="K316" s="11" t="n">
        <v>18</v>
      </c>
      <c r="L316" s="11" t="n">
        <v>16383.7</v>
      </c>
    </row>
    <row r="317" customFormat="false" ht="15" hidden="false" customHeight="true" outlineLevel="0" collapsed="false">
      <c r="A317" s="11" t="n">
        <v>1424</v>
      </c>
      <c r="B317" s="11" t="s">
        <v>73</v>
      </c>
      <c r="C317" s="11" t="s">
        <v>118</v>
      </c>
      <c r="D317" s="11" t="s">
        <v>637</v>
      </c>
      <c r="E317" s="11" t="s">
        <v>638</v>
      </c>
      <c r="F317" s="11" t="s">
        <v>56</v>
      </c>
      <c r="G317" s="11" t="s">
        <v>163</v>
      </c>
      <c r="H317" s="11" t="n">
        <v>46317.45</v>
      </c>
      <c r="I317" s="11" t="n">
        <v>961292</v>
      </c>
      <c r="J317" s="11" t="n">
        <v>5992</v>
      </c>
      <c r="K317" s="11" t="n">
        <v>274</v>
      </c>
      <c r="L317" s="11" t="n">
        <v>229541.38</v>
      </c>
    </row>
    <row r="318" customFormat="false" ht="15" hidden="false" customHeight="true" outlineLevel="0" collapsed="false">
      <c r="A318" s="11" t="n">
        <v>1568</v>
      </c>
      <c r="B318" s="11" t="s">
        <v>79</v>
      </c>
      <c r="C318" s="11" t="s">
        <v>63</v>
      </c>
      <c r="D318" s="11" t="s">
        <v>639</v>
      </c>
      <c r="E318" s="11" t="s">
        <v>640</v>
      </c>
      <c r="F318" s="11" t="s">
        <v>69</v>
      </c>
      <c r="G318" s="11"/>
      <c r="H318" s="11" t="n">
        <v>22903.77</v>
      </c>
      <c r="I318" s="11" t="n">
        <v>817194</v>
      </c>
      <c r="J318" s="11" t="n">
        <v>6157</v>
      </c>
      <c r="K318" s="11" t="n">
        <v>181</v>
      </c>
      <c r="L318" s="11" t="n">
        <v>223378.29</v>
      </c>
    </row>
    <row r="319" customFormat="false" ht="15" hidden="false" customHeight="true" outlineLevel="0" collapsed="false">
      <c r="A319" s="11" t="n">
        <v>1438</v>
      </c>
      <c r="B319" s="11" t="s">
        <v>55</v>
      </c>
      <c r="C319" s="11" t="s">
        <v>124</v>
      </c>
      <c r="D319" s="11" t="s">
        <v>641</v>
      </c>
      <c r="E319" s="11" t="s">
        <v>634</v>
      </c>
      <c r="F319" s="11" t="s">
        <v>65</v>
      </c>
      <c r="G319" s="11" t="s">
        <v>199</v>
      </c>
      <c r="H319" s="11" t="n">
        <v>28543.32</v>
      </c>
      <c r="I319" s="11" t="n">
        <v>733477</v>
      </c>
      <c r="J319" s="11" t="n">
        <v>8781</v>
      </c>
      <c r="K319" s="11" t="n">
        <v>152</v>
      </c>
      <c r="L319" s="11"/>
    </row>
    <row r="320" customFormat="false" ht="15" hidden="false" customHeight="true" outlineLevel="0" collapsed="false">
      <c r="A320" s="11" t="n">
        <v>1401</v>
      </c>
      <c r="B320" s="11" t="s">
        <v>66</v>
      </c>
      <c r="C320" s="11" t="s">
        <v>210</v>
      </c>
      <c r="D320" s="11" t="s">
        <v>642</v>
      </c>
      <c r="E320" s="11" t="s">
        <v>237</v>
      </c>
      <c r="F320" s="11" t="s">
        <v>69</v>
      </c>
      <c r="G320" s="11"/>
      <c r="H320" s="11" t="n">
        <v>46120.23</v>
      </c>
      <c r="I320" s="11" t="n">
        <v>1682983</v>
      </c>
      <c r="J320" s="11" t="n">
        <v>24439</v>
      </c>
      <c r="K320" s="11" t="n">
        <v>684</v>
      </c>
      <c r="L320" s="11" t="n">
        <v>353104.54</v>
      </c>
    </row>
    <row r="321" customFormat="false" ht="15" hidden="false" customHeight="true" outlineLevel="0" collapsed="false">
      <c r="A321" s="11" t="n">
        <v>1317</v>
      </c>
      <c r="B321" s="11" t="s">
        <v>70</v>
      </c>
      <c r="C321" s="11" t="s">
        <v>210</v>
      </c>
      <c r="D321" s="11" t="s">
        <v>643</v>
      </c>
      <c r="E321" s="11" t="s">
        <v>644</v>
      </c>
      <c r="F321" s="11" t="s">
        <v>53</v>
      </c>
      <c r="G321" s="11"/>
      <c r="H321" s="11" t="n">
        <v>46216.67</v>
      </c>
      <c r="I321" s="11" t="n">
        <v>1626147</v>
      </c>
      <c r="J321" s="11" t="n">
        <v>45819</v>
      </c>
      <c r="K321" s="11" t="n">
        <v>2678</v>
      </c>
      <c r="L321" s="11" t="n">
        <v>1737840.74</v>
      </c>
    </row>
    <row r="322" customFormat="false" ht="15" hidden="false" customHeight="true" outlineLevel="0" collapsed="false">
      <c r="A322" s="11" t="n">
        <v>1386</v>
      </c>
      <c r="B322" s="11" t="s">
        <v>73</v>
      </c>
      <c r="C322" s="11" t="s">
        <v>185</v>
      </c>
      <c r="D322" s="11" t="s">
        <v>645</v>
      </c>
      <c r="E322" s="11" t="s">
        <v>194</v>
      </c>
      <c r="F322" s="11" t="s">
        <v>53</v>
      </c>
      <c r="G322" s="11"/>
      <c r="H322" s="11" t="n">
        <v>40113.27</v>
      </c>
      <c r="I322" s="11" t="n">
        <v>722728</v>
      </c>
      <c r="J322" s="11" t="n">
        <v>8472</v>
      </c>
      <c r="K322" s="11" t="n">
        <v>237</v>
      </c>
      <c r="L322" s="11" t="n">
        <v>199902.42</v>
      </c>
    </row>
    <row r="323" customFormat="false" ht="15" hidden="false" customHeight="true" outlineLevel="0" collapsed="false">
      <c r="A323" s="11" t="n">
        <v>1687</v>
      </c>
      <c r="B323" s="11" t="s">
        <v>88</v>
      </c>
      <c r="C323" s="11" t="s">
        <v>50</v>
      </c>
      <c r="D323" s="11" t="s">
        <v>646</v>
      </c>
      <c r="E323" s="11" t="s">
        <v>647</v>
      </c>
      <c r="F323" s="11" t="s">
        <v>69</v>
      </c>
      <c r="G323" s="11" t="s">
        <v>72</v>
      </c>
      <c r="H323" s="11" t="n">
        <v>36120.29</v>
      </c>
      <c r="I323" s="11" t="n">
        <v>693972</v>
      </c>
      <c r="J323" s="11" t="n">
        <v>23531</v>
      </c>
      <c r="K323" s="11" t="n">
        <v>1106</v>
      </c>
      <c r="L323" s="11" t="n">
        <v>394574.89</v>
      </c>
    </row>
    <row r="324" customFormat="false" ht="15" hidden="false" customHeight="true" outlineLevel="0" collapsed="false">
      <c r="A324" s="11" t="n">
        <v>1257</v>
      </c>
      <c r="B324" s="11" t="s">
        <v>455</v>
      </c>
      <c r="C324" s="11" t="s">
        <v>185</v>
      </c>
      <c r="D324" s="11" t="s">
        <v>648</v>
      </c>
      <c r="E324" s="11" t="s">
        <v>649</v>
      </c>
      <c r="F324" s="11" t="s">
        <v>53</v>
      </c>
      <c r="G324" s="11" t="s">
        <v>103</v>
      </c>
      <c r="H324" s="11" t="n">
        <v>11156.41</v>
      </c>
      <c r="I324" s="11" t="n">
        <v>322983</v>
      </c>
      <c r="J324" s="11" t="n">
        <v>10706</v>
      </c>
      <c r="K324" s="11" t="n">
        <v>418</v>
      </c>
      <c r="L324" s="11" t="n">
        <v>369992.51</v>
      </c>
    </row>
    <row r="325" customFormat="false" ht="15" hidden="false" customHeight="true" outlineLevel="0" collapsed="false">
      <c r="A325" s="11" t="n">
        <v>1487</v>
      </c>
      <c r="B325" s="11" t="s">
        <v>290</v>
      </c>
      <c r="C325" s="11" t="s">
        <v>138</v>
      </c>
      <c r="D325" s="11" t="s">
        <v>216</v>
      </c>
      <c r="E325" s="11" t="s">
        <v>650</v>
      </c>
      <c r="F325" s="11" t="s">
        <v>53</v>
      </c>
      <c r="G325" s="11" t="s">
        <v>103</v>
      </c>
      <c r="H325" s="11" t="n">
        <v>22902.62</v>
      </c>
      <c r="I325" s="11" t="n">
        <v>789780</v>
      </c>
      <c r="J325" s="11" t="n">
        <v>13446</v>
      </c>
      <c r="K325" s="11" t="n">
        <v>389</v>
      </c>
      <c r="L325" s="11" t="n">
        <v>239972.62</v>
      </c>
    </row>
    <row r="326" customFormat="false" ht="15" hidden="false" customHeight="true" outlineLevel="0" collapsed="false">
      <c r="A326" s="11" t="n">
        <v>1498</v>
      </c>
      <c r="B326" s="11" t="s">
        <v>64</v>
      </c>
      <c r="C326" s="11" t="s">
        <v>149</v>
      </c>
      <c r="D326" s="11" t="s">
        <v>345</v>
      </c>
      <c r="E326" s="11" t="s">
        <v>459</v>
      </c>
      <c r="F326" s="11" t="s">
        <v>65</v>
      </c>
      <c r="G326" s="11" t="s">
        <v>131</v>
      </c>
      <c r="H326" s="11" t="n">
        <v>37456.53</v>
      </c>
      <c r="I326" s="11" t="n">
        <v>1055287</v>
      </c>
      <c r="J326" s="11" t="n">
        <v>29862</v>
      </c>
      <c r="K326" s="11" t="n">
        <v>1994</v>
      </c>
      <c r="L326" s="11" t="n">
        <v>1332060.36</v>
      </c>
    </row>
    <row r="327" customFormat="false" ht="15" hidden="false" customHeight="true" outlineLevel="0" collapsed="false">
      <c r="A327" s="11" t="n">
        <v>1380</v>
      </c>
      <c r="B327" s="11" t="s">
        <v>144</v>
      </c>
      <c r="C327" s="11" t="s">
        <v>155</v>
      </c>
      <c r="D327" s="11" t="s">
        <v>651</v>
      </c>
      <c r="E327" s="11" t="s">
        <v>510</v>
      </c>
      <c r="F327" s="11" t="s">
        <v>69</v>
      </c>
      <c r="G327" s="11" t="s">
        <v>54</v>
      </c>
      <c r="H327" s="11" t="n">
        <v>49512.23</v>
      </c>
      <c r="I327" s="11" t="n">
        <v>1244108</v>
      </c>
      <c r="J327" s="11" t="n">
        <v>30768</v>
      </c>
      <c r="K327" s="11" t="n">
        <v>1910</v>
      </c>
      <c r="L327" s="11" t="n">
        <v>2678911.64</v>
      </c>
    </row>
    <row r="328" customFormat="false" ht="15" hidden="false" customHeight="true" outlineLevel="0" collapsed="false">
      <c r="A328" s="11" t="n">
        <v>1369</v>
      </c>
      <c r="B328" s="11" t="s">
        <v>423</v>
      </c>
      <c r="C328" s="11" t="s">
        <v>81</v>
      </c>
      <c r="D328" s="11" t="s">
        <v>652</v>
      </c>
      <c r="E328" s="11" t="s">
        <v>653</v>
      </c>
      <c r="F328" s="11" t="s">
        <v>51</v>
      </c>
      <c r="G328" s="11" t="s">
        <v>199</v>
      </c>
      <c r="H328" s="11" t="n">
        <v>7770.47</v>
      </c>
      <c r="I328" s="11" t="n">
        <v>232770</v>
      </c>
      <c r="J328" s="11" t="n">
        <v>6388</v>
      </c>
      <c r="K328" s="11" t="n">
        <v>84</v>
      </c>
      <c r="L328" s="11" t="n">
        <v>60295.41</v>
      </c>
    </row>
    <row r="329" customFormat="false" ht="15" hidden="false" customHeight="true" outlineLevel="0" collapsed="false">
      <c r="A329" s="11" t="n">
        <v>1170</v>
      </c>
      <c r="B329" s="11" t="s">
        <v>70</v>
      </c>
      <c r="C329" s="11" t="s">
        <v>47</v>
      </c>
      <c r="D329" s="11" t="s">
        <v>654</v>
      </c>
      <c r="E329" s="11" t="s">
        <v>409</v>
      </c>
      <c r="F329" s="11" t="s">
        <v>53</v>
      </c>
      <c r="G329" s="11" t="s">
        <v>163</v>
      </c>
      <c r="H329" s="11" t="n">
        <v>2126.33</v>
      </c>
      <c r="I329" s="11" t="n">
        <v>35881</v>
      </c>
      <c r="J329" s="11" t="n">
        <v>1193</v>
      </c>
      <c r="K329" s="11" t="n">
        <v>93</v>
      </c>
      <c r="L329" s="11" t="n">
        <v>78122.64</v>
      </c>
    </row>
    <row r="330" customFormat="false" ht="15" hidden="false" customHeight="true" outlineLevel="0" collapsed="false">
      <c r="A330" s="11" t="n">
        <v>1789</v>
      </c>
      <c r="B330" s="11" t="s">
        <v>70</v>
      </c>
      <c r="C330" s="11" t="s">
        <v>235</v>
      </c>
      <c r="D330" s="11" t="s">
        <v>128</v>
      </c>
      <c r="E330" s="11" t="s">
        <v>655</v>
      </c>
      <c r="F330" s="11" t="s">
        <v>65</v>
      </c>
      <c r="G330" s="11" t="s">
        <v>172</v>
      </c>
      <c r="H330" s="11" t="n">
        <v>57624.9</v>
      </c>
      <c r="I330" s="11" t="n">
        <v>2100102</v>
      </c>
      <c r="J330" s="11" t="n">
        <v>57378</v>
      </c>
      <c r="K330" s="11" t="n">
        <v>1672</v>
      </c>
      <c r="L330" s="11" t="n">
        <v>1532389.3</v>
      </c>
    </row>
    <row r="331" customFormat="false" ht="15" hidden="false" customHeight="true" outlineLevel="0" collapsed="false">
      <c r="A331" s="11" t="n">
        <v>1710</v>
      </c>
      <c r="B331" s="11" t="s">
        <v>55</v>
      </c>
      <c r="C331" s="11" t="s">
        <v>235</v>
      </c>
      <c r="D331" s="11" t="s">
        <v>656</v>
      </c>
      <c r="E331" s="11" t="s">
        <v>657</v>
      </c>
      <c r="F331" s="11" t="s">
        <v>51</v>
      </c>
      <c r="G331" s="11" t="s">
        <v>72</v>
      </c>
      <c r="H331" s="11" t="n">
        <v>39241.71</v>
      </c>
      <c r="I331" s="11" t="n">
        <v>754480</v>
      </c>
      <c r="J331" s="11" t="n">
        <v>23039</v>
      </c>
      <c r="K331" s="11" t="n">
        <v>540</v>
      </c>
      <c r="L331" s="11" t="n">
        <v>408432.49</v>
      </c>
    </row>
    <row r="332" customFormat="false" ht="15" hidden="false" customHeight="true" outlineLevel="0" collapsed="false">
      <c r="A332" s="11" t="n">
        <v>1292</v>
      </c>
      <c r="B332" s="11" t="s">
        <v>58</v>
      </c>
      <c r="C332" s="11" t="s">
        <v>210</v>
      </c>
      <c r="D332" s="11" t="s">
        <v>444</v>
      </c>
      <c r="E332" s="11" t="s">
        <v>658</v>
      </c>
      <c r="F332" s="11" t="s">
        <v>51</v>
      </c>
      <c r="G332" s="11" t="s">
        <v>61</v>
      </c>
      <c r="H332" s="11" t="n">
        <v>75963.83</v>
      </c>
      <c r="I332" s="11" t="n">
        <v>2886035</v>
      </c>
      <c r="J332" s="11" t="n">
        <v>54973</v>
      </c>
      <c r="K332" s="11" t="n">
        <v>2302</v>
      </c>
      <c r="L332" s="11" t="n">
        <v>3090419.03</v>
      </c>
    </row>
    <row r="333" customFormat="false" ht="15" hidden="false" customHeight="true" outlineLevel="0" collapsed="false">
      <c r="A333" s="11" t="n">
        <v>1327</v>
      </c>
      <c r="B333" s="11" t="s">
        <v>52</v>
      </c>
      <c r="C333" s="11" t="s">
        <v>328</v>
      </c>
      <c r="D333" s="11" t="s">
        <v>552</v>
      </c>
      <c r="E333" s="11" t="s">
        <v>306</v>
      </c>
      <c r="F333" s="11" t="s">
        <v>65</v>
      </c>
      <c r="G333" s="11" t="s">
        <v>131</v>
      </c>
      <c r="H333" s="11" t="n">
        <v>45509.05</v>
      </c>
      <c r="I333" s="11" t="n">
        <v>1255555</v>
      </c>
      <c r="J333" s="11" t="n">
        <v>22208</v>
      </c>
      <c r="K333" s="11" t="n">
        <v>306</v>
      </c>
      <c r="L333" s="11" t="n">
        <v>272517.47</v>
      </c>
    </row>
    <row r="334" customFormat="false" ht="15" hidden="false" customHeight="true" outlineLevel="0" collapsed="false">
      <c r="A334" s="11" t="n">
        <v>1642</v>
      </c>
      <c r="B334" s="11" t="s">
        <v>58</v>
      </c>
      <c r="C334" s="11" t="s">
        <v>63</v>
      </c>
      <c r="D334" s="11" t="s">
        <v>659</v>
      </c>
      <c r="E334" s="11" t="s">
        <v>582</v>
      </c>
      <c r="F334" s="11" t="s">
        <v>56</v>
      </c>
      <c r="G334" s="11" t="s">
        <v>61</v>
      </c>
      <c r="H334" s="11" t="n">
        <v>15140.21</v>
      </c>
      <c r="I334" s="11" t="n">
        <v>319435</v>
      </c>
      <c r="J334" s="11" t="n">
        <v>8896</v>
      </c>
      <c r="K334" s="11" t="n">
        <v>386</v>
      </c>
      <c r="L334" s="11" t="n">
        <v>190101.85</v>
      </c>
    </row>
    <row r="335" customFormat="false" ht="15" hidden="false" customHeight="true" outlineLevel="0" collapsed="false">
      <c r="A335" s="11" t="n">
        <v>1613</v>
      </c>
      <c r="B335" s="11" t="s">
        <v>76</v>
      </c>
      <c r="C335" s="11" t="s">
        <v>85</v>
      </c>
      <c r="D335" s="11" t="s">
        <v>464</v>
      </c>
      <c r="E335" s="11" t="s">
        <v>424</v>
      </c>
      <c r="F335" s="11" t="s">
        <v>51</v>
      </c>
      <c r="G335" s="11" t="s">
        <v>147</v>
      </c>
      <c r="H335" s="11" t="n">
        <v>49463.86</v>
      </c>
      <c r="I335" s="11" t="n">
        <v>1556015</v>
      </c>
      <c r="J335" s="11" t="n">
        <v>49851</v>
      </c>
      <c r="K335" s="11" t="n">
        <v>1623</v>
      </c>
      <c r="L335" s="11" t="n">
        <v>814240.92</v>
      </c>
    </row>
    <row r="336" customFormat="false" ht="15" hidden="false" customHeight="true" outlineLevel="0" collapsed="false">
      <c r="A336" s="11" t="n">
        <v>1752</v>
      </c>
      <c r="B336" s="11" t="s">
        <v>78</v>
      </c>
      <c r="C336" s="11" t="s">
        <v>134</v>
      </c>
      <c r="D336" s="11" t="s">
        <v>165</v>
      </c>
      <c r="E336" s="11" t="s">
        <v>660</v>
      </c>
      <c r="F336" s="11" t="s">
        <v>69</v>
      </c>
      <c r="G336" s="11"/>
      <c r="H336" s="11" t="n">
        <v>13863.13</v>
      </c>
      <c r="I336" s="11" t="n">
        <v>438737</v>
      </c>
      <c r="J336" s="11" t="n">
        <v>9901</v>
      </c>
      <c r="K336" s="11" t="n">
        <v>105</v>
      </c>
      <c r="L336" s="11" t="n">
        <v>170788.56</v>
      </c>
    </row>
    <row r="337" customFormat="false" ht="15" hidden="false" customHeight="true" outlineLevel="0" collapsed="false">
      <c r="A337" s="11" t="n">
        <v>1495</v>
      </c>
      <c r="B337" s="11" t="s">
        <v>62</v>
      </c>
      <c r="C337" s="11" t="s">
        <v>121</v>
      </c>
      <c r="D337" s="11" t="s">
        <v>661</v>
      </c>
      <c r="E337" s="11" t="s">
        <v>561</v>
      </c>
      <c r="F337" s="11" t="s">
        <v>48</v>
      </c>
      <c r="G337" s="11" t="s">
        <v>163</v>
      </c>
      <c r="H337" s="11" t="n">
        <v>54570.5</v>
      </c>
      <c r="I337" s="11" t="n">
        <v>1643262</v>
      </c>
      <c r="J337" s="11" t="n">
        <v>16994</v>
      </c>
      <c r="K337" s="11" t="n">
        <v>800</v>
      </c>
      <c r="L337" s="11" t="n">
        <v>975549.32</v>
      </c>
    </row>
    <row r="338" customFormat="false" ht="15" hidden="false" customHeight="true" outlineLevel="0" collapsed="false">
      <c r="A338" s="11" t="n">
        <v>1075</v>
      </c>
      <c r="B338" s="11" t="s">
        <v>70</v>
      </c>
      <c r="C338" s="11" t="s">
        <v>134</v>
      </c>
      <c r="D338" s="11" t="s">
        <v>576</v>
      </c>
      <c r="E338" s="11" t="s">
        <v>515</v>
      </c>
      <c r="F338" s="11" t="s">
        <v>56</v>
      </c>
      <c r="G338" s="11" t="s">
        <v>57</v>
      </c>
      <c r="H338" s="11" t="n">
        <v>16436.86</v>
      </c>
      <c r="I338" s="11" t="n">
        <v>588170</v>
      </c>
      <c r="J338" s="11" t="n">
        <v>16546</v>
      </c>
      <c r="K338" s="11" t="n">
        <v>1102</v>
      </c>
      <c r="L338" s="11" t="n">
        <v>650215.03</v>
      </c>
    </row>
    <row r="339" customFormat="false" ht="15" hidden="false" customHeight="true" outlineLevel="0" collapsed="false">
      <c r="A339" s="11" t="n">
        <v>1346</v>
      </c>
      <c r="B339" s="11" t="s">
        <v>402</v>
      </c>
      <c r="C339" s="11" t="s">
        <v>235</v>
      </c>
      <c r="D339" s="11" t="s">
        <v>285</v>
      </c>
      <c r="E339" s="11" t="s">
        <v>662</v>
      </c>
      <c r="F339" s="11" t="s">
        <v>51</v>
      </c>
      <c r="G339" s="11" t="s">
        <v>49</v>
      </c>
      <c r="H339" s="11" t="n">
        <v>58093.26</v>
      </c>
      <c r="I339" s="11" t="n">
        <v>2092940</v>
      </c>
      <c r="J339" s="11" t="n">
        <v>24646</v>
      </c>
      <c r="K339" s="11" t="n">
        <v>949</v>
      </c>
      <c r="L339" s="11" t="n">
        <v>1687507.41</v>
      </c>
    </row>
    <row r="340" customFormat="false" ht="15" hidden="false" customHeight="true" outlineLevel="0" collapsed="false">
      <c r="A340" s="11" t="n">
        <v>1706</v>
      </c>
      <c r="B340" s="11" t="s">
        <v>79</v>
      </c>
      <c r="C340" s="11" t="s">
        <v>118</v>
      </c>
      <c r="D340" s="11" t="s">
        <v>83</v>
      </c>
      <c r="E340" s="11" t="s">
        <v>139</v>
      </c>
      <c r="F340" s="11" t="s">
        <v>69</v>
      </c>
      <c r="G340" s="11" t="s">
        <v>108</v>
      </c>
      <c r="H340" s="11" t="n">
        <v>16002.5</v>
      </c>
      <c r="I340" s="11" t="n">
        <v>243505</v>
      </c>
      <c r="J340" s="11" t="n">
        <v>7516</v>
      </c>
      <c r="K340" s="11" t="n">
        <v>102</v>
      </c>
      <c r="L340" s="11" t="n">
        <v>161799.68</v>
      </c>
    </row>
    <row r="341" customFormat="false" ht="15" hidden="false" customHeight="true" outlineLevel="0" collapsed="false">
      <c r="A341" s="11" t="n">
        <v>1452</v>
      </c>
      <c r="B341" s="11" t="s">
        <v>349</v>
      </c>
      <c r="C341" s="11" t="s">
        <v>47</v>
      </c>
      <c r="D341" s="11" t="s">
        <v>663</v>
      </c>
      <c r="E341" s="11" t="s">
        <v>332</v>
      </c>
      <c r="F341" s="11" t="s">
        <v>69</v>
      </c>
      <c r="G341" s="11" t="s">
        <v>91</v>
      </c>
      <c r="H341" s="11" t="n">
        <v>6542.51</v>
      </c>
      <c r="I341" s="11" t="n">
        <v>159582</v>
      </c>
      <c r="J341" s="11" t="n">
        <v>3287</v>
      </c>
      <c r="K341" s="11" t="n">
        <v>254</v>
      </c>
      <c r="L341" s="11" t="n">
        <v>186807.32</v>
      </c>
    </row>
    <row r="342" customFormat="false" ht="15" hidden="false" customHeight="true" outlineLevel="0" collapsed="false">
      <c r="A342" s="11" t="n">
        <v>1444</v>
      </c>
      <c r="B342" s="11" t="s">
        <v>55</v>
      </c>
      <c r="C342" s="11" t="s">
        <v>121</v>
      </c>
      <c r="D342" s="11" t="s">
        <v>664</v>
      </c>
      <c r="E342" s="11" t="s">
        <v>665</v>
      </c>
      <c r="F342" s="11" t="s">
        <v>65</v>
      </c>
      <c r="G342" s="11" t="s">
        <v>137</v>
      </c>
      <c r="H342" s="11" t="n">
        <v>31310.1</v>
      </c>
      <c r="I342" s="11" t="n">
        <v>967171</v>
      </c>
      <c r="J342" s="11" t="n">
        <v>12723</v>
      </c>
      <c r="K342" s="11" t="n">
        <v>823</v>
      </c>
      <c r="L342" s="11" t="n">
        <v>383537.06</v>
      </c>
    </row>
    <row r="343" customFormat="false" ht="15" hidden="false" customHeight="true" outlineLevel="0" collapsed="false">
      <c r="A343" s="11" t="n">
        <v>1308</v>
      </c>
      <c r="B343" s="11" t="s">
        <v>352</v>
      </c>
      <c r="C343" s="11" t="s">
        <v>59</v>
      </c>
      <c r="D343" s="11" t="s">
        <v>666</v>
      </c>
      <c r="E343" s="11" t="s">
        <v>357</v>
      </c>
      <c r="F343" s="11" t="s">
        <v>56</v>
      </c>
      <c r="G343" s="11" t="s">
        <v>147</v>
      </c>
      <c r="H343" s="11" t="n">
        <v>34000.18</v>
      </c>
      <c r="I343" s="11" t="n">
        <v>906917</v>
      </c>
      <c r="J343" s="11" t="n">
        <v>30005</v>
      </c>
      <c r="K343" s="11" t="n">
        <v>1641</v>
      </c>
      <c r="L343" s="11" t="n">
        <v>2769857.55</v>
      </c>
    </row>
    <row r="344" customFormat="false" ht="15" hidden="false" customHeight="true" outlineLevel="0" collapsed="false">
      <c r="A344" s="11" t="n">
        <v>1310</v>
      </c>
      <c r="B344" s="11" t="s">
        <v>80</v>
      </c>
      <c r="C344" s="11" t="s">
        <v>105</v>
      </c>
      <c r="D344" s="11" t="s">
        <v>593</v>
      </c>
      <c r="E344" s="11" t="s">
        <v>667</v>
      </c>
      <c r="F344" s="11" t="s">
        <v>53</v>
      </c>
      <c r="G344" s="11"/>
      <c r="H344" s="11" t="n">
        <v>40198.44</v>
      </c>
      <c r="I344" s="11" t="n">
        <v>621834</v>
      </c>
      <c r="J344" s="11" t="n">
        <v>12393</v>
      </c>
      <c r="K344" s="11" t="n">
        <v>690</v>
      </c>
      <c r="L344" s="11"/>
    </row>
    <row r="345" customFormat="false" ht="15" hidden="false" customHeight="true" outlineLevel="0" collapsed="false">
      <c r="A345" s="11" t="n">
        <v>1329</v>
      </c>
      <c r="B345" s="11" t="s">
        <v>80</v>
      </c>
      <c r="C345" s="11" t="s">
        <v>105</v>
      </c>
      <c r="D345" s="11" t="s">
        <v>341</v>
      </c>
      <c r="E345" s="11" t="s">
        <v>668</v>
      </c>
      <c r="F345" s="11" t="s">
        <v>60</v>
      </c>
      <c r="G345" s="11" t="s">
        <v>147</v>
      </c>
      <c r="H345" s="11" t="n">
        <v>6945.22</v>
      </c>
      <c r="I345" s="11" t="n">
        <v>137004</v>
      </c>
      <c r="J345" s="11" t="n">
        <v>775</v>
      </c>
      <c r="K345" s="11" t="n">
        <v>51</v>
      </c>
      <c r="L345" s="11" t="n">
        <v>79594.37</v>
      </c>
    </row>
    <row r="346" customFormat="false" ht="15" hidden="false" customHeight="true" outlineLevel="0" collapsed="false">
      <c r="A346" s="11" t="n">
        <v>1028</v>
      </c>
      <c r="B346" s="11" t="s">
        <v>180</v>
      </c>
      <c r="C346" s="11" t="s">
        <v>210</v>
      </c>
      <c r="D346" s="11" t="s">
        <v>669</v>
      </c>
      <c r="E346" s="11" t="s">
        <v>670</v>
      </c>
      <c r="F346" s="11" t="s">
        <v>65</v>
      </c>
      <c r="G346" s="11" t="s">
        <v>84</v>
      </c>
      <c r="H346" s="11" t="n">
        <v>47687.7</v>
      </c>
      <c r="I346" s="11" t="n">
        <v>749918</v>
      </c>
      <c r="J346" s="11" t="n">
        <v>11311</v>
      </c>
      <c r="K346" s="11" t="n">
        <v>650</v>
      </c>
      <c r="L346" s="11" t="n">
        <v>608568.46</v>
      </c>
    </row>
    <row r="347" customFormat="false" ht="15" hidden="false" customHeight="true" outlineLevel="0" collapsed="false">
      <c r="A347" s="11" t="n">
        <v>1515</v>
      </c>
      <c r="B347" s="11" t="s">
        <v>76</v>
      </c>
      <c r="C347" s="11" t="s">
        <v>141</v>
      </c>
      <c r="D347" s="11" t="s">
        <v>221</v>
      </c>
      <c r="E347" s="11" t="s">
        <v>648</v>
      </c>
      <c r="F347" s="11" t="s">
        <v>69</v>
      </c>
      <c r="G347" s="11" t="s">
        <v>108</v>
      </c>
      <c r="H347" s="11" t="n">
        <v>4145.3</v>
      </c>
      <c r="I347" s="11" t="n">
        <v>162646</v>
      </c>
      <c r="J347" s="11" t="n">
        <v>1288</v>
      </c>
      <c r="K347" s="11" t="n">
        <v>32</v>
      </c>
      <c r="L347" s="11" t="n">
        <v>56627.08</v>
      </c>
    </row>
    <row r="348" customFormat="false" ht="15" hidden="false" customHeight="true" outlineLevel="0" collapsed="false">
      <c r="A348" s="11" t="n">
        <v>1337</v>
      </c>
      <c r="B348" s="11" t="s">
        <v>180</v>
      </c>
      <c r="C348" s="11" t="s">
        <v>115</v>
      </c>
      <c r="D348" s="11" t="s">
        <v>491</v>
      </c>
      <c r="E348" s="11" t="s">
        <v>343</v>
      </c>
      <c r="F348" s="11" t="s">
        <v>51</v>
      </c>
      <c r="G348" s="11" t="s">
        <v>112</v>
      </c>
      <c r="H348" s="11" t="n">
        <v>20781.68</v>
      </c>
      <c r="I348" s="11" t="n">
        <v>467675</v>
      </c>
      <c r="J348" s="11" t="n">
        <v>11325</v>
      </c>
      <c r="K348" s="11" t="n">
        <v>617</v>
      </c>
      <c r="L348" s="11" t="n">
        <v>327044.89</v>
      </c>
    </row>
    <row r="349" customFormat="false" ht="15" hidden="false" customHeight="true" outlineLevel="0" collapsed="false">
      <c r="A349" s="11" t="n">
        <v>1694</v>
      </c>
      <c r="B349" s="11" t="s">
        <v>79</v>
      </c>
      <c r="C349" s="11" t="s">
        <v>149</v>
      </c>
      <c r="D349" s="11" t="s">
        <v>671</v>
      </c>
      <c r="E349" s="11" t="s">
        <v>329</v>
      </c>
      <c r="F349" s="11" t="s">
        <v>53</v>
      </c>
      <c r="G349" s="11" t="s">
        <v>172</v>
      </c>
      <c r="H349" s="11" t="n">
        <v>35022.14</v>
      </c>
      <c r="I349" s="11" t="n">
        <v>1326678</v>
      </c>
      <c r="J349" s="11" t="n">
        <v>19797</v>
      </c>
      <c r="K349" s="11" t="n">
        <v>443</v>
      </c>
      <c r="L349" s="11" t="n">
        <v>405512.4</v>
      </c>
    </row>
    <row r="350" customFormat="false" ht="15" hidden="false" customHeight="true" outlineLevel="0" collapsed="false">
      <c r="A350" s="11" t="n">
        <v>1376</v>
      </c>
      <c r="B350" s="11" t="s">
        <v>184</v>
      </c>
      <c r="C350" s="11" t="s">
        <v>63</v>
      </c>
      <c r="D350" s="11" t="s">
        <v>179</v>
      </c>
      <c r="E350" s="11" t="s">
        <v>672</v>
      </c>
      <c r="F350" s="11" t="s">
        <v>53</v>
      </c>
      <c r="G350" s="11" t="s">
        <v>72</v>
      </c>
      <c r="H350" s="11" t="n">
        <v>27543.41</v>
      </c>
      <c r="I350" s="11" t="n">
        <v>1022833</v>
      </c>
      <c r="J350" s="11" t="n">
        <v>19733</v>
      </c>
      <c r="K350" s="11" t="n">
        <v>975</v>
      </c>
      <c r="L350" s="11" t="n">
        <v>939366.03</v>
      </c>
    </row>
    <row r="351" customFormat="false" ht="15" hidden="false" customHeight="true" outlineLevel="0" collapsed="false">
      <c r="A351" s="11" t="n">
        <v>1353</v>
      </c>
      <c r="B351" s="11" t="s">
        <v>479</v>
      </c>
      <c r="C351" s="11" t="s">
        <v>185</v>
      </c>
      <c r="D351" s="11" t="s">
        <v>556</v>
      </c>
      <c r="E351" s="11" t="s">
        <v>673</v>
      </c>
      <c r="F351" s="11" t="s">
        <v>60</v>
      </c>
      <c r="G351" s="11" t="s">
        <v>72</v>
      </c>
      <c r="H351" s="11" t="n">
        <v>21864.18</v>
      </c>
      <c r="I351" s="11" t="n">
        <v>708376</v>
      </c>
      <c r="J351" s="11" t="n">
        <v>16037</v>
      </c>
      <c r="K351" s="11" t="n">
        <v>1266</v>
      </c>
      <c r="L351" s="11" t="n">
        <v>1136512.9</v>
      </c>
    </row>
    <row r="352" customFormat="false" ht="15" hidden="false" customHeight="true" outlineLevel="0" collapsed="false">
      <c r="A352" s="11" t="n">
        <v>1216</v>
      </c>
      <c r="B352" s="11" t="s">
        <v>66</v>
      </c>
      <c r="C352" s="11" t="s">
        <v>85</v>
      </c>
      <c r="D352" s="11" t="s">
        <v>671</v>
      </c>
      <c r="E352" s="11" t="s">
        <v>642</v>
      </c>
      <c r="F352" s="11" t="s">
        <v>53</v>
      </c>
      <c r="G352" s="11" t="s">
        <v>91</v>
      </c>
      <c r="H352" s="11" t="n">
        <v>27548.13</v>
      </c>
      <c r="I352" s="11" t="n">
        <v>549184</v>
      </c>
      <c r="J352" s="11" t="n">
        <v>12311</v>
      </c>
      <c r="K352" s="11" t="n">
        <v>943</v>
      </c>
      <c r="L352" s="11" t="n">
        <v>818383.14</v>
      </c>
    </row>
    <row r="353" customFormat="false" ht="15" hidden="false" customHeight="true" outlineLevel="0" collapsed="false">
      <c r="A353" s="11" t="n">
        <v>1636</v>
      </c>
      <c r="B353" s="11" t="s">
        <v>164</v>
      </c>
      <c r="C353" s="11" t="s">
        <v>47</v>
      </c>
      <c r="D353" s="11" t="s">
        <v>674</v>
      </c>
      <c r="E353" s="11" t="s">
        <v>603</v>
      </c>
      <c r="F353" s="11" t="s">
        <v>48</v>
      </c>
      <c r="G353" s="11" t="s">
        <v>57</v>
      </c>
      <c r="H353" s="11" t="n">
        <v>1993.65</v>
      </c>
      <c r="I353" s="11" t="n">
        <v>42019</v>
      </c>
      <c r="J353" s="11" t="n">
        <v>818</v>
      </c>
      <c r="K353" s="11" t="n">
        <v>23</v>
      </c>
      <c r="L353" s="11" t="n">
        <v>19056.36</v>
      </c>
    </row>
    <row r="354" customFormat="false" ht="15" hidden="false" customHeight="true" outlineLevel="0" collapsed="false">
      <c r="A354" s="11" t="n">
        <v>1320</v>
      </c>
      <c r="B354" s="11" t="s">
        <v>62</v>
      </c>
      <c r="C354" s="11" t="s">
        <v>192</v>
      </c>
      <c r="D354" s="11" t="s">
        <v>89</v>
      </c>
      <c r="E354" s="11" t="s">
        <v>170</v>
      </c>
      <c r="F354" s="11" t="s">
        <v>51</v>
      </c>
      <c r="G354" s="11" t="s">
        <v>54</v>
      </c>
      <c r="H354" s="11" t="n">
        <v>46429.97</v>
      </c>
      <c r="I354" s="11" t="n">
        <v>1563629</v>
      </c>
      <c r="J354" s="11" t="n">
        <v>49959</v>
      </c>
      <c r="K354" s="11" t="n">
        <v>1304</v>
      </c>
      <c r="L354" s="11" t="n">
        <v>664639.23</v>
      </c>
    </row>
    <row r="355" customFormat="false" ht="15" hidden="false" customHeight="true" outlineLevel="0" collapsed="false">
      <c r="A355" s="11" t="n">
        <v>1367</v>
      </c>
      <c r="B355" s="11" t="s">
        <v>64</v>
      </c>
      <c r="C355" s="11" t="s">
        <v>134</v>
      </c>
      <c r="D355" s="11" t="s">
        <v>675</v>
      </c>
      <c r="E355" s="11" t="s">
        <v>544</v>
      </c>
      <c r="F355" s="11" t="s">
        <v>65</v>
      </c>
      <c r="G355" s="11" t="s">
        <v>49</v>
      </c>
      <c r="H355" s="11" t="n">
        <v>22974.02</v>
      </c>
      <c r="I355" s="11" t="n">
        <v>628436</v>
      </c>
      <c r="J355" s="11" t="n">
        <v>5596</v>
      </c>
      <c r="K355" s="11" t="n">
        <v>391</v>
      </c>
      <c r="L355" s="11" t="n">
        <v>477066.94</v>
      </c>
    </row>
    <row r="356" customFormat="false" ht="15" hidden="false" customHeight="true" outlineLevel="0" collapsed="false">
      <c r="A356" s="11" t="n">
        <v>1307</v>
      </c>
      <c r="B356" s="11" t="s">
        <v>676</v>
      </c>
      <c r="C356" s="11" t="s">
        <v>138</v>
      </c>
      <c r="D356" s="11" t="s">
        <v>369</v>
      </c>
      <c r="E356" s="11" t="s">
        <v>396</v>
      </c>
      <c r="F356" s="11" t="s">
        <v>53</v>
      </c>
      <c r="G356" s="11" t="s">
        <v>54</v>
      </c>
      <c r="H356" s="11" t="n">
        <v>37911.03</v>
      </c>
      <c r="I356" s="11" t="n">
        <v>807406</v>
      </c>
      <c r="J356" s="11" t="n">
        <v>4861</v>
      </c>
      <c r="K356" s="11" t="n">
        <v>259</v>
      </c>
      <c r="L356" s="11" t="n">
        <v>112012</v>
      </c>
    </row>
    <row r="357" customFormat="false" ht="15" hidden="false" customHeight="true" outlineLevel="0" collapsed="false">
      <c r="A357" s="11" t="n">
        <v>1207</v>
      </c>
      <c r="B357" s="11" t="s">
        <v>79</v>
      </c>
      <c r="C357" s="11" t="s">
        <v>185</v>
      </c>
      <c r="D357" s="11" t="s">
        <v>268</v>
      </c>
      <c r="E357" s="11" t="s">
        <v>677</v>
      </c>
      <c r="F357" s="11" t="s">
        <v>48</v>
      </c>
      <c r="G357" s="11" t="s">
        <v>95</v>
      </c>
      <c r="H357" s="11" t="n">
        <v>39376.12</v>
      </c>
      <c r="I357" s="11" t="n">
        <v>1354682</v>
      </c>
      <c r="J357" s="11" t="n">
        <v>45962</v>
      </c>
      <c r="K357" s="11" t="n">
        <v>1406</v>
      </c>
      <c r="L357" s="11" t="n">
        <v>853818.18</v>
      </c>
    </row>
    <row r="358" customFormat="false" ht="15" hidden="false" customHeight="true" outlineLevel="0" collapsed="false">
      <c r="A358" s="11" t="n">
        <v>1812</v>
      </c>
      <c r="B358" s="11" t="s">
        <v>342</v>
      </c>
      <c r="C358" s="11" t="s">
        <v>59</v>
      </c>
      <c r="D358" s="11" t="s">
        <v>467</v>
      </c>
      <c r="E358" s="11" t="s">
        <v>472</v>
      </c>
      <c r="F358" s="11" t="s">
        <v>69</v>
      </c>
      <c r="G358" s="11" t="s">
        <v>137</v>
      </c>
      <c r="H358" s="11" t="n">
        <v>55123.55</v>
      </c>
      <c r="I358" s="11" t="n">
        <v>1844730</v>
      </c>
      <c r="J358" s="11" t="n">
        <v>14902</v>
      </c>
      <c r="K358" s="11" t="n">
        <v>1181</v>
      </c>
      <c r="L358" s="11" t="n">
        <v>1352745.37</v>
      </c>
    </row>
    <row r="359" customFormat="false" ht="15" hidden="false" customHeight="true" outlineLevel="0" collapsed="false">
      <c r="A359" s="11" t="n">
        <v>1611</v>
      </c>
      <c r="B359" s="11" t="s">
        <v>62</v>
      </c>
      <c r="C359" s="11" t="s">
        <v>96</v>
      </c>
      <c r="D359" s="11" t="s">
        <v>678</v>
      </c>
      <c r="E359" s="11" t="s">
        <v>510</v>
      </c>
      <c r="F359" s="11" t="s">
        <v>67</v>
      </c>
      <c r="G359" s="11" t="s">
        <v>95</v>
      </c>
      <c r="H359" s="11" t="n">
        <v>2815.48</v>
      </c>
      <c r="I359" s="11" t="n">
        <v>73174</v>
      </c>
      <c r="J359" s="11" t="n">
        <v>568</v>
      </c>
      <c r="K359" s="11" t="n">
        <v>19</v>
      </c>
      <c r="L359" s="11" t="n">
        <v>16667.54</v>
      </c>
    </row>
    <row r="360" customFormat="false" ht="15" hidden="false" customHeight="true" outlineLevel="0" collapsed="false">
      <c r="A360" s="11" t="n">
        <v>1435</v>
      </c>
      <c r="B360" s="11" t="s">
        <v>349</v>
      </c>
      <c r="C360" s="11" t="s">
        <v>149</v>
      </c>
      <c r="D360" s="11" t="s">
        <v>271</v>
      </c>
      <c r="E360" s="11" t="s">
        <v>659</v>
      </c>
      <c r="F360" s="11" t="s">
        <v>51</v>
      </c>
      <c r="G360" s="11" t="s">
        <v>238</v>
      </c>
      <c r="H360" s="11" t="n">
        <v>9632.14</v>
      </c>
      <c r="I360" s="11" t="n">
        <v>302695</v>
      </c>
      <c r="J360" s="11" t="n">
        <v>7993</v>
      </c>
      <c r="K360" s="11" t="n">
        <v>324</v>
      </c>
      <c r="L360" s="11" t="n">
        <v>334576.08</v>
      </c>
    </row>
    <row r="361" customFormat="false" ht="15" hidden="false" customHeight="true" outlineLevel="0" collapsed="false">
      <c r="A361" s="11" t="n">
        <v>1564</v>
      </c>
      <c r="B361" s="11" t="s">
        <v>58</v>
      </c>
      <c r="C361" s="11" t="s">
        <v>105</v>
      </c>
      <c r="D361" s="11" t="s">
        <v>679</v>
      </c>
      <c r="E361" s="11" t="s">
        <v>283</v>
      </c>
      <c r="F361" s="11" t="s">
        <v>60</v>
      </c>
      <c r="G361" s="11" t="s">
        <v>91</v>
      </c>
      <c r="H361" s="11" t="n">
        <v>24907.62</v>
      </c>
      <c r="I361" s="11" t="n">
        <v>639399</v>
      </c>
      <c r="J361" s="11" t="n">
        <v>5839</v>
      </c>
      <c r="K361" s="11" t="n">
        <v>237</v>
      </c>
      <c r="L361" s="11" t="n">
        <v>391254.47</v>
      </c>
    </row>
    <row r="362" customFormat="false" ht="15" hidden="false" customHeight="true" outlineLevel="0" collapsed="false">
      <c r="A362" s="11" t="n">
        <v>1563</v>
      </c>
      <c r="B362" s="11" t="s">
        <v>316</v>
      </c>
      <c r="C362" s="11" t="s">
        <v>100</v>
      </c>
      <c r="D362" s="11" t="s">
        <v>680</v>
      </c>
      <c r="E362" s="11" t="s">
        <v>681</v>
      </c>
      <c r="F362" s="11" t="s">
        <v>53</v>
      </c>
      <c r="G362" s="11" t="s">
        <v>238</v>
      </c>
      <c r="H362" s="11" t="n">
        <v>31893.38</v>
      </c>
      <c r="I362" s="11" t="n">
        <v>757673</v>
      </c>
      <c r="J362" s="11" t="n">
        <v>14644</v>
      </c>
      <c r="K362" s="11" t="n">
        <v>947</v>
      </c>
      <c r="L362" s="11" t="n">
        <v>1534947.04</v>
      </c>
    </row>
    <row r="363" customFormat="false" ht="15" hidden="false" customHeight="true" outlineLevel="0" collapsed="false">
      <c r="A363" s="11" t="n">
        <v>1427</v>
      </c>
      <c r="B363" s="11" t="s">
        <v>144</v>
      </c>
      <c r="C363" s="11" t="s">
        <v>192</v>
      </c>
      <c r="D363" s="11" t="s">
        <v>682</v>
      </c>
      <c r="E363" s="11" t="s">
        <v>683</v>
      </c>
      <c r="F363" s="11" t="s">
        <v>51</v>
      </c>
      <c r="G363" s="11" t="s">
        <v>103</v>
      </c>
      <c r="H363" s="11" t="n">
        <v>38480.61</v>
      </c>
      <c r="I363" s="11" t="n">
        <v>757920</v>
      </c>
      <c r="J363" s="11" t="n">
        <v>21300</v>
      </c>
      <c r="K363" s="11" t="n">
        <v>1253</v>
      </c>
      <c r="L363" s="11" t="n">
        <v>819334.06</v>
      </c>
    </row>
    <row r="364" customFormat="false" ht="15" hidden="false" customHeight="true" outlineLevel="0" collapsed="false">
      <c r="A364" s="11" t="n">
        <v>1530</v>
      </c>
      <c r="B364" s="11" t="s">
        <v>460</v>
      </c>
      <c r="C364" s="11" t="s">
        <v>105</v>
      </c>
      <c r="D364" s="11" t="s">
        <v>631</v>
      </c>
      <c r="E364" s="11" t="s">
        <v>603</v>
      </c>
      <c r="F364" s="11" t="s">
        <v>60</v>
      </c>
      <c r="G364" s="11" t="s">
        <v>57</v>
      </c>
      <c r="H364" s="11" t="n">
        <v>14718.62</v>
      </c>
      <c r="I364" s="11" t="n">
        <v>239052</v>
      </c>
      <c r="J364" s="11" t="n">
        <v>4737</v>
      </c>
      <c r="K364" s="11" t="n">
        <v>62</v>
      </c>
      <c r="L364" s="11" t="n">
        <v>46369.95</v>
      </c>
    </row>
    <row r="365" customFormat="false" ht="15" hidden="false" customHeight="true" outlineLevel="0" collapsed="false">
      <c r="A365" s="11" t="n">
        <v>1147</v>
      </c>
      <c r="B365" s="11" t="s">
        <v>144</v>
      </c>
      <c r="C365" s="11" t="s">
        <v>210</v>
      </c>
      <c r="D365" s="11" t="s">
        <v>684</v>
      </c>
      <c r="E365" s="11" t="s">
        <v>338</v>
      </c>
      <c r="F365" s="11" t="s">
        <v>60</v>
      </c>
      <c r="G365" s="11" t="s">
        <v>61</v>
      </c>
      <c r="H365" s="11" t="n">
        <v>74330.75</v>
      </c>
      <c r="I365" s="11" t="n">
        <v>1575414</v>
      </c>
      <c r="J365" s="11" t="n">
        <v>38343</v>
      </c>
      <c r="K365" s="11" t="n">
        <v>1049</v>
      </c>
      <c r="L365" s="11" t="n">
        <v>1281299.62</v>
      </c>
    </row>
    <row r="366" customFormat="false" ht="15" hidden="false" customHeight="true" outlineLevel="0" collapsed="false">
      <c r="A366" s="11" t="n">
        <v>1411</v>
      </c>
      <c r="B366" s="11" t="s">
        <v>184</v>
      </c>
      <c r="C366" s="11" t="s">
        <v>100</v>
      </c>
      <c r="D366" s="11" t="s">
        <v>319</v>
      </c>
      <c r="E366" s="11" t="s">
        <v>573</v>
      </c>
      <c r="F366" s="11" t="s">
        <v>69</v>
      </c>
      <c r="G366" s="11" t="s">
        <v>172</v>
      </c>
      <c r="H366" s="11" t="n">
        <v>35552.67</v>
      </c>
      <c r="I366" s="11" t="n">
        <v>1137839</v>
      </c>
      <c r="J366" s="11" t="n">
        <v>21616</v>
      </c>
      <c r="K366" s="11" t="n">
        <v>763</v>
      </c>
      <c r="L366" s="11" t="n">
        <v>1106793.67</v>
      </c>
    </row>
    <row r="367" customFormat="false" ht="15" hidden="false" customHeight="true" outlineLevel="0" collapsed="false">
      <c r="A367" s="11" t="n">
        <v>1034</v>
      </c>
      <c r="B367" s="11" t="s">
        <v>78</v>
      </c>
      <c r="C367" s="11" t="s">
        <v>96</v>
      </c>
      <c r="D367" s="11" t="s">
        <v>685</v>
      </c>
      <c r="E367" s="11" t="s">
        <v>686</v>
      </c>
      <c r="F367" s="11" t="s">
        <v>67</v>
      </c>
      <c r="G367" s="11" t="s">
        <v>95</v>
      </c>
      <c r="H367" s="11" t="n">
        <v>5908.29</v>
      </c>
      <c r="I367" s="11" t="n">
        <v>129431</v>
      </c>
      <c r="J367" s="11" t="n">
        <v>686</v>
      </c>
      <c r="K367" s="11" t="n">
        <v>52</v>
      </c>
      <c r="L367" s="11" t="n">
        <v>24655.22</v>
      </c>
    </row>
    <row r="368" customFormat="false" ht="15" hidden="false" customHeight="true" outlineLevel="0" collapsed="false">
      <c r="A368" s="11" t="n">
        <v>1363</v>
      </c>
      <c r="B368" s="11" t="s">
        <v>46</v>
      </c>
      <c r="C368" s="11" t="s">
        <v>149</v>
      </c>
      <c r="D368" s="11" t="s">
        <v>215</v>
      </c>
      <c r="E368" s="11" t="s">
        <v>196</v>
      </c>
      <c r="F368" s="11" t="s">
        <v>53</v>
      </c>
      <c r="G368" s="11" t="s">
        <v>49</v>
      </c>
      <c r="H368" s="11" t="n">
        <v>24170.3</v>
      </c>
      <c r="I368" s="11" t="n">
        <v>870833</v>
      </c>
      <c r="J368" s="11" t="n">
        <v>23095</v>
      </c>
      <c r="K368" s="11" t="n">
        <v>1648</v>
      </c>
      <c r="L368" s="11" t="n">
        <v>2536848.64</v>
      </c>
    </row>
    <row r="369" customFormat="false" ht="15" hidden="false" customHeight="true" outlineLevel="0" collapsed="false">
      <c r="A369" s="11" t="n">
        <v>1683</v>
      </c>
      <c r="B369" s="11" t="s">
        <v>76</v>
      </c>
      <c r="C369" s="11" t="s">
        <v>59</v>
      </c>
      <c r="D369" s="11" t="s">
        <v>687</v>
      </c>
      <c r="E369" s="11" t="s">
        <v>181</v>
      </c>
      <c r="F369" s="11" t="s">
        <v>56</v>
      </c>
      <c r="G369" s="11" t="s">
        <v>49</v>
      </c>
      <c r="H369" s="11" t="n">
        <v>56924.7</v>
      </c>
      <c r="I369" s="11" t="n">
        <v>935764</v>
      </c>
      <c r="J369" s="11" t="n">
        <v>14437</v>
      </c>
      <c r="K369" s="11" t="n">
        <v>1021</v>
      </c>
      <c r="L369" s="11" t="n">
        <v>576279.13</v>
      </c>
    </row>
    <row r="370" customFormat="false" ht="15" hidden="false" customHeight="true" outlineLevel="0" collapsed="false">
      <c r="A370" s="11" t="n">
        <v>1290</v>
      </c>
      <c r="B370" s="11" t="s">
        <v>46</v>
      </c>
      <c r="C370" s="11" t="s">
        <v>155</v>
      </c>
      <c r="D370" s="11" t="s">
        <v>688</v>
      </c>
      <c r="E370" s="11" t="s">
        <v>683</v>
      </c>
      <c r="F370" s="11" t="s">
        <v>48</v>
      </c>
      <c r="G370" s="11" t="s">
        <v>238</v>
      </c>
      <c r="H370" s="11" t="n">
        <v>35449.07</v>
      </c>
      <c r="I370" s="11" t="n">
        <v>671313</v>
      </c>
      <c r="J370" s="11" t="n">
        <v>5661</v>
      </c>
      <c r="K370" s="11" t="n">
        <v>436</v>
      </c>
      <c r="L370" s="11" t="n">
        <v>506395.41</v>
      </c>
    </row>
    <row r="371" customFormat="false" ht="15" hidden="false" customHeight="true" outlineLevel="0" collapsed="false">
      <c r="A371" s="11" t="n">
        <v>1189</v>
      </c>
      <c r="B371" s="11" t="s">
        <v>79</v>
      </c>
      <c r="C371" s="11" t="s">
        <v>124</v>
      </c>
      <c r="D371" s="11" t="s">
        <v>689</v>
      </c>
      <c r="E371" s="11" t="s">
        <v>690</v>
      </c>
      <c r="F371" s="11" t="s">
        <v>67</v>
      </c>
      <c r="G371" s="11" t="s">
        <v>61</v>
      </c>
      <c r="H371" s="11" t="n">
        <v>23506.52</v>
      </c>
      <c r="I371" s="11" t="n">
        <v>523506</v>
      </c>
      <c r="J371" s="11" t="n">
        <v>14048</v>
      </c>
      <c r="K371" s="11" t="n">
        <v>726</v>
      </c>
      <c r="L371" s="11" t="n">
        <v>609739.06</v>
      </c>
    </row>
    <row r="372" customFormat="false" ht="15" hidden="false" customHeight="true" outlineLevel="0" collapsed="false">
      <c r="A372" s="11" t="n">
        <v>1260</v>
      </c>
      <c r="B372" s="11" t="s">
        <v>58</v>
      </c>
      <c r="C372" s="11" t="s">
        <v>96</v>
      </c>
      <c r="D372" s="11" t="s">
        <v>239</v>
      </c>
      <c r="E372" s="11" t="s">
        <v>159</v>
      </c>
      <c r="F372" s="11" t="s">
        <v>67</v>
      </c>
      <c r="G372" s="11" t="s">
        <v>131</v>
      </c>
      <c r="H372" s="11" t="n">
        <v>7718.77</v>
      </c>
      <c r="I372" s="11" t="n">
        <v>115819</v>
      </c>
      <c r="J372" s="11" t="n">
        <v>-699</v>
      </c>
      <c r="K372" s="11" t="n">
        <v>20</v>
      </c>
      <c r="L372" s="11" t="n">
        <v>7472.77</v>
      </c>
    </row>
    <row r="373" customFormat="false" ht="15" hidden="false" customHeight="true" outlineLevel="0" collapsed="false">
      <c r="A373" s="11" t="n">
        <v>1025</v>
      </c>
      <c r="B373" s="11" t="s">
        <v>460</v>
      </c>
      <c r="C373" s="11" t="s">
        <v>92</v>
      </c>
      <c r="D373" s="11" t="s">
        <v>484</v>
      </c>
      <c r="E373" s="11" t="s">
        <v>691</v>
      </c>
      <c r="F373" s="11" t="s">
        <v>51</v>
      </c>
      <c r="G373" s="11" t="s">
        <v>172</v>
      </c>
      <c r="H373" s="11" t="n">
        <v>7422.29</v>
      </c>
      <c r="I373" s="11" t="n">
        <v>133853</v>
      </c>
      <c r="J373" s="11" t="n">
        <v>1204</v>
      </c>
      <c r="K373" s="11" t="n">
        <v>51</v>
      </c>
      <c r="L373" s="11" t="n">
        <v>57127.2</v>
      </c>
    </row>
    <row r="374" customFormat="false" ht="15" hidden="false" customHeight="true" outlineLevel="0" collapsed="false">
      <c r="A374" s="11" t="n">
        <v>1311</v>
      </c>
      <c r="B374" s="11" t="s">
        <v>188</v>
      </c>
      <c r="C374" s="11" t="s">
        <v>118</v>
      </c>
      <c r="D374" s="11" t="s">
        <v>692</v>
      </c>
      <c r="E374" s="11" t="s">
        <v>693</v>
      </c>
      <c r="F374" s="11" t="s">
        <v>53</v>
      </c>
      <c r="G374" s="11" t="s">
        <v>84</v>
      </c>
      <c r="H374" s="11" t="n">
        <v>36909.67</v>
      </c>
      <c r="I374" s="11" t="n">
        <v>1189655</v>
      </c>
      <c r="J374" s="11" t="n">
        <v>33780</v>
      </c>
      <c r="K374" s="11" t="n">
        <v>624</v>
      </c>
      <c r="L374" s="11" t="n">
        <v>702743.13</v>
      </c>
    </row>
    <row r="375" customFormat="false" ht="15" hidden="false" customHeight="true" outlineLevel="0" collapsed="false">
      <c r="A375" s="11" t="n">
        <v>1465</v>
      </c>
      <c r="B375" s="11" t="s">
        <v>78</v>
      </c>
      <c r="C375" s="11" t="s">
        <v>192</v>
      </c>
      <c r="D375" s="11" t="s">
        <v>89</v>
      </c>
      <c r="E375" s="11" t="s">
        <v>228</v>
      </c>
      <c r="F375" s="11" t="s">
        <v>53</v>
      </c>
      <c r="G375" s="11" t="s">
        <v>108</v>
      </c>
      <c r="H375" s="11" t="n">
        <v>51314.36</v>
      </c>
      <c r="I375" s="11" t="n">
        <v>1596642</v>
      </c>
      <c r="J375" s="11" t="n">
        <v>28755</v>
      </c>
      <c r="K375" s="11" t="n">
        <v>1437</v>
      </c>
      <c r="L375" s="11" t="n">
        <v>710150.77</v>
      </c>
    </row>
    <row r="376" customFormat="false" ht="15" hidden="false" customHeight="true" outlineLevel="0" collapsed="false">
      <c r="A376" s="11" t="n">
        <v>1567</v>
      </c>
      <c r="B376" s="11" t="s">
        <v>73</v>
      </c>
      <c r="C376" s="11" t="s">
        <v>105</v>
      </c>
      <c r="D376" s="11" t="s">
        <v>694</v>
      </c>
      <c r="E376" s="11" t="s">
        <v>695</v>
      </c>
      <c r="F376" s="11" t="s">
        <v>60</v>
      </c>
      <c r="G376" s="11" t="s">
        <v>57</v>
      </c>
      <c r="H376" s="11" t="n">
        <v>9451.63</v>
      </c>
      <c r="I376" s="11" t="n">
        <v>357283</v>
      </c>
      <c r="J376" s="11" t="n">
        <v>10805</v>
      </c>
      <c r="K376" s="11" t="n">
        <v>502</v>
      </c>
      <c r="L376" s="11" t="n">
        <v>397665.24</v>
      </c>
    </row>
    <row r="377" customFormat="false" ht="15" hidden="false" customHeight="true" outlineLevel="0" collapsed="false">
      <c r="A377" s="11" t="n">
        <v>1770</v>
      </c>
      <c r="B377" s="11" t="s">
        <v>62</v>
      </c>
      <c r="C377" s="11" t="s">
        <v>121</v>
      </c>
      <c r="D377" s="11" t="s">
        <v>406</v>
      </c>
      <c r="E377" s="11" t="s">
        <v>367</v>
      </c>
      <c r="F377" s="11" t="s">
        <v>48</v>
      </c>
      <c r="G377" s="11" t="s">
        <v>137</v>
      </c>
      <c r="H377" s="11" t="n">
        <v>32045.07</v>
      </c>
      <c r="I377" s="11" t="n">
        <v>845143</v>
      </c>
      <c r="J377" s="11" t="n">
        <v>22232</v>
      </c>
      <c r="K377" s="11" t="n">
        <v>1332</v>
      </c>
      <c r="L377" s="11" t="n">
        <v>779254.64</v>
      </c>
    </row>
    <row r="378" customFormat="false" ht="15" hidden="false" customHeight="true" outlineLevel="0" collapsed="false">
      <c r="A378" s="11" t="n">
        <v>1527</v>
      </c>
      <c r="B378" s="11" t="s">
        <v>184</v>
      </c>
      <c r="C378" s="11" t="s">
        <v>141</v>
      </c>
      <c r="D378" s="11" t="s">
        <v>422</v>
      </c>
      <c r="E378" s="11" t="s">
        <v>491</v>
      </c>
      <c r="F378" s="11" t="s">
        <v>67</v>
      </c>
      <c r="G378" s="11" t="s">
        <v>209</v>
      </c>
      <c r="H378" s="11" t="n">
        <v>7676.33</v>
      </c>
      <c r="I378" s="11" t="n">
        <v>208763</v>
      </c>
      <c r="J378" s="11" t="n">
        <v>6573</v>
      </c>
      <c r="K378" s="11" t="n">
        <v>260</v>
      </c>
      <c r="L378" s="11" t="n">
        <v>372648.88</v>
      </c>
    </row>
    <row r="379" customFormat="false" ht="15" hidden="false" customHeight="true" outlineLevel="0" collapsed="false">
      <c r="A379" s="11" t="n">
        <v>1701</v>
      </c>
      <c r="B379" s="11" t="s">
        <v>385</v>
      </c>
      <c r="C379" s="11" t="s">
        <v>63</v>
      </c>
      <c r="D379" s="11" t="s">
        <v>424</v>
      </c>
      <c r="E379" s="11" t="s">
        <v>696</v>
      </c>
      <c r="F379" s="11" t="s">
        <v>67</v>
      </c>
      <c r="G379" s="11" t="s">
        <v>131</v>
      </c>
      <c r="H379" s="11" t="n">
        <v>46050.61</v>
      </c>
      <c r="I379" s="11" t="n">
        <v>964379</v>
      </c>
      <c r="J379" s="11" t="n">
        <v>19014</v>
      </c>
      <c r="K379" s="11" t="n">
        <v>522</v>
      </c>
      <c r="L379" s="11" t="n">
        <v>924561.23</v>
      </c>
    </row>
    <row r="380" customFormat="false" ht="15" hidden="false" customHeight="true" outlineLevel="0" collapsed="false">
      <c r="A380" s="11" t="n">
        <v>1395</v>
      </c>
      <c r="B380" s="11" t="s">
        <v>180</v>
      </c>
      <c r="C380" s="11" t="s">
        <v>138</v>
      </c>
      <c r="D380" s="11" t="s">
        <v>697</v>
      </c>
      <c r="E380" s="11" t="s">
        <v>698</v>
      </c>
      <c r="F380" s="11" t="s">
        <v>60</v>
      </c>
      <c r="G380" s="11" t="s">
        <v>49</v>
      </c>
      <c r="H380" s="11" t="n">
        <v>25631.22</v>
      </c>
      <c r="I380" s="11" t="n">
        <v>621104</v>
      </c>
      <c r="J380" s="11" t="n">
        <v>12911</v>
      </c>
      <c r="K380" s="11" t="n">
        <v>660</v>
      </c>
      <c r="L380" s="11" t="n">
        <v>727630.36</v>
      </c>
    </row>
    <row r="381" customFormat="false" ht="15" hidden="false" customHeight="true" outlineLevel="0" collapsed="false">
      <c r="A381" s="11" t="n">
        <v>1053</v>
      </c>
      <c r="B381" s="11" t="s">
        <v>78</v>
      </c>
      <c r="C381" s="11" t="s">
        <v>118</v>
      </c>
      <c r="D381" s="11" t="s">
        <v>133</v>
      </c>
      <c r="E381" s="11" t="s">
        <v>575</v>
      </c>
      <c r="F381" s="11" t="s">
        <v>60</v>
      </c>
      <c r="G381" s="11" t="s">
        <v>199</v>
      </c>
      <c r="H381" s="11" t="n">
        <v>65055.9</v>
      </c>
      <c r="I381" s="11" t="n">
        <v>2401311</v>
      </c>
      <c r="J381" s="11" t="n">
        <v>38362</v>
      </c>
      <c r="K381" s="11" t="n">
        <v>1731</v>
      </c>
      <c r="L381" s="11" t="n">
        <v>1289880.02</v>
      </c>
    </row>
    <row r="382" customFormat="false" ht="15" hidden="false" customHeight="true" outlineLevel="0" collapsed="false">
      <c r="A382" s="11" t="n">
        <v>1522</v>
      </c>
      <c r="B382" s="11" t="s">
        <v>78</v>
      </c>
      <c r="C382" s="11" t="s">
        <v>121</v>
      </c>
      <c r="D382" s="11" t="s">
        <v>699</v>
      </c>
      <c r="E382" s="11" t="s">
        <v>700</v>
      </c>
      <c r="F382" s="11" t="s">
        <v>53</v>
      </c>
      <c r="G382" s="11" t="s">
        <v>91</v>
      </c>
      <c r="H382" s="11" t="n">
        <v>46601.66</v>
      </c>
      <c r="I382" s="11" t="n">
        <v>851118</v>
      </c>
      <c r="J382" s="11" t="n">
        <v>15840</v>
      </c>
      <c r="K382" s="11" t="n">
        <v>858</v>
      </c>
      <c r="L382" s="11" t="n">
        <v>745838.77</v>
      </c>
    </row>
    <row r="383" customFormat="false" ht="15" hidden="false" customHeight="true" outlineLevel="0" collapsed="false">
      <c r="A383" s="11" t="n">
        <v>1616</v>
      </c>
      <c r="B383" s="11" t="s">
        <v>46</v>
      </c>
      <c r="C383" s="11" t="s">
        <v>328</v>
      </c>
      <c r="D383" s="11" t="s">
        <v>701</v>
      </c>
      <c r="E383" s="11" t="s">
        <v>702</v>
      </c>
      <c r="F383" s="11" t="s">
        <v>56</v>
      </c>
      <c r="G383" s="11" t="s">
        <v>199</v>
      </c>
      <c r="H383" s="11" t="n">
        <v>13275.05</v>
      </c>
      <c r="I383" s="11" t="n">
        <v>199405</v>
      </c>
      <c r="J383" s="11" t="n">
        <v>1879</v>
      </c>
      <c r="K383" s="11" t="n">
        <v>134</v>
      </c>
      <c r="L383" s="11" t="n">
        <v>105439.16</v>
      </c>
    </row>
    <row r="384" customFormat="false" ht="15" hidden="false" customHeight="true" outlineLevel="0" collapsed="false">
      <c r="A384" s="11" t="n">
        <v>1766</v>
      </c>
      <c r="B384" s="11" t="s">
        <v>55</v>
      </c>
      <c r="C384" s="11" t="s">
        <v>121</v>
      </c>
      <c r="D384" s="11" t="s">
        <v>703</v>
      </c>
      <c r="E384" s="11" t="s">
        <v>384</v>
      </c>
      <c r="F384" s="11" t="s">
        <v>51</v>
      </c>
      <c r="G384" s="11" t="s">
        <v>163</v>
      </c>
      <c r="H384" s="11" t="n">
        <v>55277.78</v>
      </c>
      <c r="I384" s="11" t="n">
        <v>952796</v>
      </c>
      <c r="J384" s="11" t="n">
        <v>12050</v>
      </c>
      <c r="K384" s="11" t="n">
        <v>313</v>
      </c>
      <c r="L384" s="11" t="n">
        <v>275929.03</v>
      </c>
    </row>
    <row r="385" customFormat="false" ht="15" hidden="false" customHeight="true" outlineLevel="0" collapsed="false">
      <c r="A385" s="11" t="n">
        <v>1677</v>
      </c>
      <c r="B385" s="11" t="s">
        <v>70</v>
      </c>
      <c r="C385" s="11" t="s">
        <v>96</v>
      </c>
      <c r="D385" s="11" t="s">
        <v>563</v>
      </c>
      <c r="E385" s="11" t="s">
        <v>469</v>
      </c>
      <c r="F385" s="11" t="s">
        <v>65</v>
      </c>
      <c r="G385" s="11" t="s">
        <v>199</v>
      </c>
      <c r="H385" s="11" t="n">
        <v>7399.2</v>
      </c>
      <c r="I385" s="11" t="n">
        <v>127716</v>
      </c>
      <c r="J385" s="11" t="n">
        <v>2194</v>
      </c>
      <c r="K385" s="11" t="n">
        <v>117</v>
      </c>
      <c r="L385" s="11" t="n">
        <v>149436.93</v>
      </c>
    </row>
    <row r="386" customFormat="false" ht="15" hidden="false" customHeight="true" outlineLevel="0" collapsed="false">
      <c r="A386" s="11" t="n">
        <v>1644</v>
      </c>
      <c r="B386" s="11" t="s">
        <v>78</v>
      </c>
      <c r="C386" s="11" t="s">
        <v>210</v>
      </c>
      <c r="D386" s="11" t="s">
        <v>601</v>
      </c>
      <c r="E386" s="11" t="s">
        <v>704</v>
      </c>
      <c r="F386" s="11" t="s">
        <v>48</v>
      </c>
      <c r="G386" s="11" t="s">
        <v>209</v>
      </c>
      <c r="H386" s="11" t="n">
        <v>36281.68</v>
      </c>
      <c r="I386" s="11" t="n">
        <v>1129520</v>
      </c>
      <c r="J386" s="11" t="n">
        <v>14600</v>
      </c>
      <c r="K386" s="11" t="n">
        <v>689</v>
      </c>
      <c r="L386" s="11" t="n">
        <v>581968.2</v>
      </c>
    </row>
    <row r="387" customFormat="false" ht="15" hidden="false" customHeight="true" outlineLevel="0" collapsed="false">
      <c r="A387" s="11" t="n">
        <v>1579</v>
      </c>
      <c r="B387" s="11" t="s">
        <v>70</v>
      </c>
      <c r="C387" s="11" t="s">
        <v>155</v>
      </c>
      <c r="D387" s="11" t="s">
        <v>705</v>
      </c>
      <c r="E387" s="11" t="s">
        <v>706</v>
      </c>
      <c r="F387" s="11" t="s">
        <v>56</v>
      </c>
      <c r="G387" s="11" t="s">
        <v>172</v>
      </c>
      <c r="H387" s="11" t="n">
        <v>81108.09</v>
      </c>
      <c r="I387" s="11" t="n">
        <v>1618317</v>
      </c>
      <c r="J387" s="11" t="n">
        <v>16826</v>
      </c>
      <c r="K387" s="11" t="n">
        <v>703</v>
      </c>
      <c r="L387" s="11" t="n">
        <v>416047.96</v>
      </c>
    </row>
    <row r="388" customFormat="false" ht="15" hidden="false" customHeight="true" outlineLevel="0" collapsed="false">
      <c r="A388" s="11" t="n">
        <v>1120</v>
      </c>
      <c r="B388" s="11" t="s">
        <v>402</v>
      </c>
      <c r="C388" s="11" t="s">
        <v>134</v>
      </c>
      <c r="D388" s="11" t="s">
        <v>327</v>
      </c>
      <c r="E388" s="11" t="s">
        <v>707</v>
      </c>
      <c r="F388" s="11" t="s">
        <v>69</v>
      </c>
      <c r="G388" s="11" t="s">
        <v>72</v>
      </c>
      <c r="H388" s="11" t="n">
        <v>30389.81</v>
      </c>
      <c r="I388" s="11" t="n">
        <v>1169788</v>
      </c>
      <c r="J388" s="11" t="n">
        <v>12140</v>
      </c>
      <c r="K388" s="11" t="n">
        <v>901</v>
      </c>
      <c r="L388" s="11" t="n">
        <v>1000433.31</v>
      </c>
    </row>
    <row r="389" customFormat="false" ht="15" hidden="false" customHeight="true" outlineLevel="0" collapsed="false">
      <c r="A389" s="11" t="n">
        <v>1440</v>
      </c>
      <c r="B389" s="11" t="s">
        <v>46</v>
      </c>
      <c r="C389" s="11" t="s">
        <v>118</v>
      </c>
      <c r="D389" s="11" t="s">
        <v>708</v>
      </c>
      <c r="E389" s="11" t="s">
        <v>709</v>
      </c>
      <c r="F389" s="11" t="s">
        <v>48</v>
      </c>
      <c r="G389" s="11" t="s">
        <v>238</v>
      </c>
      <c r="H389" s="11" t="n">
        <v>11235.42</v>
      </c>
      <c r="I389" s="11" t="n">
        <v>424727</v>
      </c>
      <c r="J389" s="11" t="n">
        <v>7843</v>
      </c>
      <c r="K389" s="11" t="n">
        <v>358</v>
      </c>
      <c r="L389" s="11" t="n">
        <v>510375.61</v>
      </c>
    </row>
    <row r="390" customFormat="false" ht="15" hidden="false" customHeight="true" outlineLevel="0" collapsed="false">
      <c r="A390" s="11" t="n">
        <v>1475</v>
      </c>
      <c r="B390" s="11" t="s">
        <v>109</v>
      </c>
      <c r="C390" s="11" t="s">
        <v>59</v>
      </c>
      <c r="D390" s="11" t="s">
        <v>710</v>
      </c>
      <c r="E390" s="11" t="s">
        <v>711</v>
      </c>
      <c r="F390" s="11" t="s">
        <v>48</v>
      </c>
      <c r="G390" s="11" t="s">
        <v>172</v>
      </c>
      <c r="H390" s="11" t="n">
        <v>86315.13</v>
      </c>
      <c r="I390" s="11" t="n">
        <v>3071444</v>
      </c>
      <c r="J390" s="11" t="n">
        <v>96473</v>
      </c>
      <c r="K390" s="11" t="n">
        <v>4531</v>
      </c>
      <c r="L390" s="11" t="n">
        <v>5588221.55</v>
      </c>
    </row>
    <row r="391" customFormat="false" ht="15" hidden="false" customHeight="true" outlineLevel="0" collapsed="false">
      <c r="A391" s="11" t="n">
        <v>1494</v>
      </c>
      <c r="B391" s="11" t="s">
        <v>78</v>
      </c>
      <c r="C391" s="11" t="s">
        <v>59</v>
      </c>
      <c r="D391" s="11" t="s">
        <v>437</v>
      </c>
      <c r="E391" s="11" t="s">
        <v>712</v>
      </c>
      <c r="F391" s="11" t="s">
        <v>60</v>
      </c>
      <c r="G391" s="11" t="s">
        <v>72</v>
      </c>
      <c r="H391" s="11" t="n">
        <v>16800.07</v>
      </c>
      <c r="I391" s="11" t="n">
        <v>431398</v>
      </c>
      <c r="J391" s="11" t="n">
        <v>4064</v>
      </c>
      <c r="K391" s="11" t="n">
        <v>227</v>
      </c>
      <c r="L391" s="11" t="n">
        <v>153799.85</v>
      </c>
    </row>
    <row r="392" customFormat="false" ht="15" hidden="false" customHeight="true" outlineLevel="0" collapsed="false">
      <c r="A392" s="11" t="n">
        <v>1070</v>
      </c>
      <c r="B392" s="11" t="s">
        <v>76</v>
      </c>
      <c r="C392" s="11" t="s">
        <v>100</v>
      </c>
      <c r="D392" s="11" t="s">
        <v>712</v>
      </c>
      <c r="E392" s="11" t="s">
        <v>101</v>
      </c>
      <c r="F392" s="11" t="s">
        <v>48</v>
      </c>
      <c r="G392" s="11" t="s">
        <v>112</v>
      </c>
      <c r="H392" s="11" t="n">
        <v>50169.08</v>
      </c>
      <c r="I392" s="11" t="n">
        <v>1544436</v>
      </c>
      <c r="J392" s="11" t="n">
        <v>44618</v>
      </c>
      <c r="K392" s="11" t="n">
        <v>2293</v>
      </c>
      <c r="L392" s="11" t="n">
        <v>1972705.1</v>
      </c>
    </row>
    <row r="393" customFormat="false" ht="15" hidden="false" customHeight="true" outlineLevel="0" collapsed="false">
      <c r="A393" s="11" t="n">
        <v>1403</v>
      </c>
      <c r="B393" s="11" t="s">
        <v>70</v>
      </c>
      <c r="C393" s="11" t="s">
        <v>328</v>
      </c>
      <c r="D393" s="11" t="s">
        <v>713</v>
      </c>
      <c r="E393" s="11" t="s">
        <v>714</v>
      </c>
      <c r="F393" s="11" t="s">
        <v>53</v>
      </c>
      <c r="G393" s="11" t="s">
        <v>99</v>
      </c>
      <c r="H393" s="11" t="n">
        <v>26452.24</v>
      </c>
      <c r="I393" s="11" t="n">
        <v>665985</v>
      </c>
      <c r="J393" s="11" t="n">
        <v>13003</v>
      </c>
      <c r="K393" s="11" t="n">
        <v>500</v>
      </c>
      <c r="L393" s="11" t="n">
        <v>344461.83</v>
      </c>
    </row>
    <row r="394" customFormat="false" ht="15" hidden="false" customHeight="true" outlineLevel="0" collapsed="false">
      <c r="A394" s="11" t="n">
        <v>1626</v>
      </c>
      <c r="B394" s="11" t="s">
        <v>184</v>
      </c>
      <c r="C394" s="11" t="s">
        <v>149</v>
      </c>
      <c r="D394" s="11" t="s">
        <v>127</v>
      </c>
      <c r="E394" s="11" t="s">
        <v>715</v>
      </c>
      <c r="F394" s="11" t="s">
        <v>60</v>
      </c>
      <c r="G394" s="11" t="s">
        <v>72</v>
      </c>
      <c r="H394" s="11" t="n">
        <v>17997.89</v>
      </c>
      <c r="I394" s="11" t="n">
        <v>453179</v>
      </c>
      <c r="J394" s="11" t="n">
        <v>2520</v>
      </c>
      <c r="K394" s="11" t="n">
        <v>98</v>
      </c>
      <c r="L394" s="11" t="n">
        <v>52739.88</v>
      </c>
    </row>
    <row r="395" customFormat="false" ht="15" hidden="false" customHeight="true" outlineLevel="0" collapsed="false">
      <c r="A395" s="11" t="n">
        <v>1428</v>
      </c>
      <c r="B395" s="11" t="s">
        <v>167</v>
      </c>
      <c r="C395" s="11" t="s">
        <v>192</v>
      </c>
      <c r="D395" s="11" t="s">
        <v>716</v>
      </c>
      <c r="E395" s="11" t="s">
        <v>717</v>
      </c>
      <c r="F395" s="11" t="s">
        <v>60</v>
      </c>
      <c r="G395" s="11" t="s">
        <v>163</v>
      </c>
      <c r="H395" s="11" t="n">
        <v>55320.3</v>
      </c>
      <c r="I395" s="11" t="n">
        <v>1280774</v>
      </c>
      <c r="J395" s="11" t="n">
        <v>7296</v>
      </c>
      <c r="K395" s="11" t="n">
        <v>474</v>
      </c>
      <c r="L395" s="11" t="n">
        <v>799689.7</v>
      </c>
    </row>
    <row r="396" customFormat="false" ht="15" hidden="false" customHeight="true" outlineLevel="0" collapsed="false">
      <c r="A396" s="11" t="n">
        <v>1548</v>
      </c>
      <c r="B396" s="11" t="s">
        <v>46</v>
      </c>
      <c r="C396" s="11" t="s">
        <v>192</v>
      </c>
      <c r="D396" s="11" t="s">
        <v>718</v>
      </c>
      <c r="E396" s="11" t="s">
        <v>433</v>
      </c>
      <c r="F396" s="11" t="s">
        <v>67</v>
      </c>
      <c r="G396" s="11" t="s">
        <v>131</v>
      </c>
      <c r="H396" s="11" t="n">
        <v>84533.9</v>
      </c>
      <c r="I396" s="11" t="n">
        <v>2242587</v>
      </c>
      <c r="J396" s="11" t="n">
        <v>23549</v>
      </c>
      <c r="K396" s="11" t="n">
        <v>1525</v>
      </c>
      <c r="L396" s="11" t="n">
        <v>2377606</v>
      </c>
    </row>
    <row r="397" customFormat="false" ht="15" hidden="false" customHeight="true" outlineLevel="0" collapsed="false">
      <c r="A397" s="11" t="n">
        <v>1610</v>
      </c>
      <c r="B397" s="11" t="s">
        <v>52</v>
      </c>
      <c r="C397" s="11" t="s">
        <v>124</v>
      </c>
      <c r="D397" s="11" t="s">
        <v>717</v>
      </c>
      <c r="E397" s="11" t="s">
        <v>719</v>
      </c>
      <c r="F397" s="11" t="s">
        <v>48</v>
      </c>
      <c r="G397" s="11" t="s">
        <v>61</v>
      </c>
      <c r="H397" s="11" t="n">
        <v>57048.34</v>
      </c>
      <c r="I397" s="11" t="n">
        <v>1294686</v>
      </c>
      <c r="J397" s="11" t="n">
        <v>32919</v>
      </c>
      <c r="K397" s="11" t="n">
        <v>2501</v>
      </c>
      <c r="L397" s="11" t="n">
        <v>4010727.56</v>
      </c>
    </row>
    <row r="398" customFormat="false" ht="15" hidden="false" customHeight="true" outlineLevel="0" collapsed="false">
      <c r="A398" s="11" t="n">
        <v>1483</v>
      </c>
      <c r="B398" s="11" t="s">
        <v>88</v>
      </c>
      <c r="C398" s="11" t="s">
        <v>328</v>
      </c>
      <c r="D398" s="11" t="s">
        <v>254</v>
      </c>
      <c r="E398" s="11" t="s">
        <v>720</v>
      </c>
      <c r="F398" s="11" t="s">
        <v>67</v>
      </c>
      <c r="G398" s="11" t="s">
        <v>49</v>
      </c>
      <c r="H398" s="11" t="n">
        <v>37309.77</v>
      </c>
      <c r="I398" s="11" t="n">
        <v>790005</v>
      </c>
      <c r="J398" s="11" t="n">
        <v>25164</v>
      </c>
      <c r="K398" s="11" t="n">
        <v>571</v>
      </c>
      <c r="L398" s="11" t="n">
        <v>200293.72</v>
      </c>
    </row>
    <row r="399" customFormat="false" ht="15" hidden="false" customHeight="true" outlineLevel="0" collapsed="false">
      <c r="A399" s="11" t="n">
        <v>1754</v>
      </c>
      <c r="B399" s="11" t="s">
        <v>79</v>
      </c>
      <c r="C399" s="11" t="s">
        <v>96</v>
      </c>
      <c r="D399" s="11" t="s">
        <v>721</v>
      </c>
      <c r="E399" s="11" t="s">
        <v>722</v>
      </c>
      <c r="F399" s="11" t="s">
        <v>60</v>
      </c>
      <c r="G399" s="11" t="s">
        <v>49</v>
      </c>
      <c r="H399" s="11" t="n">
        <v>6085.47</v>
      </c>
      <c r="I399" s="11" t="n">
        <v>148132</v>
      </c>
      <c r="J399" s="11" t="n">
        <v>2739</v>
      </c>
      <c r="K399" s="11" t="n">
        <v>187</v>
      </c>
      <c r="L399" s="11" t="n">
        <v>126383.11</v>
      </c>
    </row>
    <row r="400" customFormat="false" ht="15" hidden="false" customHeight="true" outlineLevel="0" collapsed="false">
      <c r="A400" s="11" t="n">
        <v>1176</v>
      </c>
      <c r="B400" s="11" t="s">
        <v>64</v>
      </c>
      <c r="C400" s="11" t="s">
        <v>71</v>
      </c>
      <c r="D400" s="11" t="s">
        <v>641</v>
      </c>
      <c r="E400" s="11" t="s">
        <v>567</v>
      </c>
      <c r="F400" s="11" t="s">
        <v>69</v>
      </c>
      <c r="G400" s="11" t="s">
        <v>72</v>
      </c>
      <c r="H400" s="11" t="n">
        <v>48647.65</v>
      </c>
      <c r="I400" s="11" t="n">
        <v>866559</v>
      </c>
      <c r="J400" s="11" t="n">
        <v>8223</v>
      </c>
      <c r="K400" s="11" t="n">
        <v>408</v>
      </c>
      <c r="L400" s="11" t="n">
        <v>487511.76</v>
      </c>
    </row>
    <row r="401" customFormat="false" ht="15" hidden="false" customHeight="true" outlineLevel="0" collapsed="false">
      <c r="A401" s="11" t="n">
        <v>1100</v>
      </c>
      <c r="B401" s="11" t="s">
        <v>46</v>
      </c>
      <c r="C401" s="11" t="s">
        <v>155</v>
      </c>
      <c r="D401" s="11" t="s">
        <v>553</v>
      </c>
      <c r="E401" s="11" t="s">
        <v>453</v>
      </c>
      <c r="F401" s="11" t="s">
        <v>65</v>
      </c>
      <c r="G401" s="11" t="s">
        <v>72</v>
      </c>
      <c r="H401" s="11" t="n">
        <v>31865.03</v>
      </c>
      <c r="I401" s="11" t="n">
        <v>1253021</v>
      </c>
      <c r="J401" s="11" t="n">
        <v>17452</v>
      </c>
      <c r="K401" s="11" t="n">
        <v>527</v>
      </c>
      <c r="L401" s="11" t="n">
        <v>342841.33</v>
      </c>
    </row>
    <row r="402" customFormat="false" ht="15" hidden="false" customHeight="true" outlineLevel="0" collapsed="false">
      <c r="A402" s="11" t="n">
        <v>1467</v>
      </c>
      <c r="B402" s="11" t="s">
        <v>68</v>
      </c>
      <c r="C402" s="11" t="s">
        <v>63</v>
      </c>
      <c r="D402" s="11" t="s">
        <v>607</v>
      </c>
      <c r="E402" s="11" t="s">
        <v>723</v>
      </c>
      <c r="F402" s="11" t="s">
        <v>48</v>
      </c>
      <c r="G402" s="11" t="s">
        <v>54</v>
      </c>
      <c r="H402" s="11" t="n">
        <v>48992.54</v>
      </c>
      <c r="I402" s="11" t="n">
        <v>1541010</v>
      </c>
      <c r="J402" s="11" t="n">
        <v>19185</v>
      </c>
      <c r="K402" s="11" t="n">
        <v>253</v>
      </c>
      <c r="L402" s="11" t="n">
        <v>435514.75</v>
      </c>
    </row>
    <row r="403" customFormat="false" ht="15" hidden="false" customHeight="true" outlineLevel="0" collapsed="false">
      <c r="A403" s="11" t="n">
        <v>1230</v>
      </c>
      <c r="B403" s="11" t="s">
        <v>70</v>
      </c>
      <c r="C403" s="11" t="s">
        <v>155</v>
      </c>
      <c r="D403" s="11" t="s">
        <v>724</v>
      </c>
      <c r="E403" s="11" t="s">
        <v>725</v>
      </c>
      <c r="F403" s="11" t="s">
        <v>56</v>
      </c>
      <c r="G403" s="11" t="s">
        <v>226</v>
      </c>
      <c r="H403" s="11" t="n">
        <v>45042.07</v>
      </c>
      <c r="I403" s="11" t="n">
        <v>1056729</v>
      </c>
      <c r="J403" s="11" t="n">
        <v>-22737</v>
      </c>
      <c r="K403" s="11" t="n">
        <v>1336</v>
      </c>
      <c r="L403" s="11" t="n">
        <v>1836793.46</v>
      </c>
    </row>
    <row r="404" customFormat="false" ht="15" hidden="false" customHeight="true" outlineLevel="0" collapsed="false">
      <c r="A404" s="11" t="n">
        <v>1545</v>
      </c>
      <c r="B404" s="11" t="s">
        <v>70</v>
      </c>
      <c r="C404" s="11" t="s">
        <v>81</v>
      </c>
      <c r="D404" s="11" t="s">
        <v>726</v>
      </c>
      <c r="E404" s="11" t="s">
        <v>727</v>
      </c>
      <c r="F404" s="11" t="s">
        <v>56</v>
      </c>
      <c r="G404" s="11" t="s">
        <v>172</v>
      </c>
      <c r="H404" s="11" t="n">
        <v>4662.3</v>
      </c>
      <c r="I404" s="11" t="n">
        <v>103710</v>
      </c>
      <c r="J404" s="11" t="n">
        <v>2255</v>
      </c>
      <c r="K404" s="11" t="n">
        <v>48</v>
      </c>
      <c r="L404" s="11" t="n">
        <v>50683.01</v>
      </c>
    </row>
    <row r="405" customFormat="false" ht="15" hidden="false" customHeight="true" outlineLevel="0" collapsed="false">
      <c r="A405" s="11" t="n">
        <v>1775</v>
      </c>
      <c r="B405" s="11" t="s">
        <v>55</v>
      </c>
      <c r="C405" s="11" t="s">
        <v>124</v>
      </c>
      <c r="D405" s="11" t="s">
        <v>728</v>
      </c>
      <c r="E405" s="11" t="s">
        <v>521</v>
      </c>
      <c r="F405" s="11" t="s">
        <v>48</v>
      </c>
      <c r="G405" s="11" t="s">
        <v>91</v>
      </c>
      <c r="H405" s="11" t="n">
        <v>25370.13</v>
      </c>
      <c r="I405" s="11" t="n">
        <v>769302</v>
      </c>
      <c r="J405" s="11" t="n">
        <v>11853</v>
      </c>
      <c r="K405" s="11" t="n">
        <v>389</v>
      </c>
      <c r="L405" s="11" t="n">
        <v>343702.09</v>
      </c>
    </row>
    <row r="406" customFormat="false" ht="15" hidden="false" customHeight="true" outlineLevel="0" collapsed="false">
      <c r="A406" s="11" t="n">
        <v>1284</v>
      </c>
      <c r="B406" s="11" t="s">
        <v>55</v>
      </c>
      <c r="C406" s="11" t="s">
        <v>192</v>
      </c>
      <c r="D406" s="11" t="s">
        <v>616</v>
      </c>
      <c r="E406" s="11" t="s">
        <v>339</v>
      </c>
      <c r="F406" s="11" t="s">
        <v>53</v>
      </c>
      <c r="G406" s="11" t="s">
        <v>54</v>
      </c>
      <c r="H406" s="11" t="n">
        <v>89924.03</v>
      </c>
      <c r="I406" s="11" t="n">
        <v>2279666</v>
      </c>
      <c r="J406" s="11" t="n">
        <v>34226</v>
      </c>
      <c r="K406" s="11" t="n">
        <v>1684</v>
      </c>
      <c r="L406" s="11"/>
    </row>
    <row r="407" customFormat="false" ht="15" hidden="false" customHeight="true" outlineLevel="0" collapsed="false">
      <c r="A407" s="11" t="n">
        <v>1156</v>
      </c>
      <c r="B407" s="11" t="s">
        <v>79</v>
      </c>
      <c r="C407" s="11" t="s">
        <v>50</v>
      </c>
      <c r="D407" s="11" t="s">
        <v>354</v>
      </c>
      <c r="E407" s="11" t="s">
        <v>507</v>
      </c>
      <c r="F407" s="11" t="s">
        <v>56</v>
      </c>
      <c r="G407" s="11" t="s">
        <v>49</v>
      </c>
      <c r="H407" s="11" t="n">
        <v>74489.21</v>
      </c>
      <c r="I407" s="11" t="n">
        <v>2788294</v>
      </c>
      <c r="J407" s="11" t="n">
        <v>57418</v>
      </c>
      <c r="K407" s="11" t="n">
        <v>3391</v>
      </c>
      <c r="L407" s="11" t="n">
        <v>3018374.41</v>
      </c>
    </row>
    <row r="408" customFormat="false" ht="15" hidden="false" customHeight="true" outlineLevel="0" collapsed="false">
      <c r="A408" s="11" t="n">
        <v>1124</v>
      </c>
      <c r="B408" s="11" t="s">
        <v>352</v>
      </c>
      <c r="C408" s="11" t="s">
        <v>134</v>
      </c>
      <c r="D408" s="11" t="s">
        <v>729</v>
      </c>
      <c r="E408" s="11" t="s">
        <v>505</v>
      </c>
      <c r="F408" s="11" t="s">
        <v>48</v>
      </c>
      <c r="G408" s="11" t="s">
        <v>95</v>
      </c>
      <c r="H408" s="11" t="n">
        <v>57652.64</v>
      </c>
      <c r="I408" s="11" t="n">
        <v>1436564</v>
      </c>
      <c r="J408" s="11" t="n">
        <v>40520</v>
      </c>
      <c r="K408" s="11" t="n">
        <v>489</v>
      </c>
      <c r="L408" s="11" t="n">
        <v>364952.53</v>
      </c>
    </row>
    <row r="409" customFormat="false" ht="15" hidden="false" customHeight="true" outlineLevel="0" collapsed="false">
      <c r="A409" s="11" t="n">
        <v>1471</v>
      </c>
      <c r="B409" s="11" t="s">
        <v>349</v>
      </c>
      <c r="C409" s="11" t="s">
        <v>138</v>
      </c>
      <c r="D409" s="11" t="s">
        <v>540</v>
      </c>
      <c r="E409" s="11" t="s">
        <v>571</v>
      </c>
      <c r="F409" s="11" t="s">
        <v>53</v>
      </c>
      <c r="G409" s="11" t="s">
        <v>103</v>
      </c>
      <c r="H409" s="11" t="n">
        <v>44522.52</v>
      </c>
      <c r="I409" s="11" t="n">
        <v>1323239</v>
      </c>
      <c r="J409" s="11" t="n">
        <v>38643</v>
      </c>
      <c r="K409" s="11" t="n">
        <v>644</v>
      </c>
      <c r="L409" s="11" t="n">
        <v>551203.02</v>
      </c>
    </row>
    <row r="410" customFormat="false" ht="15" hidden="false" customHeight="true" outlineLevel="0" collapsed="false">
      <c r="A410" s="11" t="n">
        <v>1021</v>
      </c>
      <c r="B410" s="11" t="s">
        <v>58</v>
      </c>
      <c r="C410" s="11" t="s">
        <v>85</v>
      </c>
      <c r="D410" s="11" t="s">
        <v>214</v>
      </c>
      <c r="E410" s="11" t="s">
        <v>195</v>
      </c>
      <c r="F410" s="11" t="s">
        <v>48</v>
      </c>
      <c r="G410" s="11" t="s">
        <v>91</v>
      </c>
      <c r="H410" s="11" t="n">
        <v>18095.2</v>
      </c>
      <c r="I410" s="11" t="n">
        <v>678345</v>
      </c>
      <c r="J410" s="11" t="n">
        <v>7259</v>
      </c>
      <c r="K410" s="11" t="n">
        <v>95</v>
      </c>
      <c r="L410" s="11" t="n">
        <v>93316.92</v>
      </c>
    </row>
    <row r="411" customFormat="false" ht="15" hidden="false" customHeight="true" outlineLevel="0" collapsed="false">
      <c r="A411" s="11" t="n">
        <v>1384</v>
      </c>
      <c r="B411" s="11" t="s">
        <v>55</v>
      </c>
      <c r="C411" s="11" t="s">
        <v>118</v>
      </c>
      <c r="D411" s="11" t="s">
        <v>601</v>
      </c>
      <c r="E411" s="11" t="s">
        <v>196</v>
      </c>
      <c r="F411" s="11" t="s">
        <v>65</v>
      </c>
      <c r="G411" s="11" t="s">
        <v>103</v>
      </c>
      <c r="H411" s="11" t="n">
        <v>73634.91</v>
      </c>
      <c r="I411" s="11" t="n">
        <v>1728861</v>
      </c>
      <c r="J411" s="11" t="n">
        <v>39872</v>
      </c>
      <c r="K411" s="11" t="n">
        <v>2750</v>
      </c>
      <c r="L411" s="11" t="n">
        <v>3582120.57</v>
      </c>
    </row>
    <row r="412" customFormat="false" ht="15" hidden="false" customHeight="true" outlineLevel="0" collapsed="false">
      <c r="A412" s="11" t="n">
        <v>1149</v>
      </c>
      <c r="B412" s="11" t="s">
        <v>52</v>
      </c>
      <c r="C412" s="11" t="s">
        <v>210</v>
      </c>
      <c r="D412" s="11" t="s">
        <v>272</v>
      </c>
      <c r="E412" s="11" t="s">
        <v>730</v>
      </c>
      <c r="F412" s="11" t="s">
        <v>53</v>
      </c>
      <c r="G412" s="11"/>
      <c r="H412" s="11" t="n">
        <v>17987.01</v>
      </c>
      <c r="I412" s="11" t="n">
        <v>296996</v>
      </c>
      <c r="J412" s="11" t="n">
        <v>8517</v>
      </c>
      <c r="K412" s="11" t="n">
        <v>387</v>
      </c>
      <c r="L412" s="11" t="n">
        <v>488172.45</v>
      </c>
    </row>
    <row r="413" customFormat="false" ht="15" hidden="false" customHeight="true" outlineLevel="0" collapsed="false">
      <c r="A413" s="11" t="n">
        <v>1136</v>
      </c>
      <c r="B413" s="11" t="s">
        <v>144</v>
      </c>
      <c r="C413" s="11" t="s">
        <v>235</v>
      </c>
      <c r="D413" s="11" t="s">
        <v>609</v>
      </c>
      <c r="E413" s="11" t="s">
        <v>487</v>
      </c>
      <c r="F413" s="11" t="s">
        <v>56</v>
      </c>
      <c r="G413" s="11" t="s">
        <v>72</v>
      </c>
      <c r="H413" s="11" t="n">
        <v>31376.6</v>
      </c>
      <c r="I413" s="11" t="n">
        <v>614231</v>
      </c>
      <c r="J413" s="11" t="n">
        <v>15849</v>
      </c>
      <c r="K413" s="11" t="n">
        <v>725</v>
      </c>
      <c r="L413" s="11" t="n">
        <v>693423.86</v>
      </c>
    </row>
    <row r="414" customFormat="false" ht="15" hidden="false" customHeight="true" outlineLevel="0" collapsed="false">
      <c r="A414" s="11" t="n">
        <v>1269</v>
      </c>
      <c r="B414" s="11" t="s">
        <v>342</v>
      </c>
      <c r="C414" s="11" t="s">
        <v>81</v>
      </c>
      <c r="D414" s="11" t="s">
        <v>731</v>
      </c>
      <c r="E414" s="11" t="s">
        <v>732</v>
      </c>
      <c r="F414" s="11" t="s">
        <v>65</v>
      </c>
      <c r="G414" s="11" t="s">
        <v>99</v>
      </c>
      <c r="H414" s="11" t="n">
        <v>7484.45</v>
      </c>
      <c r="I414" s="11" t="n">
        <v>116287</v>
      </c>
      <c r="J414" s="11" t="n">
        <v>1444</v>
      </c>
      <c r="K414" s="11" t="n">
        <v>67</v>
      </c>
      <c r="L414" s="11" t="n">
        <v>55856.29</v>
      </c>
    </row>
    <row r="415" customFormat="false" ht="15" hidden="false" customHeight="true" outlineLevel="0" collapsed="false">
      <c r="A415" s="11" t="n">
        <v>1108</v>
      </c>
      <c r="B415" s="11" t="s">
        <v>144</v>
      </c>
      <c r="C415" s="11" t="s">
        <v>105</v>
      </c>
      <c r="D415" s="11" t="s">
        <v>474</v>
      </c>
      <c r="E415" s="11" t="s">
        <v>733</v>
      </c>
      <c r="F415" s="11" t="s">
        <v>53</v>
      </c>
      <c r="G415" s="11" t="s">
        <v>112</v>
      </c>
      <c r="H415" s="11" t="n">
        <v>14894.9</v>
      </c>
      <c r="I415" s="11" t="n">
        <v>423260</v>
      </c>
      <c r="J415" s="11" t="n">
        <v>4205</v>
      </c>
      <c r="K415" s="11" t="n">
        <v>293</v>
      </c>
      <c r="L415" s="11" t="n">
        <v>290265.96</v>
      </c>
    </row>
    <row r="416" customFormat="false" ht="15" hidden="false" customHeight="true" outlineLevel="0" collapsed="false">
      <c r="A416" s="11" t="n">
        <v>1533</v>
      </c>
      <c r="B416" s="11" t="s">
        <v>52</v>
      </c>
      <c r="C416" s="11" t="s">
        <v>63</v>
      </c>
      <c r="D416" s="11" t="s">
        <v>732</v>
      </c>
      <c r="E416" s="11" t="s">
        <v>734</v>
      </c>
      <c r="F416" s="11" t="s">
        <v>48</v>
      </c>
      <c r="G416" s="11" t="s">
        <v>137</v>
      </c>
      <c r="H416" s="11" t="n">
        <v>44192.65</v>
      </c>
      <c r="I416" s="11" t="n">
        <v>949796</v>
      </c>
      <c r="J416" s="11" t="n">
        <v>27115</v>
      </c>
      <c r="K416" s="11" t="n">
        <v>481</v>
      </c>
      <c r="L416" s="11" t="n">
        <v>828936.18</v>
      </c>
    </row>
    <row r="417" customFormat="false" ht="15" hidden="false" customHeight="true" outlineLevel="0" collapsed="false">
      <c r="A417" s="11" t="n">
        <v>1074</v>
      </c>
      <c r="B417" s="11" t="s">
        <v>46</v>
      </c>
      <c r="C417" s="11" t="s">
        <v>210</v>
      </c>
      <c r="D417" s="11" t="s">
        <v>735</v>
      </c>
      <c r="E417" s="11" t="s">
        <v>692</v>
      </c>
      <c r="F417" s="11" t="s">
        <v>60</v>
      </c>
      <c r="G417" s="11" t="s">
        <v>57</v>
      </c>
      <c r="H417" s="11" t="n">
        <v>42194.83</v>
      </c>
      <c r="I417" s="11" t="n">
        <v>823076</v>
      </c>
      <c r="J417" s="11" t="n">
        <v>9404</v>
      </c>
      <c r="K417" s="11" t="n">
        <v>717</v>
      </c>
      <c r="L417" s="11" t="n">
        <v>756501.56</v>
      </c>
    </row>
    <row r="418" customFormat="false" ht="15" hidden="false" customHeight="true" outlineLevel="0" collapsed="false">
      <c r="A418" s="11" t="n">
        <v>1750</v>
      </c>
      <c r="B418" s="11" t="s">
        <v>78</v>
      </c>
      <c r="C418" s="11" t="s">
        <v>100</v>
      </c>
      <c r="D418" s="11" t="s">
        <v>125</v>
      </c>
      <c r="E418" s="11" t="s">
        <v>736</v>
      </c>
      <c r="F418" s="11" t="s">
        <v>48</v>
      </c>
      <c r="G418" s="11" t="s">
        <v>49</v>
      </c>
      <c r="H418" s="11" t="n">
        <v>46396.84</v>
      </c>
      <c r="I418" s="11" t="n">
        <v>734852</v>
      </c>
      <c r="J418" s="11" t="n">
        <v>13292</v>
      </c>
      <c r="K418" s="11" t="n">
        <v>786</v>
      </c>
      <c r="L418" s="11" t="n">
        <v>351389.87</v>
      </c>
    </row>
    <row r="419" customFormat="false" ht="15" hidden="false" customHeight="true" outlineLevel="0" collapsed="false">
      <c r="A419" s="11" t="n">
        <v>1288</v>
      </c>
      <c r="B419" s="11" t="s">
        <v>79</v>
      </c>
      <c r="C419" s="11" t="s">
        <v>96</v>
      </c>
      <c r="D419" s="11" t="s">
        <v>314</v>
      </c>
      <c r="E419" s="11" t="s">
        <v>271</v>
      </c>
      <c r="F419" s="11" t="s">
        <v>53</v>
      </c>
      <c r="G419" s="11" t="s">
        <v>72</v>
      </c>
      <c r="H419" s="11" t="n">
        <v>6593.18</v>
      </c>
      <c r="I419" s="11" t="n">
        <v>248061</v>
      </c>
      <c r="J419" s="11" t="n">
        <v>2386</v>
      </c>
      <c r="K419" s="11" t="n">
        <v>80</v>
      </c>
      <c r="L419" s="11" t="n">
        <v>84082.75</v>
      </c>
    </row>
    <row r="420" customFormat="false" ht="15" hidden="false" customHeight="true" outlineLevel="0" collapsed="false">
      <c r="A420" s="11" t="n">
        <v>1449</v>
      </c>
      <c r="B420" s="11" t="s">
        <v>73</v>
      </c>
      <c r="C420" s="11" t="s">
        <v>134</v>
      </c>
      <c r="D420" s="11" t="s">
        <v>528</v>
      </c>
      <c r="E420" s="11" t="s">
        <v>706</v>
      </c>
      <c r="F420" s="11" t="s">
        <v>60</v>
      </c>
      <c r="G420" s="11" t="s">
        <v>108</v>
      </c>
      <c r="H420" s="11" t="n">
        <v>29403.67</v>
      </c>
      <c r="I420" s="11" t="n">
        <v>1085289</v>
      </c>
      <c r="J420" s="11" t="n">
        <v>29117</v>
      </c>
      <c r="K420" s="11" t="n">
        <v>472</v>
      </c>
      <c r="L420" s="11" t="n">
        <v>600601.76</v>
      </c>
    </row>
    <row r="421" customFormat="false" ht="15" hidden="false" customHeight="true" outlineLevel="0" collapsed="false">
      <c r="A421" s="11" t="n">
        <v>1218</v>
      </c>
      <c r="B421" s="11" t="s">
        <v>76</v>
      </c>
      <c r="C421" s="11" t="s">
        <v>92</v>
      </c>
      <c r="D421" s="11" t="s">
        <v>208</v>
      </c>
      <c r="E421" s="11" t="s">
        <v>737</v>
      </c>
      <c r="F421" s="11" t="s">
        <v>53</v>
      </c>
      <c r="G421" s="11" t="s">
        <v>57</v>
      </c>
      <c r="H421" s="11" t="n">
        <v>2375.02</v>
      </c>
      <c r="I421" s="11" t="n">
        <v>79179</v>
      </c>
      <c r="J421" s="11" t="n">
        <v>1884</v>
      </c>
      <c r="K421" s="11" t="n">
        <v>114</v>
      </c>
      <c r="L421" s="11" t="n">
        <v>187364.99</v>
      </c>
    </row>
    <row r="422" customFormat="false" ht="15" hidden="false" customHeight="true" outlineLevel="0" collapsed="false">
      <c r="A422" s="11" t="n">
        <v>1755</v>
      </c>
      <c r="B422" s="11" t="s">
        <v>46</v>
      </c>
      <c r="C422" s="11" t="s">
        <v>210</v>
      </c>
      <c r="D422" s="11" t="s">
        <v>681</v>
      </c>
      <c r="E422" s="11" t="s">
        <v>220</v>
      </c>
      <c r="F422" s="11" t="s">
        <v>51</v>
      </c>
      <c r="G422" s="11" t="s">
        <v>61</v>
      </c>
      <c r="H422" s="11" t="n">
        <v>17318.55</v>
      </c>
      <c r="I422" s="11" t="n">
        <v>288498</v>
      </c>
      <c r="J422" s="11" t="n">
        <v>2176</v>
      </c>
      <c r="K422" s="11" t="n">
        <v>157</v>
      </c>
      <c r="L422" s="11" t="n">
        <v>88087.6</v>
      </c>
    </row>
    <row r="423" customFormat="false" ht="15" hidden="false" customHeight="true" outlineLevel="0" collapsed="false">
      <c r="A423" s="11" t="n">
        <v>1818</v>
      </c>
      <c r="B423" s="11" t="s">
        <v>79</v>
      </c>
      <c r="C423" s="11" t="s">
        <v>63</v>
      </c>
      <c r="D423" s="11" t="s">
        <v>738</v>
      </c>
      <c r="E423" s="11" t="s">
        <v>739</v>
      </c>
      <c r="F423" s="11" t="s">
        <v>53</v>
      </c>
      <c r="G423" s="11" t="s">
        <v>183</v>
      </c>
      <c r="H423" s="11" t="n">
        <v>38428.16</v>
      </c>
      <c r="I423" s="11" t="n">
        <v>1088999</v>
      </c>
      <c r="J423" s="11" t="n">
        <v>33448</v>
      </c>
      <c r="K423" s="11" t="n">
        <v>1645</v>
      </c>
      <c r="L423" s="11" t="n">
        <v>1516986.47</v>
      </c>
    </row>
    <row r="424" customFormat="false" ht="15" hidden="false" customHeight="true" outlineLevel="0" collapsed="false">
      <c r="A424" s="11" t="n">
        <v>1672</v>
      </c>
      <c r="B424" s="11" t="s">
        <v>78</v>
      </c>
      <c r="C424" s="11" t="s">
        <v>235</v>
      </c>
      <c r="D424" s="11" t="s">
        <v>669</v>
      </c>
      <c r="E424" s="11" t="s">
        <v>607</v>
      </c>
      <c r="F424" s="11" t="s">
        <v>56</v>
      </c>
      <c r="G424" s="11" t="s">
        <v>172</v>
      </c>
      <c r="H424" s="11" t="n">
        <v>25724.34</v>
      </c>
      <c r="I424" s="11" t="n">
        <v>452137</v>
      </c>
      <c r="J424" s="11" t="n">
        <v>15792</v>
      </c>
      <c r="K424" s="11" t="n">
        <v>824</v>
      </c>
      <c r="L424" s="11" t="n">
        <v>1004141.33</v>
      </c>
    </row>
    <row r="425" customFormat="false" ht="15" hidden="false" customHeight="true" outlineLevel="0" collapsed="false">
      <c r="A425" s="11" t="n">
        <v>1056</v>
      </c>
      <c r="B425" s="11" t="s">
        <v>73</v>
      </c>
      <c r="C425" s="11" t="s">
        <v>124</v>
      </c>
      <c r="D425" s="11" t="s">
        <v>551</v>
      </c>
      <c r="E425" s="11" t="s">
        <v>322</v>
      </c>
      <c r="F425" s="11" t="s">
        <v>56</v>
      </c>
      <c r="G425" s="11" t="s">
        <v>72</v>
      </c>
      <c r="H425" s="11" t="n">
        <v>51352.04</v>
      </c>
      <c r="I425" s="11" t="n">
        <v>1560655</v>
      </c>
      <c r="J425" s="11" t="n">
        <v>51769</v>
      </c>
      <c r="K425" s="11" t="n">
        <v>1531</v>
      </c>
      <c r="L425" s="11" t="n">
        <v>2068238.56</v>
      </c>
    </row>
    <row r="426" customFormat="false" ht="15" hidden="false" customHeight="true" outlineLevel="0" collapsed="false">
      <c r="A426" s="11" t="n">
        <v>1293</v>
      </c>
      <c r="B426" s="11" t="s">
        <v>144</v>
      </c>
      <c r="C426" s="11" t="s">
        <v>328</v>
      </c>
      <c r="D426" s="11" t="s">
        <v>740</v>
      </c>
      <c r="E426" s="11" t="s">
        <v>409</v>
      </c>
      <c r="F426" s="11" t="s">
        <v>48</v>
      </c>
      <c r="G426" s="11" t="s">
        <v>209</v>
      </c>
      <c r="H426" s="11" t="n">
        <v>7331.62</v>
      </c>
      <c r="I426" s="11" t="n">
        <v>197098</v>
      </c>
      <c r="J426" s="11" t="n">
        <v>3063</v>
      </c>
      <c r="K426" s="11" t="n">
        <v>129</v>
      </c>
      <c r="L426" s="11" t="n">
        <v>77098.43</v>
      </c>
    </row>
    <row r="427" customFormat="false" ht="15" hidden="false" customHeight="true" outlineLevel="0" collapsed="false">
      <c r="A427" s="11" t="n">
        <v>1224</v>
      </c>
      <c r="B427" s="11" t="s">
        <v>460</v>
      </c>
      <c r="C427" s="11" t="s">
        <v>47</v>
      </c>
      <c r="D427" s="11" t="s">
        <v>741</v>
      </c>
      <c r="E427" s="11" t="s">
        <v>742</v>
      </c>
      <c r="F427" s="11" t="s">
        <v>69</v>
      </c>
      <c r="G427" s="11" t="s">
        <v>137</v>
      </c>
      <c r="H427" s="11" t="n">
        <v>2164.39</v>
      </c>
      <c r="I427" s="11" t="n">
        <v>82379</v>
      </c>
      <c r="J427" s="11" t="n">
        <v>1688</v>
      </c>
      <c r="K427" s="11" t="n">
        <v>64</v>
      </c>
      <c r="L427" s="11" t="n">
        <v>112345.81</v>
      </c>
    </row>
    <row r="428" customFormat="false" ht="15" hidden="false" customHeight="true" outlineLevel="0" collapsed="false">
      <c r="A428" s="11" t="n">
        <v>1585</v>
      </c>
      <c r="B428" s="11" t="s">
        <v>55</v>
      </c>
      <c r="C428" s="11" t="s">
        <v>210</v>
      </c>
      <c r="D428" s="11" t="s">
        <v>621</v>
      </c>
      <c r="E428" s="11" t="s">
        <v>604</v>
      </c>
      <c r="F428" s="11" t="s">
        <v>53</v>
      </c>
      <c r="G428" s="11" t="s">
        <v>108</v>
      </c>
      <c r="H428" s="11" t="n">
        <v>34729.24</v>
      </c>
      <c r="I428" s="11" t="n">
        <v>1271526</v>
      </c>
      <c r="J428" s="11" t="n">
        <v>44239</v>
      </c>
      <c r="K428" s="11" t="n">
        <v>2708</v>
      </c>
      <c r="L428" s="11" t="n">
        <v>1405102.2</v>
      </c>
    </row>
    <row r="429" customFormat="false" ht="15" hidden="false" customHeight="true" outlineLevel="0" collapsed="false">
      <c r="A429" s="11" t="n">
        <v>1763</v>
      </c>
      <c r="B429" s="11" t="s">
        <v>144</v>
      </c>
      <c r="C429" s="11" t="s">
        <v>124</v>
      </c>
      <c r="D429" s="11" t="s">
        <v>354</v>
      </c>
      <c r="E429" s="11" t="s">
        <v>468</v>
      </c>
      <c r="F429" s="11" t="s">
        <v>65</v>
      </c>
      <c r="G429" s="11" t="s">
        <v>147</v>
      </c>
      <c r="H429" s="11" t="n">
        <v>20416.08</v>
      </c>
      <c r="I429" s="11" t="n">
        <v>463697</v>
      </c>
      <c r="J429" s="11" t="n">
        <v>10381</v>
      </c>
      <c r="K429" s="11" t="n">
        <v>539</v>
      </c>
      <c r="L429" s="11" t="n">
        <v>490877.96</v>
      </c>
    </row>
    <row r="430" customFormat="false" ht="15" hidden="false" customHeight="true" outlineLevel="0" collapsed="false">
      <c r="A430" s="11" t="n">
        <v>1261</v>
      </c>
      <c r="B430" s="11" t="s">
        <v>144</v>
      </c>
      <c r="C430" s="11" t="s">
        <v>328</v>
      </c>
      <c r="D430" s="11" t="s">
        <v>743</v>
      </c>
      <c r="E430" s="11" t="s">
        <v>744</v>
      </c>
      <c r="F430" s="11" t="s">
        <v>56</v>
      </c>
      <c r="G430" s="11" t="s">
        <v>72</v>
      </c>
      <c r="H430" s="11" t="n">
        <v>21648.85</v>
      </c>
      <c r="I430" s="11" t="n">
        <v>399642</v>
      </c>
      <c r="J430" s="11" t="n">
        <v>6399</v>
      </c>
      <c r="K430" s="11" t="n">
        <v>324</v>
      </c>
      <c r="L430" s="11" t="n">
        <v>222860.65</v>
      </c>
    </row>
    <row r="431" customFormat="false" ht="15" hidden="false" customHeight="true" outlineLevel="0" collapsed="false">
      <c r="A431" s="11" t="n">
        <v>1516</v>
      </c>
      <c r="B431" s="11" t="s">
        <v>52</v>
      </c>
      <c r="C431" s="11" t="s">
        <v>141</v>
      </c>
      <c r="D431" s="11" t="s">
        <v>745</v>
      </c>
      <c r="E431" s="11" t="s">
        <v>333</v>
      </c>
      <c r="F431" s="11" t="s">
        <v>48</v>
      </c>
      <c r="G431" s="11" t="s">
        <v>57</v>
      </c>
      <c r="H431" s="11" t="n">
        <v>4514.6</v>
      </c>
      <c r="I431" s="11" t="n">
        <v>165658</v>
      </c>
      <c r="J431" s="11" t="n">
        <v>4303</v>
      </c>
      <c r="K431" s="11" t="n">
        <v>238</v>
      </c>
      <c r="L431" s="11" t="n">
        <v>240664.73</v>
      </c>
    </row>
    <row r="432" customFormat="false" ht="15" hidden="false" customHeight="true" outlineLevel="0" collapsed="false">
      <c r="A432" s="11" t="n">
        <v>1451</v>
      </c>
      <c r="B432" s="11" t="s">
        <v>62</v>
      </c>
      <c r="C432" s="11" t="s">
        <v>192</v>
      </c>
      <c r="D432" s="11" t="s">
        <v>302</v>
      </c>
      <c r="E432" s="11" t="s">
        <v>746</v>
      </c>
      <c r="F432" s="11" t="s">
        <v>60</v>
      </c>
      <c r="G432" s="11" t="s">
        <v>238</v>
      </c>
      <c r="H432" s="11" t="n">
        <v>23189.66</v>
      </c>
      <c r="I432" s="11" t="n">
        <v>716811</v>
      </c>
      <c r="J432" s="11" t="n">
        <v>5300</v>
      </c>
      <c r="K432" s="11" t="n">
        <v>84</v>
      </c>
      <c r="L432" s="11" t="n">
        <v>44586.22</v>
      </c>
    </row>
    <row r="433" customFormat="false" ht="15" hidden="false" customHeight="true" outlineLevel="0" collapsed="false">
      <c r="A433" s="11" t="n">
        <v>1779</v>
      </c>
      <c r="B433" s="11" t="s">
        <v>62</v>
      </c>
      <c r="C433" s="11" t="s">
        <v>115</v>
      </c>
      <c r="D433" s="11" t="s">
        <v>552</v>
      </c>
      <c r="E433" s="11" t="s">
        <v>747</v>
      </c>
      <c r="F433" s="11" t="s">
        <v>65</v>
      </c>
      <c r="G433" s="11" t="s">
        <v>99</v>
      </c>
      <c r="H433" s="11" t="n">
        <v>43837.72</v>
      </c>
      <c r="I433" s="11" t="n">
        <v>1017203</v>
      </c>
      <c r="J433" s="11" t="n">
        <v>20613</v>
      </c>
      <c r="K433" s="11" t="n">
        <v>925</v>
      </c>
      <c r="L433" s="11" t="n">
        <v>1295186.24</v>
      </c>
    </row>
    <row r="434" customFormat="false" ht="15" hidden="false" customHeight="true" outlineLevel="0" collapsed="false">
      <c r="A434" s="11" t="n">
        <v>1621</v>
      </c>
      <c r="B434" s="11" t="s">
        <v>64</v>
      </c>
      <c r="C434" s="11" t="s">
        <v>92</v>
      </c>
      <c r="D434" s="11" t="s">
        <v>748</v>
      </c>
      <c r="E434" s="11" t="s">
        <v>749</v>
      </c>
      <c r="F434" s="11" t="s">
        <v>51</v>
      </c>
      <c r="G434" s="11" t="s">
        <v>72</v>
      </c>
      <c r="H434" s="11" t="n">
        <v>5984.16</v>
      </c>
      <c r="I434" s="11" t="n">
        <v>216053</v>
      </c>
      <c r="J434" s="11" t="n">
        <v>7378</v>
      </c>
      <c r="K434" s="11" t="n">
        <v>131</v>
      </c>
      <c r="L434" s="11" t="n">
        <v>79820.58</v>
      </c>
    </row>
    <row r="435" customFormat="false" ht="15" hidden="false" customHeight="true" outlineLevel="0" collapsed="false">
      <c r="A435" s="11" t="n">
        <v>1728</v>
      </c>
      <c r="B435" s="11" t="s">
        <v>76</v>
      </c>
      <c r="C435" s="11" t="s">
        <v>115</v>
      </c>
      <c r="D435" s="11" t="s">
        <v>750</v>
      </c>
      <c r="E435" s="11" t="s">
        <v>751</v>
      </c>
      <c r="F435" s="11" t="s">
        <v>60</v>
      </c>
      <c r="G435" s="11"/>
      <c r="H435" s="11" t="n">
        <v>22459.89</v>
      </c>
      <c r="I435" s="11" t="n">
        <v>681142</v>
      </c>
      <c r="J435" s="11" t="n">
        <v>18946</v>
      </c>
      <c r="K435" s="11" t="n">
        <v>1043</v>
      </c>
      <c r="L435" s="11" t="n">
        <v>855072.82</v>
      </c>
    </row>
    <row r="436" customFormat="false" ht="15" hidden="false" customHeight="true" outlineLevel="0" collapsed="false">
      <c r="A436" s="11" t="n">
        <v>1583</v>
      </c>
      <c r="B436" s="11" t="s">
        <v>52</v>
      </c>
      <c r="C436" s="11" t="s">
        <v>96</v>
      </c>
      <c r="D436" s="11" t="s">
        <v>752</v>
      </c>
      <c r="E436" s="11" t="s">
        <v>753</v>
      </c>
      <c r="F436" s="11" t="s">
        <v>65</v>
      </c>
      <c r="G436" s="11" t="s">
        <v>61</v>
      </c>
      <c r="H436" s="11" t="n">
        <v>5025.96</v>
      </c>
      <c r="I436" s="11" t="n">
        <v>152723</v>
      </c>
      <c r="J436" s="11" t="n">
        <v>1219</v>
      </c>
      <c r="K436" s="11" t="n">
        <v>36</v>
      </c>
      <c r="L436" s="11" t="n">
        <v>18788.37</v>
      </c>
    </row>
    <row r="437" customFormat="false" ht="15" hidden="false" customHeight="true" outlineLevel="0" collapsed="false">
      <c r="A437" s="11" t="n">
        <v>1697</v>
      </c>
      <c r="B437" s="11" t="s">
        <v>68</v>
      </c>
      <c r="C437" s="11" t="s">
        <v>96</v>
      </c>
      <c r="D437" s="11" t="s">
        <v>650</v>
      </c>
      <c r="E437" s="11" t="s">
        <v>571</v>
      </c>
      <c r="F437" s="11" t="s">
        <v>60</v>
      </c>
      <c r="G437" s="11" t="s">
        <v>72</v>
      </c>
      <c r="H437" s="11" t="n">
        <v>6925.18</v>
      </c>
      <c r="I437" s="11" t="n">
        <v>138640</v>
      </c>
      <c r="J437" s="11" t="n">
        <v>2848</v>
      </c>
      <c r="K437" s="11" t="n">
        <v>35</v>
      </c>
      <c r="L437" s="11" t="n">
        <v>36550.1</v>
      </c>
    </row>
    <row r="438" customFormat="false" ht="15" hidden="false" customHeight="true" outlineLevel="0" collapsed="false">
      <c r="A438" s="11" t="n">
        <v>1394</v>
      </c>
      <c r="B438" s="11" t="s">
        <v>76</v>
      </c>
      <c r="C438" s="11" t="s">
        <v>59</v>
      </c>
      <c r="D438" s="11" t="s">
        <v>684</v>
      </c>
      <c r="E438" s="11" t="s">
        <v>320</v>
      </c>
      <c r="F438" s="11" t="s">
        <v>65</v>
      </c>
      <c r="G438" s="11" t="s">
        <v>99</v>
      </c>
      <c r="H438" s="11" t="n">
        <v>65019.18</v>
      </c>
      <c r="I438" s="11" t="n">
        <v>2300182</v>
      </c>
      <c r="J438" s="11" t="n">
        <v>51024</v>
      </c>
      <c r="K438" s="11" t="n">
        <v>1010</v>
      </c>
      <c r="L438" s="11" t="n">
        <v>906591.45</v>
      </c>
    </row>
    <row r="439" customFormat="false" ht="15" hidden="false" customHeight="true" outlineLevel="0" collapsed="false">
      <c r="A439" s="11" t="n">
        <v>1090</v>
      </c>
      <c r="B439" s="11" t="s">
        <v>402</v>
      </c>
      <c r="C439" s="11" t="s">
        <v>149</v>
      </c>
      <c r="D439" s="11" t="s">
        <v>754</v>
      </c>
      <c r="E439" s="11" t="s">
        <v>755</v>
      </c>
      <c r="F439" s="11" t="s">
        <v>56</v>
      </c>
      <c r="G439" s="11" t="s">
        <v>91</v>
      </c>
      <c r="H439" s="11" t="n">
        <v>15920.69</v>
      </c>
      <c r="I439" s="11" t="n">
        <v>615924</v>
      </c>
      <c r="J439" s="11" t="n">
        <v>12667</v>
      </c>
      <c r="K439" s="11" t="n">
        <v>378</v>
      </c>
      <c r="L439" s="11" t="n">
        <v>175523.11</v>
      </c>
    </row>
    <row r="440" customFormat="false" ht="15" hidden="false" customHeight="true" outlineLevel="0" collapsed="false">
      <c r="A440" s="11" t="n">
        <v>1052</v>
      </c>
      <c r="B440" s="11" t="s">
        <v>55</v>
      </c>
      <c r="C440" s="11" t="s">
        <v>134</v>
      </c>
      <c r="D440" s="11" t="s">
        <v>756</v>
      </c>
      <c r="E440" s="11" t="s">
        <v>757</v>
      </c>
      <c r="F440" s="11" t="s">
        <v>48</v>
      </c>
      <c r="G440" s="11" t="s">
        <v>175</v>
      </c>
      <c r="H440" s="11" t="n">
        <v>40286.34</v>
      </c>
      <c r="I440" s="11" t="n">
        <v>1286911</v>
      </c>
      <c r="J440" s="11" t="n">
        <v>34267</v>
      </c>
      <c r="K440" s="11" t="n">
        <v>1923</v>
      </c>
      <c r="L440" s="11" t="n">
        <v>3010627.3</v>
      </c>
    </row>
    <row r="441" customFormat="false" ht="15" hidden="false" customHeight="true" outlineLevel="0" collapsed="false">
      <c r="A441" s="11" t="n">
        <v>1109</v>
      </c>
      <c r="B441" s="11" t="s">
        <v>218</v>
      </c>
      <c r="C441" s="11" t="s">
        <v>210</v>
      </c>
      <c r="D441" s="11" t="s">
        <v>758</v>
      </c>
      <c r="E441" s="11" t="s">
        <v>564</v>
      </c>
      <c r="F441" s="11" t="s">
        <v>51</v>
      </c>
      <c r="G441" s="11" t="s">
        <v>84</v>
      </c>
      <c r="H441" s="11" t="n">
        <v>44696.15</v>
      </c>
      <c r="I441" s="11" t="n">
        <v>1582750</v>
      </c>
      <c r="J441" s="11" t="n">
        <v>43326</v>
      </c>
      <c r="K441" s="11" t="n">
        <v>2187</v>
      </c>
      <c r="L441" s="11" t="n">
        <v>909070.76</v>
      </c>
    </row>
    <row r="442" customFormat="false" ht="15" hidden="false" customHeight="true" outlineLevel="0" collapsed="false">
      <c r="A442" s="11" t="n">
        <v>1501</v>
      </c>
      <c r="B442" s="11" t="s">
        <v>55</v>
      </c>
      <c r="C442" s="11" t="s">
        <v>105</v>
      </c>
      <c r="D442" s="11" t="s">
        <v>759</v>
      </c>
      <c r="E442" s="11" t="s">
        <v>760</v>
      </c>
      <c r="F442" s="11" t="s">
        <v>69</v>
      </c>
      <c r="G442" s="11" t="s">
        <v>209</v>
      </c>
      <c r="H442" s="11" t="n">
        <v>8640.04</v>
      </c>
      <c r="I442" s="11" t="n">
        <v>268371</v>
      </c>
      <c r="J442" s="11" t="n">
        <v>6206</v>
      </c>
      <c r="K442" s="11" t="n">
        <v>137</v>
      </c>
      <c r="L442" s="11" t="n">
        <v>79803.29</v>
      </c>
    </row>
    <row r="443" customFormat="false" ht="15" hidden="false" customHeight="true" outlineLevel="0" collapsed="false">
      <c r="A443" s="11" t="n">
        <v>1165</v>
      </c>
      <c r="B443" s="11" t="s">
        <v>523</v>
      </c>
      <c r="C443" s="11" t="s">
        <v>85</v>
      </c>
      <c r="D443" s="11" t="s">
        <v>761</v>
      </c>
      <c r="E443" s="11" t="s">
        <v>232</v>
      </c>
      <c r="F443" s="11" t="s">
        <v>51</v>
      </c>
      <c r="G443" s="11"/>
      <c r="H443" s="11" t="n">
        <v>24102.51</v>
      </c>
      <c r="I443" s="11" t="n">
        <v>440165</v>
      </c>
      <c r="J443" s="11" t="n">
        <v>11667</v>
      </c>
      <c r="K443" s="11" t="n">
        <v>867</v>
      </c>
      <c r="L443" s="11" t="n">
        <v>1364841.74</v>
      </c>
    </row>
    <row r="444" customFormat="false" ht="15" hidden="false" customHeight="true" outlineLevel="0" collapsed="false">
      <c r="A444" s="11" t="n">
        <v>1038</v>
      </c>
      <c r="B444" s="11" t="s">
        <v>385</v>
      </c>
      <c r="C444" s="11" t="s">
        <v>47</v>
      </c>
      <c r="D444" s="11" t="s">
        <v>478</v>
      </c>
      <c r="E444" s="11" t="s">
        <v>762</v>
      </c>
      <c r="F444" s="11" t="s">
        <v>53</v>
      </c>
      <c r="G444" s="11" t="s">
        <v>61</v>
      </c>
      <c r="H444" s="11" t="n">
        <v>6351.1</v>
      </c>
      <c r="I444" s="11" t="n">
        <v>191536</v>
      </c>
      <c r="J444" s="11" t="n">
        <v>5501</v>
      </c>
      <c r="K444" s="11" t="n">
        <v>141</v>
      </c>
      <c r="L444" s="11" t="n">
        <v>156189.95</v>
      </c>
    </row>
    <row r="445" customFormat="false" ht="15" hidden="false" customHeight="true" outlineLevel="0" collapsed="false">
      <c r="A445" s="11" t="n">
        <v>1751</v>
      </c>
      <c r="B445" s="11" t="s">
        <v>68</v>
      </c>
      <c r="C445" s="11" t="s">
        <v>92</v>
      </c>
      <c r="D445" s="11" t="s">
        <v>588</v>
      </c>
      <c r="E445" s="11" t="s">
        <v>763</v>
      </c>
      <c r="F445" s="11" t="s">
        <v>53</v>
      </c>
      <c r="G445" s="11"/>
      <c r="H445" s="11" t="n">
        <v>2375.62</v>
      </c>
      <c r="I445" s="11" t="n">
        <v>74823</v>
      </c>
      <c r="J445" s="11" t="n">
        <v>1599</v>
      </c>
      <c r="K445" s="11" t="n">
        <v>78</v>
      </c>
      <c r="L445" s="11" t="n">
        <v>81348.2</v>
      </c>
    </row>
    <row r="446" customFormat="false" ht="15" hidden="false" customHeight="true" outlineLevel="0" collapsed="false">
      <c r="A446" s="11" t="n">
        <v>1351</v>
      </c>
      <c r="B446" s="11" t="s">
        <v>109</v>
      </c>
      <c r="C446" s="11" t="s">
        <v>149</v>
      </c>
      <c r="D446" s="11" t="s">
        <v>374</v>
      </c>
      <c r="E446" s="11" t="s">
        <v>729</v>
      </c>
      <c r="F446" s="11" t="s">
        <v>51</v>
      </c>
      <c r="G446" s="11" t="s">
        <v>49</v>
      </c>
      <c r="H446" s="11" t="n">
        <v>31177.25</v>
      </c>
      <c r="I446" s="11" t="n">
        <v>838598</v>
      </c>
      <c r="J446" s="11" t="n">
        <v>25686</v>
      </c>
      <c r="K446" s="11" t="n">
        <v>1167</v>
      </c>
      <c r="L446" s="11" t="n">
        <v>1070731.82</v>
      </c>
    </row>
    <row r="447" customFormat="false" ht="15" hidden="false" customHeight="true" outlineLevel="0" collapsed="false">
      <c r="A447" s="11" t="n">
        <v>1534</v>
      </c>
      <c r="B447" s="11" t="s">
        <v>55</v>
      </c>
      <c r="C447" s="11" t="s">
        <v>96</v>
      </c>
      <c r="D447" s="11" t="s">
        <v>764</v>
      </c>
      <c r="E447" s="11" t="s">
        <v>198</v>
      </c>
      <c r="F447" s="11" t="s">
        <v>56</v>
      </c>
      <c r="G447" s="11" t="s">
        <v>49</v>
      </c>
      <c r="H447" s="11" t="n">
        <v>4127.46</v>
      </c>
      <c r="I447" s="11" t="n">
        <v>74539</v>
      </c>
      <c r="J447" s="11" t="n">
        <v>1552</v>
      </c>
      <c r="K447" s="11" t="n">
        <v>78</v>
      </c>
      <c r="L447" s="11" t="n">
        <v>102089.52</v>
      </c>
    </row>
    <row r="448" customFormat="false" ht="15" hidden="false" customHeight="true" outlineLevel="0" collapsed="false">
      <c r="A448" s="11" t="n">
        <v>1198</v>
      </c>
      <c r="B448" s="11" t="s">
        <v>349</v>
      </c>
      <c r="C448" s="11" t="s">
        <v>100</v>
      </c>
      <c r="D448" s="11" t="s">
        <v>579</v>
      </c>
      <c r="E448" s="11" t="s">
        <v>765</v>
      </c>
      <c r="F448" s="11" t="s">
        <v>56</v>
      </c>
      <c r="G448" s="11" t="s">
        <v>183</v>
      </c>
      <c r="H448" s="11" t="n">
        <v>39047.54</v>
      </c>
      <c r="I448" s="11" t="n">
        <v>908728</v>
      </c>
      <c r="J448" s="11" t="n">
        <v>12126</v>
      </c>
      <c r="K448" s="11" t="n">
        <v>551</v>
      </c>
      <c r="L448" s="11" t="n">
        <v>632668.44</v>
      </c>
    </row>
    <row r="449" customFormat="false" ht="15" hidden="false" customHeight="true" outlineLevel="0" collapsed="false">
      <c r="A449" s="11" t="n">
        <v>1551</v>
      </c>
      <c r="B449" s="11" t="s">
        <v>55</v>
      </c>
      <c r="C449" s="11" t="s">
        <v>59</v>
      </c>
      <c r="D449" s="11" t="s">
        <v>766</v>
      </c>
      <c r="E449" s="11" t="s">
        <v>684</v>
      </c>
      <c r="F449" s="11" t="s">
        <v>56</v>
      </c>
      <c r="G449" s="11" t="s">
        <v>95</v>
      </c>
      <c r="H449" s="11" t="n">
        <v>68935.65</v>
      </c>
      <c r="I449" s="11" t="n">
        <v>2648044</v>
      </c>
      <c r="J449" s="11" t="n">
        <v>77239</v>
      </c>
      <c r="K449" s="11" t="n">
        <v>4144</v>
      </c>
      <c r="L449" s="11" t="n">
        <v>2656365.4</v>
      </c>
    </row>
    <row r="450" customFormat="false" ht="15" hidden="false" customHeight="true" outlineLevel="0" collapsed="false">
      <c r="A450" s="11" t="n">
        <v>1391</v>
      </c>
      <c r="B450" s="11" t="s">
        <v>64</v>
      </c>
      <c r="C450" s="11" t="s">
        <v>155</v>
      </c>
      <c r="D450" s="11" t="s">
        <v>161</v>
      </c>
      <c r="E450" s="11" t="s">
        <v>162</v>
      </c>
      <c r="F450" s="11" t="s">
        <v>48</v>
      </c>
      <c r="G450" s="11" t="s">
        <v>112</v>
      </c>
      <c r="H450" s="11" t="n">
        <v>82515.64</v>
      </c>
      <c r="I450" s="11" t="n">
        <v>2496925</v>
      </c>
      <c r="J450" s="11" t="n">
        <v>23485</v>
      </c>
      <c r="K450" s="11" t="n">
        <v>898</v>
      </c>
      <c r="L450" s="11" t="n">
        <v>1152695.3</v>
      </c>
    </row>
    <row r="451" customFormat="false" ht="15" hidden="false" customHeight="true" outlineLevel="0" collapsed="false">
      <c r="A451" s="11" t="n">
        <v>1447</v>
      </c>
      <c r="B451" s="11" t="s">
        <v>73</v>
      </c>
      <c r="C451" s="11" t="s">
        <v>121</v>
      </c>
      <c r="D451" s="11" t="s">
        <v>767</v>
      </c>
      <c r="E451" s="11" t="s">
        <v>284</v>
      </c>
      <c r="F451" s="11" t="s">
        <v>48</v>
      </c>
      <c r="G451" s="11" t="s">
        <v>108</v>
      </c>
      <c r="H451" s="11" t="n">
        <v>41018.95</v>
      </c>
      <c r="I451" s="11" t="n">
        <v>992843</v>
      </c>
      <c r="J451" s="11" t="n">
        <v>6682</v>
      </c>
      <c r="K451" s="11" t="n">
        <v>247</v>
      </c>
      <c r="L451" s="11" t="n">
        <v>238320.05</v>
      </c>
    </row>
    <row r="452" customFormat="false" ht="15" hidden="false" customHeight="true" outlineLevel="0" collapsed="false">
      <c r="A452" s="11" t="n">
        <v>1419</v>
      </c>
      <c r="B452" s="11" t="s">
        <v>79</v>
      </c>
      <c r="C452" s="11" t="s">
        <v>81</v>
      </c>
      <c r="D452" s="11" t="s">
        <v>768</v>
      </c>
      <c r="E452" s="11" t="s">
        <v>769</v>
      </c>
      <c r="F452" s="11" t="s">
        <v>56</v>
      </c>
      <c r="G452" s="11" t="s">
        <v>209</v>
      </c>
      <c r="H452" s="11" t="n">
        <v>1516.12</v>
      </c>
      <c r="I452" s="11" t="n">
        <v>23879</v>
      </c>
      <c r="J452" s="11" t="n">
        <v>201</v>
      </c>
      <c r="K452" s="11" t="n">
        <v>6</v>
      </c>
      <c r="L452" s="11" t="n">
        <v>3791.31</v>
      </c>
    </row>
    <row r="453" customFormat="false" ht="15" hidden="false" customHeight="true" outlineLevel="0" collapsed="false">
      <c r="A453" s="11" t="n">
        <v>1778</v>
      </c>
      <c r="B453" s="11" t="s">
        <v>73</v>
      </c>
      <c r="C453" s="11" t="s">
        <v>149</v>
      </c>
      <c r="D453" s="11" t="s">
        <v>770</v>
      </c>
      <c r="E453" s="11" t="s">
        <v>340</v>
      </c>
      <c r="F453" s="11" t="s">
        <v>51</v>
      </c>
      <c r="G453" s="11" t="s">
        <v>49</v>
      </c>
      <c r="H453" s="11" t="n">
        <v>49096.16</v>
      </c>
      <c r="I453" s="11" t="n">
        <v>1780464</v>
      </c>
      <c r="J453" s="11" t="n">
        <v>59948</v>
      </c>
      <c r="K453" s="11" t="n">
        <v>1682</v>
      </c>
      <c r="L453" s="11" t="n">
        <v>1950992.92</v>
      </c>
    </row>
    <row r="454" customFormat="false" ht="15" hidden="false" customHeight="true" outlineLevel="0" collapsed="false">
      <c r="A454" s="11" t="n">
        <v>1312</v>
      </c>
      <c r="B454" s="11" t="s">
        <v>52</v>
      </c>
      <c r="C454" s="11" t="s">
        <v>71</v>
      </c>
      <c r="D454" s="11" t="s">
        <v>771</v>
      </c>
      <c r="E454" s="11" t="s">
        <v>772</v>
      </c>
      <c r="F454" s="11" t="s">
        <v>67</v>
      </c>
      <c r="G454" s="11" t="s">
        <v>172</v>
      </c>
      <c r="H454" s="11" t="n">
        <v>36832.72</v>
      </c>
      <c r="I454" s="11" t="n">
        <v>1443394</v>
      </c>
      <c r="J454" s="11" t="n">
        <v>35827</v>
      </c>
      <c r="K454" s="11" t="n">
        <v>1107</v>
      </c>
      <c r="L454" s="11" t="n">
        <v>1013626.6</v>
      </c>
    </row>
    <row r="455" customFormat="false" ht="15" hidden="false" customHeight="true" outlineLevel="0" collapsed="false">
      <c r="A455" s="11" t="n">
        <v>1453</v>
      </c>
      <c r="B455" s="11" t="s">
        <v>46</v>
      </c>
      <c r="C455" s="11" t="s">
        <v>235</v>
      </c>
      <c r="D455" s="11" t="s">
        <v>90</v>
      </c>
      <c r="E455" s="11" t="s">
        <v>694</v>
      </c>
      <c r="F455" s="11" t="s">
        <v>60</v>
      </c>
      <c r="G455" s="11" t="s">
        <v>238</v>
      </c>
      <c r="H455" s="11" t="n">
        <v>71115.42</v>
      </c>
      <c r="I455" s="11" t="n">
        <v>2500187</v>
      </c>
      <c r="J455" s="11" t="n">
        <v>12732</v>
      </c>
      <c r="K455" s="11" t="n">
        <v>903</v>
      </c>
      <c r="L455" s="11" t="n">
        <v>842157.77</v>
      </c>
    </row>
    <row r="456" customFormat="false" ht="15" hidden="false" customHeight="true" outlineLevel="0" collapsed="false">
      <c r="A456" s="11" t="n">
        <v>1587</v>
      </c>
      <c r="B456" s="11" t="s">
        <v>62</v>
      </c>
      <c r="C456" s="11" t="s">
        <v>124</v>
      </c>
      <c r="D456" s="11" t="s">
        <v>773</v>
      </c>
      <c r="E456" s="11" t="s">
        <v>381</v>
      </c>
      <c r="F456" s="11" t="s">
        <v>56</v>
      </c>
      <c r="G456" s="11" t="s">
        <v>137</v>
      </c>
      <c r="H456" s="11" t="n">
        <v>33829.77</v>
      </c>
      <c r="I456" s="11" t="n">
        <v>618908</v>
      </c>
      <c r="J456" s="11" t="n">
        <v>14880</v>
      </c>
      <c r="K456" s="11" t="n">
        <v>241</v>
      </c>
      <c r="L456" s="11" t="n">
        <v>264773.21</v>
      </c>
    </row>
    <row r="457" customFormat="false" ht="15" hidden="false" customHeight="true" outlineLevel="0" collapsed="false">
      <c r="A457" s="11" t="n">
        <v>1519</v>
      </c>
      <c r="B457" s="11" t="s">
        <v>52</v>
      </c>
      <c r="C457" s="11" t="s">
        <v>47</v>
      </c>
      <c r="D457" s="11" t="s">
        <v>323</v>
      </c>
      <c r="E457" s="11" t="s">
        <v>774</v>
      </c>
      <c r="F457" s="11" t="s">
        <v>48</v>
      </c>
      <c r="G457" s="11"/>
      <c r="H457" s="11"/>
      <c r="I457" s="11" t="n">
        <v>90413</v>
      </c>
      <c r="J457" s="11" t="n">
        <v>1285</v>
      </c>
      <c r="K457" s="11" t="n">
        <v>94</v>
      </c>
      <c r="L457" s="11" t="n">
        <v>156842.73</v>
      </c>
    </row>
    <row r="458" customFormat="false" ht="15" hidden="false" customHeight="true" outlineLevel="0" collapsed="false">
      <c r="A458" s="11" t="n">
        <v>1185</v>
      </c>
      <c r="B458" s="11" t="s">
        <v>46</v>
      </c>
      <c r="C458" s="11" t="s">
        <v>105</v>
      </c>
      <c r="D458" s="11" t="s">
        <v>775</v>
      </c>
      <c r="E458" s="11" t="s">
        <v>546</v>
      </c>
      <c r="F458" s="11" t="s">
        <v>56</v>
      </c>
      <c r="G458" s="11" t="s">
        <v>72</v>
      </c>
      <c r="H458" s="11" t="n">
        <v>10294.53</v>
      </c>
      <c r="I458" s="11" t="n">
        <v>187346</v>
      </c>
      <c r="J458" s="11" t="n">
        <v>2390</v>
      </c>
      <c r="K458" s="11" t="n">
        <v>159</v>
      </c>
      <c r="L458" s="11" t="n">
        <v>231540.8</v>
      </c>
    </row>
    <row r="459" customFormat="false" ht="15" hidden="false" customHeight="true" outlineLevel="0" collapsed="false">
      <c r="A459" s="11" t="n">
        <v>1596</v>
      </c>
      <c r="B459" s="11" t="s">
        <v>76</v>
      </c>
      <c r="C459" s="11" t="s">
        <v>96</v>
      </c>
      <c r="D459" s="11" t="s">
        <v>776</v>
      </c>
      <c r="E459" s="11" t="s">
        <v>739</v>
      </c>
      <c r="F459" s="11" t="s">
        <v>53</v>
      </c>
      <c r="G459" s="11" t="s">
        <v>175</v>
      </c>
      <c r="H459" s="11" t="n">
        <v>2453.77</v>
      </c>
      <c r="I459" s="11" t="n">
        <v>94598</v>
      </c>
      <c r="J459" s="11" t="n">
        <v>2157</v>
      </c>
      <c r="K459" s="11" t="n">
        <v>34</v>
      </c>
      <c r="L459" s="11" t="n">
        <v>31777.52</v>
      </c>
    </row>
    <row r="460" customFormat="false" ht="15" hidden="false" customHeight="true" outlineLevel="0" collapsed="false">
      <c r="A460" s="11" t="n">
        <v>1454</v>
      </c>
      <c r="B460" s="11" t="s">
        <v>184</v>
      </c>
      <c r="C460" s="11" t="s">
        <v>134</v>
      </c>
      <c r="D460" s="11" t="s">
        <v>777</v>
      </c>
      <c r="E460" s="11" t="s">
        <v>778</v>
      </c>
      <c r="F460" s="11" t="s">
        <v>51</v>
      </c>
      <c r="G460" s="11" t="s">
        <v>238</v>
      </c>
      <c r="H460" s="11" t="n">
        <v>17772.62</v>
      </c>
      <c r="I460" s="11" t="n">
        <v>704764</v>
      </c>
      <c r="J460" s="11" t="n">
        <v>23769</v>
      </c>
      <c r="K460" s="11" t="n">
        <v>1589</v>
      </c>
      <c r="L460" s="11" t="n">
        <v>594467.05</v>
      </c>
    </row>
    <row r="461" customFormat="false" ht="15" hidden="false" customHeight="true" outlineLevel="0" collapsed="false">
      <c r="A461" s="11" t="n">
        <v>1496</v>
      </c>
      <c r="B461" s="11" t="s">
        <v>144</v>
      </c>
      <c r="C461" s="11" t="s">
        <v>115</v>
      </c>
      <c r="D461" s="11" t="s">
        <v>277</v>
      </c>
      <c r="E461" s="11" t="s">
        <v>779</v>
      </c>
      <c r="F461" s="11" t="s">
        <v>67</v>
      </c>
      <c r="G461" s="11" t="s">
        <v>209</v>
      </c>
      <c r="H461" s="11" t="n">
        <v>70319.98</v>
      </c>
      <c r="I461" s="11" t="n">
        <v>2774210</v>
      </c>
      <c r="J461" s="11" t="n">
        <v>78603</v>
      </c>
      <c r="K461" s="11" t="n">
        <v>1592</v>
      </c>
      <c r="L461" s="11" t="n">
        <v>898335.77</v>
      </c>
    </row>
    <row r="462" customFormat="false" ht="15" hidden="false" customHeight="true" outlineLevel="0" collapsed="false">
      <c r="A462" s="11" t="n">
        <v>1029</v>
      </c>
      <c r="B462" s="11" t="s">
        <v>78</v>
      </c>
      <c r="C462" s="11" t="s">
        <v>100</v>
      </c>
      <c r="D462" s="11" t="s">
        <v>682</v>
      </c>
      <c r="E462" s="11" t="s">
        <v>568</v>
      </c>
      <c r="F462" s="11" t="s">
        <v>56</v>
      </c>
      <c r="G462" s="11" t="s">
        <v>54</v>
      </c>
      <c r="H462" s="11" t="n">
        <v>34511.72</v>
      </c>
      <c r="I462" s="11" t="n">
        <v>800113</v>
      </c>
      <c r="J462" s="11" t="n">
        <v>14914</v>
      </c>
      <c r="K462" s="11" t="n">
        <v>501</v>
      </c>
      <c r="L462" s="11" t="n">
        <v>814364.47</v>
      </c>
    </row>
    <row r="463" customFormat="false" ht="15" hidden="false" customHeight="true" outlineLevel="0" collapsed="false">
      <c r="A463" s="11" t="n">
        <v>1448</v>
      </c>
      <c r="B463" s="11" t="s">
        <v>55</v>
      </c>
      <c r="C463" s="11" t="s">
        <v>50</v>
      </c>
      <c r="D463" s="11" t="s">
        <v>780</v>
      </c>
      <c r="E463" s="11" t="s">
        <v>371</v>
      </c>
      <c r="F463" s="11" t="s">
        <v>56</v>
      </c>
      <c r="G463" s="11" t="s">
        <v>183</v>
      </c>
      <c r="H463" s="11" t="n">
        <v>50483.93</v>
      </c>
      <c r="I463" s="11" t="n">
        <v>1593531</v>
      </c>
      <c r="J463" s="11" t="n">
        <v>15684</v>
      </c>
      <c r="K463" s="11" t="n">
        <v>284</v>
      </c>
      <c r="L463" s="11" t="n">
        <v>137411.53</v>
      </c>
    </row>
    <row r="464" customFormat="false" ht="15" hidden="false" customHeight="true" outlineLevel="0" collapsed="false">
      <c r="A464" s="11" t="n">
        <v>1099</v>
      </c>
      <c r="B464" s="11" t="s">
        <v>78</v>
      </c>
      <c r="C464" s="11" t="s">
        <v>124</v>
      </c>
      <c r="D464" s="11" t="s">
        <v>781</v>
      </c>
      <c r="E464" s="11" t="s">
        <v>782</v>
      </c>
      <c r="F464" s="11" t="s">
        <v>51</v>
      </c>
      <c r="G464" s="11" t="s">
        <v>95</v>
      </c>
      <c r="H464" s="11" t="n">
        <v>34971.53</v>
      </c>
      <c r="I464" s="11" t="n">
        <v>1014949</v>
      </c>
      <c r="J464" s="11" t="n">
        <v>35466</v>
      </c>
      <c r="K464" s="11" t="n">
        <v>1542</v>
      </c>
      <c r="L464" s="11" t="n">
        <v>1382242.52</v>
      </c>
    </row>
    <row r="465" customFormat="false" ht="15" hidden="false" customHeight="true" outlineLevel="0" collapsed="false">
      <c r="A465" s="11" t="n">
        <v>1491</v>
      </c>
      <c r="B465" s="11" t="s">
        <v>79</v>
      </c>
      <c r="C465" s="11" t="s">
        <v>149</v>
      </c>
      <c r="D465" s="11" t="s">
        <v>427</v>
      </c>
      <c r="E465" s="11" t="s">
        <v>403</v>
      </c>
      <c r="F465" s="11" t="s">
        <v>56</v>
      </c>
      <c r="G465" s="11" t="s">
        <v>103</v>
      </c>
      <c r="H465" s="11" t="n">
        <v>14309.84</v>
      </c>
      <c r="I465" s="11" t="n">
        <v>390128</v>
      </c>
      <c r="J465" s="11" t="n">
        <v>10488</v>
      </c>
      <c r="K465" s="11" t="n">
        <v>580</v>
      </c>
      <c r="L465" s="11" t="n">
        <v>220700.78</v>
      </c>
    </row>
    <row r="466" customFormat="false" ht="15" hidden="false" customHeight="true" outlineLevel="0" collapsed="false">
      <c r="A466" s="11" t="n">
        <v>1010</v>
      </c>
      <c r="B466" s="11" t="s">
        <v>68</v>
      </c>
      <c r="C466" s="11" t="s">
        <v>50</v>
      </c>
      <c r="D466" s="11" t="s">
        <v>633</v>
      </c>
      <c r="E466" s="11" t="s">
        <v>766</v>
      </c>
      <c r="F466" s="11" t="s">
        <v>51</v>
      </c>
      <c r="G466" s="11" t="s">
        <v>61</v>
      </c>
      <c r="H466" s="11" t="n">
        <v>66524.79</v>
      </c>
      <c r="I466" s="11" t="n">
        <v>1314546</v>
      </c>
      <c r="J466" s="11" t="n">
        <v>10395</v>
      </c>
      <c r="K466" s="11" t="n">
        <v>417</v>
      </c>
      <c r="L466" s="11" t="n">
        <v>402066.81</v>
      </c>
    </row>
    <row r="467" customFormat="false" ht="15" hidden="false" customHeight="true" outlineLevel="0" collapsed="false">
      <c r="A467" s="11" t="n">
        <v>1434</v>
      </c>
      <c r="B467" s="11" t="s">
        <v>64</v>
      </c>
      <c r="C467" s="11" t="s">
        <v>149</v>
      </c>
      <c r="D467" s="11" t="s">
        <v>672</v>
      </c>
      <c r="E467" s="11" t="s">
        <v>369</v>
      </c>
      <c r="F467" s="11" t="s">
        <v>48</v>
      </c>
      <c r="G467" s="11" t="s">
        <v>72</v>
      </c>
      <c r="H467" s="11" t="n">
        <v>17121.73</v>
      </c>
      <c r="I467" s="11" t="n">
        <v>473443</v>
      </c>
      <c r="J467" s="11" t="n">
        <v>8931</v>
      </c>
      <c r="K467" s="11" t="n">
        <v>135</v>
      </c>
      <c r="L467" s="11" t="n">
        <v>183195.58</v>
      </c>
    </row>
    <row r="468" customFormat="false" ht="15" hidden="false" customHeight="true" outlineLevel="0" collapsed="false">
      <c r="A468" s="11" t="n">
        <v>1656</v>
      </c>
      <c r="B468" s="11" t="s">
        <v>73</v>
      </c>
      <c r="C468" s="11" t="s">
        <v>235</v>
      </c>
      <c r="D468" s="11" t="s">
        <v>324</v>
      </c>
      <c r="E468" s="11" t="s">
        <v>306</v>
      </c>
      <c r="F468" s="11" t="s">
        <v>67</v>
      </c>
      <c r="G468" s="11" t="s">
        <v>175</v>
      </c>
      <c r="H468" s="11" t="n">
        <v>11910.75</v>
      </c>
      <c r="I468" s="11" t="n">
        <v>439994</v>
      </c>
      <c r="J468" s="11" t="n">
        <v>14665</v>
      </c>
      <c r="K468" s="11" t="n">
        <v>273</v>
      </c>
      <c r="L468" s="11"/>
    </row>
    <row r="469" customFormat="false" ht="15" hidden="false" customHeight="true" outlineLevel="0" collapsed="false">
      <c r="A469" s="11" t="n">
        <v>1540</v>
      </c>
      <c r="B469" s="11" t="s">
        <v>46</v>
      </c>
      <c r="C469" s="11" t="s">
        <v>138</v>
      </c>
      <c r="D469" s="11" t="s">
        <v>287</v>
      </c>
      <c r="E469" s="11" t="s">
        <v>569</v>
      </c>
      <c r="F469" s="11" t="s">
        <v>51</v>
      </c>
      <c r="G469" s="11" t="s">
        <v>54</v>
      </c>
      <c r="H469" s="11" t="n">
        <v>13490.23</v>
      </c>
      <c r="I469" s="11" t="n">
        <v>432173</v>
      </c>
      <c r="J469" s="11" t="n">
        <v>4321</v>
      </c>
      <c r="K469" s="11" t="n">
        <v>143</v>
      </c>
      <c r="L469" s="11" t="n">
        <v>144439.1</v>
      </c>
    </row>
    <row r="470" customFormat="false" ht="15" hidden="false" customHeight="true" outlineLevel="0" collapsed="false">
      <c r="A470" s="11" t="n">
        <v>1691</v>
      </c>
      <c r="B470" s="11" t="s">
        <v>144</v>
      </c>
      <c r="C470" s="11" t="s">
        <v>59</v>
      </c>
      <c r="D470" s="11" t="s">
        <v>783</v>
      </c>
      <c r="E470" s="11" t="s">
        <v>280</v>
      </c>
      <c r="F470" s="11" t="s">
        <v>60</v>
      </c>
      <c r="G470" s="11" t="s">
        <v>72</v>
      </c>
      <c r="H470" s="11" t="n">
        <v>36192.12</v>
      </c>
      <c r="I470" s="11" t="n">
        <v>665460</v>
      </c>
      <c r="J470" s="11" t="n">
        <v>18570</v>
      </c>
      <c r="K470" s="11" t="n">
        <v>566</v>
      </c>
      <c r="L470" s="11" t="n">
        <v>712136.64</v>
      </c>
    </row>
    <row r="471" customFormat="false" ht="15" hidden="false" customHeight="true" outlineLevel="0" collapsed="false">
      <c r="A471" s="11" t="n">
        <v>1492</v>
      </c>
      <c r="B471" s="11" t="s">
        <v>164</v>
      </c>
      <c r="C471" s="11" t="s">
        <v>192</v>
      </c>
      <c r="D471" s="11" t="s">
        <v>784</v>
      </c>
      <c r="E471" s="11" t="s">
        <v>785</v>
      </c>
      <c r="F471" s="11" t="s">
        <v>56</v>
      </c>
      <c r="G471" s="11" t="s">
        <v>84</v>
      </c>
      <c r="H471" s="11" t="n">
        <v>43340.63</v>
      </c>
      <c r="I471" s="11" t="n">
        <v>672555</v>
      </c>
      <c r="J471" s="11" t="n">
        <v>20040</v>
      </c>
      <c r="K471" s="11" t="n">
        <v>1271</v>
      </c>
      <c r="L471" s="11" t="n">
        <v>1632598.31</v>
      </c>
    </row>
    <row r="472" customFormat="false" ht="15" hidden="false" customHeight="true" outlineLevel="0" collapsed="false">
      <c r="A472" s="11" t="n">
        <v>1680</v>
      </c>
      <c r="B472" s="11" t="s">
        <v>79</v>
      </c>
      <c r="C472" s="11" t="s">
        <v>47</v>
      </c>
      <c r="D472" s="11" t="s">
        <v>786</v>
      </c>
      <c r="E472" s="11" t="s">
        <v>713</v>
      </c>
      <c r="F472" s="11" t="s">
        <v>65</v>
      </c>
      <c r="G472" s="11" t="s">
        <v>72</v>
      </c>
      <c r="H472" s="11" t="n">
        <v>5535.27</v>
      </c>
      <c r="I472" s="11" t="n">
        <v>112915</v>
      </c>
      <c r="J472" s="11" t="n">
        <v>606</v>
      </c>
      <c r="K472" s="11" t="n">
        <v>16</v>
      </c>
      <c r="L472" s="11" t="n">
        <v>6081.96</v>
      </c>
    </row>
    <row r="473" customFormat="false" ht="15" hidden="false" customHeight="true" outlineLevel="0" collapsed="false">
      <c r="A473" s="11" t="n">
        <v>1588</v>
      </c>
      <c r="B473" s="11" t="s">
        <v>58</v>
      </c>
      <c r="C473" s="11" t="s">
        <v>81</v>
      </c>
      <c r="D473" s="11" t="s">
        <v>170</v>
      </c>
      <c r="E473" s="11" t="s">
        <v>787</v>
      </c>
      <c r="F473" s="11" t="s">
        <v>65</v>
      </c>
      <c r="G473" s="11" t="s">
        <v>108</v>
      </c>
      <c r="H473" s="11" t="n">
        <v>4713.23</v>
      </c>
      <c r="I473" s="11" t="n">
        <v>183148</v>
      </c>
      <c r="J473" s="11" t="n">
        <v>5739</v>
      </c>
      <c r="K473" s="11" t="n">
        <v>395</v>
      </c>
      <c r="L473" s="11" t="n">
        <v>639428.63</v>
      </c>
    </row>
    <row r="474" customFormat="false" ht="15" hidden="false" customHeight="true" outlineLevel="0" collapsed="false">
      <c r="A474" s="11" t="n">
        <v>1356</v>
      </c>
      <c r="B474" s="11" t="s">
        <v>64</v>
      </c>
      <c r="C474" s="11" t="s">
        <v>149</v>
      </c>
      <c r="D474" s="11" t="s">
        <v>440</v>
      </c>
      <c r="E474" s="11" t="s">
        <v>788</v>
      </c>
      <c r="F474" s="11" t="s">
        <v>56</v>
      </c>
      <c r="G474" s="11" t="s">
        <v>147</v>
      </c>
      <c r="H474" s="11" t="n">
        <v>35075.47</v>
      </c>
      <c r="I474" s="11" t="n">
        <v>1248606</v>
      </c>
      <c r="J474" s="11" t="n">
        <v>41382</v>
      </c>
      <c r="K474" s="11" t="n">
        <v>1189</v>
      </c>
      <c r="L474" s="11" t="n">
        <v>1515966.94</v>
      </c>
    </row>
    <row r="475" customFormat="false" ht="15" hidden="false" customHeight="true" outlineLevel="0" collapsed="false">
      <c r="A475" s="11" t="n">
        <v>1266</v>
      </c>
      <c r="B475" s="11" t="s">
        <v>52</v>
      </c>
      <c r="C475" s="11" t="s">
        <v>85</v>
      </c>
      <c r="D475" s="11" t="s">
        <v>477</v>
      </c>
      <c r="E475" s="11" t="s">
        <v>780</v>
      </c>
      <c r="F475" s="11" t="s">
        <v>69</v>
      </c>
      <c r="G475" s="11" t="s">
        <v>131</v>
      </c>
      <c r="H475" s="11" t="n">
        <v>36167.46</v>
      </c>
      <c r="I475" s="11" t="n">
        <v>1227644</v>
      </c>
      <c r="J475" s="11" t="n">
        <v>37544</v>
      </c>
      <c r="K475" s="11" t="n">
        <v>670</v>
      </c>
      <c r="L475" s="11" t="n">
        <v>287483.68</v>
      </c>
    </row>
    <row r="476" customFormat="false" ht="15" hidden="false" customHeight="true" outlineLevel="0" collapsed="false">
      <c r="A476" s="11" t="n">
        <v>1729</v>
      </c>
      <c r="B476" s="11" t="s">
        <v>66</v>
      </c>
      <c r="C476" s="11" t="s">
        <v>149</v>
      </c>
      <c r="D476" s="11" t="s">
        <v>789</v>
      </c>
      <c r="E476" s="11" t="s">
        <v>393</v>
      </c>
      <c r="F476" s="11" t="s">
        <v>65</v>
      </c>
      <c r="G476" s="11" t="s">
        <v>91</v>
      </c>
      <c r="H476" s="11" t="n">
        <v>48782.06</v>
      </c>
      <c r="I476" s="11" t="n">
        <v>1144132</v>
      </c>
      <c r="J476" s="11" t="n">
        <v>19884</v>
      </c>
      <c r="K476" s="11" t="n">
        <v>1243</v>
      </c>
      <c r="L476" s="11" t="n">
        <v>1322627.53</v>
      </c>
    </row>
    <row r="477" customFormat="false" ht="15" hidden="false" customHeight="true" outlineLevel="0" collapsed="false">
      <c r="A477" s="11" t="n">
        <v>1741</v>
      </c>
      <c r="B477" s="11" t="s">
        <v>52</v>
      </c>
      <c r="C477" s="11" t="s">
        <v>85</v>
      </c>
      <c r="D477" s="11" t="s">
        <v>129</v>
      </c>
      <c r="E477" s="11" t="s">
        <v>130</v>
      </c>
      <c r="F477" s="11" t="s">
        <v>56</v>
      </c>
      <c r="G477" s="11" t="s">
        <v>131</v>
      </c>
      <c r="H477" s="11" t="n">
        <v>74280.91</v>
      </c>
      <c r="I477" s="11" t="n">
        <v>2939136</v>
      </c>
      <c r="J477" s="11" t="n">
        <v>27485</v>
      </c>
      <c r="K477" s="11" t="n">
        <v>932</v>
      </c>
      <c r="L477" s="11" t="n">
        <v>1181227.33</v>
      </c>
    </row>
    <row r="478" customFormat="false" ht="15" hidden="false" customHeight="true" outlineLevel="0" collapsed="false">
      <c r="A478" s="11" t="n">
        <v>1599</v>
      </c>
      <c r="B478" s="11" t="s">
        <v>109</v>
      </c>
      <c r="C478" s="11" t="s">
        <v>210</v>
      </c>
      <c r="D478" s="11" t="s">
        <v>693</v>
      </c>
      <c r="E478" s="11" t="s">
        <v>790</v>
      </c>
      <c r="F478" s="11" t="s">
        <v>48</v>
      </c>
      <c r="G478" s="11" t="s">
        <v>163</v>
      </c>
      <c r="H478" s="11" t="n">
        <v>25613.82</v>
      </c>
      <c r="I478" s="11" t="n">
        <v>719268</v>
      </c>
      <c r="J478" s="11" t="n">
        <v>8008</v>
      </c>
      <c r="K478" s="11" t="n">
        <v>424</v>
      </c>
      <c r="L478" s="11" t="n">
        <v>587659.11</v>
      </c>
    </row>
    <row r="479" customFormat="false" ht="15" hidden="false" customHeight="true" outlineLevel="0" collapsed="false">
      <c r="A479" s="11" t="n">
        <v>1223</v>
      </c>
      <c r="B479" s="11" t="s">
        <v>62</v>
      </c>
      <c r="C479" s="11" t="s">
        <v>149</v>
      </c>
      <c r="D479" s="11" t="s">
        <v>312</v>
      </c>
      <c r="E479" s="11" t="s">
        <v>503</v>
      </c>
      <c r="F479" s="11" t="s">
        <v>56</v>
      </c>
      <c r="G479" s="11" t="s">
        <v>175</v>
      </c>
      <c r="H479" s="11" t="n">
        <v>41946.02</v>
      </c>
      <c r="I479" s="11" t="n">
        <v>1322463</v>
      </c>
      <c r="J479" s="11" t="n">
        <v>23061</v>
      </c>
      <c r="K479" s="11" t="n">
        <v>763</v>
      </c>
      <c r="L479" s="11" t="n">
        <v>392442.27</v>
      </c>
    </row>
    <row r="480" customFormat="false" ht="15" hidden="false" customHeight="true" outlineLevel="0" collapsed="false">
      <c r="A480" s="11" t="n">
        <v>1666</v>
      </c>
      <c r="B480" s="11" t="s">
        <v>76</v>
      </c>
      <c r="C480" s="11" t="s">
        <v>81</v>
      </c>
      <c r="D480" s="11" t="s">
        <v>451</v>
      </c>
      <c r="E480" s="11" t="s">
        <v>348</v>
      </c>
      <c r="F480" s="11" t="s">
        <v>48</v>
      </c>
      <c r="G480" s="11" t="s">
        <v>72</v>
      </c>
      <c r="H480" s="11" t="n">
        <v>7753.27</v>
      </c>
      <c r="I480" s="11" t="n">
        <v>140766</v>
      </c>
      <c r="J480" s="11" t="n">
        <v>1662</v>
      </c>
      <c r="K480" s="11" t="n">
        <v>69</v>
      </c>
      <c r="L480" s="11" t="n">
        <v>35269.25</v>
      </c>
    </row>
    <row r="481" customFormat="false" ht="15" hidden="false" customHeight="true" outlineLevel="0" collapsed="false">
      <c r="A481" s="11" t="n">
        <v>1584</v>
      </c>
      <c r="B481" s="11" t="s">
        <v>58</v>
      </c>
      <c r="C481" s="11" t="s">
        <v>235</v>
      </c>
      <c r="D481" s="11" t="s">
        <v>791</v>
      </c>
      <c r="E481" s="11" t="s">
        <v>485</v>
      </c>
      <c r="F481" s="11" t="s">
        <v>56</v>
      </c>
      <c r="G481" s="11" t="s">
        <v>175</v>
      </c>
      <c r="H481" s="11" t="n">
        <v>77189.97</v>
      </c>
      <c r="I481" s="11" t="n">
        <v>2199585</v>
      </c>
      <c r="J481" s="11" t="n">
        <v>63721</v>
      </c>
      <c r="K481" s="11" t="n">
        <v>666</v>
      </c>
      <c r="L481" s="11"/>
    </row>
    <row r="482" customFormat="false" ht="15" hidden="false" customHeight="true" outlineLevel="0" collapsed="false">
      <c r="A482" s="11" t="n">
        <v>1480</v>
      </c>
      <c r="B482" s="11" t="s">
        <v>76</v>
      </c>
      <c r="C482" s="11" t="s">
        <v>81</v>
      </c>
      <c r="D482" s="11" t="s">
        <v>421</v>
      </c>
      <c r="E482" s="11" t="s">
        <v>792</v>
      </c>
      <c r="F482" s="11" t="s">
        <v>60</v>
      </c>
      <c r="G482" s="11" t="s">
        <v>209</v>
      </c>
      <c r="H482" s="11" t="n">
        <v>6548.99</v>
      </c>
      <c r="I482" s="11" t="n">
        <v>118884</v>
      </c>
      <c r="J482" s="11" t="n">
        <v>1821</v>
      </c>
      <c r="K482" s="11" t="n">
        <v>19</v>
      </c>
      <c r="L482" s="11" t="n">
        <v>25506.26</v>
      </c>
    </row>
    <row r="483" customFormat="false" ht="15" hidden="false" customHeight="true" outlineLevel="0" collapsed="false">
      <c r="A483" s="11" t="n">
        <v>1253</v>
      </c>
      <c r="B483" s="11" t="s">
        <v>52</v>
      </c>
      <c r="C483" s="11" t="s">
        <v>71</v>
      </c>
      <c r="D483" s="11" t="s">
        <v>646</v>
      </c>
      <c r="E483" s="11" t="s">
        <v>793</v>
      </c>
      <c r="F483" s="11" t="s">
        <v>48</v>
      </c>
      <c r="G483" s="11" t="s">
        <v>226</v>
      </c>
      <c r="H483" s="11" t="n">
        <v>47348.27</v>
      </c>
      <c r="I483" s="11" t="n">
        <v>1663729</v>
      </c>
      <c r="J483" s="11" t="n">
        <v>30215</v>
      </c>
      <c r="K483" s="11" t="n">
        <v>710</v>
      </c>
      <c r="L483" s="11" t="n">
        <v>958082.85</v>
      </c>
    </row>
    <row r="484" customFormat="false" ht="15" hidden="false" customHeight="true" outlineLevel="0" collapsed="false">
      <c r="A484" s="11" t="n">
        <v>1122</v>
      </c>
      <c r="B484" s="11" t="s">
        <v>76</v>
      </c>
      <c r="C484" s="11" t="s">
        <v>63</v>
      </c>
      <c r="D484" s="11" t="s">
        <v>253</v>
      </c>
      <c r="E484" s="11" t="s">
        <v>692</v>
      </c>
      <c r="F484" s="11" t="s">
        <v>53</v>
      </c>
      <c r="G484" s="11" t="s">
        <v>72</v>
      </c>
      <c r="H484" s="11" t="n">
        <v>15302.35</v>
      </c>
      <c r="I484" s="11" t="n">
        <v>561640</v>
      </c>
      <c r="J484" s="11" t="n">
        <v>17762</v>
      </c>
      <c r="K484" s="11" t="n">
        <v>768</v>
      </c>
      <c r="L484" s="11" t="n">
        <v>320651.41</v>
      </c>
    </row>
    <row r="485" customFormat="false" ht="15" hidden="false" customHeight="true" outlineLevel="0" collapsed="false">
      <c r="A485" s="11" t="n">
        <v>1571</v>
      </c>
      <c r="B485" s="11" t="s">
        <v>70</v>
      </c>
      <c r="C485" s="11" t="s">
        <v>185</v>
      </c>
      <c r="D485" s="11" t="s">
        <v>794</v>
      </c>
      <c r="E485" s="11" t="s">
        <v>637</v>
      </c>
      <c r="F485" s="11" t="s">
        <v>60</v>
      </c>
      <c r="G485" s="11" t="s">
        <v>61</v>
      </c>
      <c r="H485" s="11" t="n">
        <v>26808.13</v>
      </c>
      <c r="I485" s="11" t="n">
        <v>843940</v>
      </c>
      <c r="J485" s="11" t="n">
        <v>24029</v>
      </c>
      <c r="K485" s="11" t="n">
        <v>1603</v>
      </c>
      <c r="L485" s="11" t="n">
        <v>1974252.88</v>
      </c>
    </row>
    <row r="486" customFormat="false" ht="15" hidden="false" customHeight="true" outlineLevel="0" collapsed="false">
      <c r="A486" s="11" t="n">
        <v>1406</v>
      </c>
      <c r="B486" s="11" t="s">
        <v>423</v>
      </c>
      <c r="C486" s="11" t="s">
        <v>59</v>
      </c>
      <c r="D486" s="11" t="s">
        <v>795</v>
      </c>
      <c r="E486" s="11" t="s">
        <v>796</v>
      </c>
      <c r="F486" s="11" t="s">
        <v>60</v>
      </c>
      <c r="G486" s="11" t="s">
        <v>61</v>
      </c>
      <c r="H486" s="11" t="n">
        <v>86806.29</v>
      </c>
      <c r="I486" s="11" t="n">
        <v>1992863</v>
      </c>
      <c r="J486" s="11" t="n">
        <v>50744</v>
      </c>
      <c r="K486" s="11" t="n">
        <v>1724</v>
      </c>
      <c r="L486" s="11" t="n">
        <v>1256749.06</v>
      </c>
    </row>
    <row r="487" customFormat="false" ht="15" hidden="false" customHeight="true" outlineLevel="0" collapsed="false">
      <c r="A487" s="11" t="n">
        <v>1569</v>
      </c>
      <c r="B487" s="11" t="s">
        <v>79</v>
      </c>
      <c r="C487" s="11" t="s">
        <v>124</v>
      </c>
      <c r="D487" s="11" t="s">
        <v>359</v>
      </c>
      <c r="E487" s="11" t="s">
        <v>524</v>
      </c>
      <c r="F487" s="11" t="s">
        <v>69</v>
      </c>
      <c r="G487" s="11" t="s">
        <v>57</v>
      </c>
      <c r="H487" s="11" t="n">
        <v>56735.64</v>
      </c>
      <c r="I487" s="11" t="n">
        <v>2141847</v>
      </c>
      <c r="J487" s="11" t="n">
        <v>59188</v>
      </c>
      <c r="K487" s="11" t="n">
        <v>1984</v>
      </c>
      <c r="L487" s="11" t="n">
        <v>3076843.69</v>
      </c>
    </row>
    <row r="488" customFormat="false" ht="15" hidden="false" customHeight="true" outlineLevel="0" collapsed="false">
      <c r="A488" s="11" t="n">
        <v>1562</v>
      </c>
      <c r="B488" s="11" t="s">
        <v>64</v>
      </c>
      <c r="C488" s="11" t="s">
        <v>185</v>
      </c>
      <c r="D488" s="11" t="s">
        <v>521</v>
      </c>
      <c r="E488" s="11" t="s">
        <v>637</v>
      </c>
      <c r="F488" s="11" t="s">
        <v>48</v>
      </c>
      <c r="G488" s="11" t="s">
        <v>226</v>
      </c>
      <c r="H488" s="11" t="n">
        <v>11791.42</v>
      </c>
      <c r="I488" s="11" t="n">
        <v>456327</v>
      </c>
      <c r="J488" s="11" t="n">
        <v>14661</v>
      </c>
      <c r="K488" s="11" t="n">
        <v>868</v>
      </c>
      <c r="L488" s="11"/>
    </row>
    <row r="489" customFormat="false" ht="15" hidden="false" customHeight="true" outlineLevel="0" collapsed="false">
      <c r="A489" s="11" t="n">
        <v>1601</v>
      </c>
      <c r="B489" s="11" t="s">
        <v>73</v>
      </c>
      <c r="C489" s="11" t="s">
        <v>115</v>
      </c>
      <c r="D489" s="11" t="s">
        <v>360</v>
      </c>
      <c r="E489" s="11" t="s">
        <v>471</v>
      </c>
      <c r="F489" s="11" t="s">
        <v>60</v>
      </c>
      <c r="G489" s="11" t="s">
        <v>238</v>
      </c>
      <c r="H489" s="11" t="n">
        <v>35709.24</v>
      </c>
      <c r="I489" s="11" t="n">
        <v>1220353</v>
      </c>
      <c r="J489" s="11" t="n">
        <v>40307</v>
      </c>
      <c r="K489" s="11" t="n">
        <v>1986</v>
      </c>
      <c r="L489" s="11" t="n">
        <v>2542713.66</v>
      </c>
    </row>
    <row r="490" customFormat="false" ht="15" hidden="false" customHeight="true" outlineLevel="0" collapsed="false">
      <c r="A490" s="11" t="n">
        <v>1188</v>
      </c>
      <c r="B490" s="11" t="s">
        <v>70</v>
      </c>
      <c r="C490" s="11" t="s">
        <v>105</v>
      </c>
      <c r="D490" s="11" t="s">
        <v>797</v>
      </c>
      <c r="E490" s="11" t="s">
        <v>798</v>
      </c>
      <c r="F490" s="11" t="s">
        <v>60</v>
      </c>
      <c r="G490" s="11" t="s">
        <v>226</v>
      </c>
      <c r="H490" s="11" t="n">
        <v>22865.92</v>
      </c>
      <c r="I490" s="11" t="n">
        <v>364554</v>
      </c>
      <c r="J490" s="11" t="n">
        <v>4003</v>
      </c>
      <c r="K490" s="11" t="n">
        <v>144</v>
      </c>
      <c r="L490" s="11" t="n">
        <v>53339.3</v>
      </c>
    </row>
    <row r="491" customFormat="false" ht="15" hidden="false" customHeight="true" outlineLevel="0" collapsed="false">
      <c r="A491" s="11" t="n">
        <v>1555</v>
      </c>
      <c r="B491" s="11" t="s">
        <v>144</v>
      </c>
      <c r="C491" s="11" t="s">
        <v>115</v>
      </c>
      <c r="D491" s="11" t="s">
        <v>662</v>
      </c>
      <c r="E491" s="11" t="s">
        <v>799</v>
      </c>
      <c r="F491" s="11" t="s">
        <v>56</v>
      </c>
      <c r="G491" s="11" t="s">
        <v>183</v>
      </c>
      <c r="H491" s="11" t="n">
        <v>55915.34</v>
      </c>
      <c r="I491" s="11" t="n">
        <v>1625945</v>
      </c>
      <c r="J491" s="11" t="n">
        <v>30542</v>
      </c>
      <c r="K491" s="11" t="n">
        <v>2141</v>
      </c>
      <c r="L491" s="11" t="n">
        <v>1184095</v>
      </c>
    </row>
    <row r="492" customFormat="false" ht="15" hidden="false" customHeight="true" outlineLevel="0" collapsed="false">
      <c r="A492" s="11" t="n">
        <v>1673</v>
      </c>
      <c r="B492" s="11" t="s">
        <v>78</v>
      </c>
      <c r="C492" s="11" t="s">
        <v>92</v>
      </c>
      <c r="D492" s="11" t="s">
        <v>173</v>
      </c>
      <c r="E492" s="11" t="s">
        <v>800</v>
      </c>
      <c r="F492" s="11" t="s">
        <v>48</v>
      </c>
      <c r="G492" s="11" t="s">
        <v>163</v>
      </c>
      <c r="H492" s="11" t="n">
        <v>7881.61</v>
      </c>
      <c r="I492" s="11" t="n">
        <v>134596</v>
      </c>
      <c r="J492" s="11" t="n">
        <v>1081</v>
      </c>
      <c r="K492" s="11" t="n">
        <v>71</v>
      </c>
      <c r="L492" s="11" t="n">
        <v>49840.52</v>
      </c>
    </row>
    <row r="493" customFormat="false" ht="15" hidden="false" customHeight="true" outlineLevel="0" collapsed="false">
      <c r="A493" s="11" t="n">
        <v>1653</v>
      </c>
      <c r="B493" s="11" t="s">
        <v>188</v>
      </c>
      <c r="C493" s="11" t="s">
        <v>71</v>
      </c>
      <c r="D493" s="11" t="s">
        <v>189</v>
      </c>
      <c r="E493" s="11" t="s">
        <v>190</v>
      </c>
      <c r="F493" s="11" t="s">
        <v>53</v>
      </c>
      <c r="G493" s="11" t="s">
        <v>91</v>
      </c>
      <c r="H493" s="11" t="n">
        <v>41809.05</v>
      </c>
      <c r="I493" s="11" t="n">
        <v>826656</v>
      </c>
      <c r="J493" s="11" t="n">
        <v>5945</v>
      </c>
      <c r="K493" s="11" t="n">
        <v>344</v>
      </c>
      <c r="L493" s="11" t="n">
        <v>528296.58</v>
      </c>
    </row>
    <row r="494" customFormat="false" ht="15" hidden="false" customHeight="true" outlineLevel="0" collapsed="false">
      <c r="A494" s="11" t="n">
        <v>1639</v>
      </c>
      <c r="B494" s="11" t="s">
        <v>58</v>
      </c>
      <c r="C494" s="11" t="s">
        <v>92</v>
      </c>
      <c r="D494" s="11" t="s">
        <v>801</v>
      </c>
      <c r="E494" s="11" t="s">
        <v>802</v>
      </c>
      <c r="F494" s="11" t="s">
        <v>48</v>
      </c>
      <c r="G494" s="11" t="s">
        <v>61</v>
      </c>
      <c r="H494" s="11"/>
      <c r="I494" s="11" t="n">
        <v>191487</v>
      </c>
      <c r="J494" s="11" t="n">
        <v>1928</v>
      </c>
      <c r="K494" s="11" t="n">
        <v>90</v>
      </c>
      <c r="L494" s="11" t="n">
        <v>54388.05</v>
      </c>
    </row>
    <row r="495" customFormat="false" ht="15" hidden="false" customHeight="true" outlineLevel="0" collapsed="false">
      <c r="A495" s="11" t="n">
        <v>1209</v>
      </c>
      <c r="B495" s="11" t="s">
        <v>68</v>
      </c>
      <c r="C495" s="11" t="s">
        <v>81</v>
      </c>
      <c r="D495" s="11" t="s">
        <v>397</v>
      </c>
      <c r="E495" s="11" t="s">
        <v>803</v>
      </c>
      <c r="F495" s="11" t="s">
        <v>56</v>
      </c>
      <c r="G495" s="11" t="s">
        <v>72</v>
      </c>
      <c r="H495" s="11" t="n">
        <v>2115.59</v>
      </c>
      <c r="I495" s="11" t="n">
        <v>60457</v>
      </c>
      <c r="J495" s="11" t="n">
        <v>1033</v>
      </c>
      <c r="K495" s="11" t="n">
        <v>35</v>
      </c>
      <c r="L495" s="11" t="n">
        <v>57082.38</v>
      </c>
    </row>
    <row r="496" customFormat="false" ht="15" hidden="false" customHeight="true" outlineLevel="0" collapsed="false">
      <c r="A496" s="11" t="n">
        <v>1816</v>
      </c>
      <c r="B496" s="11" t="s">
        <v>52</v>
      </c>
      <c r="C496" s="11" t="s">
        <v>124</v>
      </c>
      <c r="D496" s="11" t="s">
        <v>804</v>
      </c>
      <c r="E496" s="11" t="s">
        <v>442</v>
      </c>
      <c r="F496" s="11" t="s">
        <v>53</v>
      </c>
      <c r="G496" s="11" t="s">
        <v>209</v>
      </c>
      <c r="H496" s="11" t="n">
        <v>8396.39</v>
      </c>
      <c r="I496" s="11" t="n">
        <v>204564</v>
      </c>
      <c r="J496" s="11" t="n">
        <v>4293</v>
      </c>
      <c r="K496" s="11" t="n">
        <v>248</v>
      </c>
      <c r="L496" s="11" t="n">
        <v>407886.98</v>
      </c>
    </row>
    <row r="497" customFormat="false" ht="15" hidden="false" customHeight="true" outlineLevel="0" collapsed="false">
      <c r="A497" s="11" t="n">
        <v>1267</v>
      </c>
      <c r="B497" s="11" t="s">
        <v>52</v>
      </c>
      <c r="C497" s="11" t="s">
        <v>50</v>
      </c>
      <c r="D497" s="11" t="s">
        <v>439</v>
      </c>
      <c r="E497" s="11" t="s">
        <v>301</v>
      </c>
      <c r="F497" s="11" t="s">
        <v>65</v>
      </c>
      <c r="G497" s="11"/>
      <c r="H497" s="11" t="n">
        <v>48249.69</v>
      </c>
      <c r="I497" s="11" t="n">
        <v>1628855</v>
      </c>
      <c r="J497" s="11" t="n">
        <v>34961</v>
      </c>
      <c r="K497" s="11" t="n">
        <v>1874</v>
      </c>
      <c r="L497" s="11" t="n">
        <v>3352282.57</v>
      </c>
    </row>
    <row r="498" customFormat="false" ht="15" hidden="false" customHeight="true" outlineLevel="0" collapsed="false">
      <c r="A498" s="11" t="n">
        <v>1718</v>
      </c>
      <c r="B498" s="11" t="s">
        <v>70</v>
      </c>
      <c r="C498" s="11" t="s">
        <v>115</v>
      </c>
      <c r="D498" s="11" t="s">
        <v>221</v>
      </c>
      <c r="E498" s="11" t="s">
        <v>304</v>
      </c>
      <c r="F498" s="11" t="s">
        <v>48</v>
      </c>
      <c r="G498" s="11" t="s">
        <v>57</v>
      </c>
      <c r="H498" s="11" t="n">
        <v>66767.58</v>
      </c>
      <c r="I498" s="11" t="n">
        <v>1619853</v>
      </c>
      <c r="J498" s="11" t="n">
        <v>22689</v>
      </c>
      <c r="K498" s="11" t="n">
        <v>1003</v>
      </c>
      <c r="L498" s="11" t="n">
        <v>1145004.24</v>
      </c>
    </row>
    <row r="499" customFormat="false" ht="15" hidden="false" customHeight="true" outlineLevel="0" collapsed="false">
      <c r="A499" s="11" t="n">
        <v>1151</v>
      </c>
      <c r="B499" s="11" t="s">
        <v>66</v>
      </c>
      <c r="C499" s="11" t="s">
        <v>124</v>
      </c>
      <c r="D499" s="11" t="s">
        <v>805</v>
      </c>
      <c r="E499" s="11" t="s">
        <v>587</v>
      </c>
      <c r="F499" s="11" t="s">
        <v>56</v>
      </c>
      <c r="G499" s="11" t="s">
        <v>99</v>
      </c>
      <c r="H499" s="11" t="n">
        <v>15135.01</v>
      </c>
      <c r="I499" s="11" t="n">
        <v>231319</v>
      </c>
      <c r="J499" s="11" t="n">
        <v>4601</v>
      </c>
      <c r="K499" s="11" t="n">
        <v>157</v>
      </c>
      <c r="L499" s="11" t="n">
        <v>172695.78</v>
      </c>
    </row>
    <row r="500" customFormat="false" ht="15" hidden="false" customHeight="true" outlineLevel="0" collapsed="false">
      <c r="A500" s="11" t="n">
        <v>1746</v>
      </c>
      <c r="B500" s="11" t="s">
        <v>55</v>
      </c>
      <c r="C500" s="11" t="s">
        <v>185</v>
      </c>
      <c r="D500" s="11" t="s">
        <v>384</v>
      </c>
      <c r="E500" s="11" t="s">
        <v>622</v>
      </c>
      <c r="F500" s="11" t="s">
        <v>48</v>
      </c>
      <c r="G500" s="11" t="s">
        <v>57</v>
      </c>
      <c r="H500" s="11" t="n">
        <v>10010.92</v>
      </c>
      <c r="I500" s="11" t="n">
        <v>272158</v>
      </c>
      <c r="J500" s="11" t="n">
        <v>8757</v>
      </c>
      <c r="K500" s="11" t="n">
        <v>378</v>
      </c>
      <c r="L500" s="11" t="n">
        <v>430321.13</v>
      </c>
    </row>
    <row r="501" customFormat="false" ht="15" hidden="false" customHeight="true" outlineLevel="0" collapsed="false">
      <c r="A501" s="11" t="n">
        <v>1439</v>
      </c>
      <c r="B501" s="11" t="s">
        <v>460</v>
      </c>
      <c r="C501" s="11" t="s">
        <v>149</v>
      </c>
      <c r="D501" s="11" t="s">
        <v>806</v>
      </c>
      <c r="E501" s="11" t="s">
        <v>620</v>
      </c>
      <c r="F501" s="11" t="s">
        <v>65</v>
      </c>
      <c r="G501" s="11"/>
      <c r="H501" s="11" t="n">
        <v>27981.35</v>
      </c>
      <c r="I501" s="11" t="n">
        <v>1112590</v>
      </c>
      <c r="J501" s="11" t="n">
        <v>29345</v>
      </c>
      <c r="K501" s="11" t="n">
        <v>1918</v>
      </c>
      <c r="L501" s="11" t="n">
        <v>3236096.91</v>
      </c>
    </row>
    <row r="502" customFormat="false" ht="15" hidden="false" customHeight="true" outlineLevel="0" collapsed="false">
      <c r="A502" s="11" t="n">
        <v>1382</v>
      </c>
      <c r="B502" s="11" t="s">
        <v>349</v>
      </c>
      <c r="C502" s="11" t="s">
        <v>92</v>
      </c>
      <c r="D502" s="11" t="s">
        <v>658</v>
      </c>
      <c r="E502" s="11" t="s">
        <v>807</v>
      </c>
      <c r="F502" s="11" t="s">
        <v>51</v>
      </c>
      <c r="G502" s="11" t="s">
        <v>84</v>
      </c>
      <c r="H502" s="11" t="n">
        <v>3063.82</v>
      </c>
      <c r="I502" s="11" t="n">
        <v>109489</v>
      </c>
      <c r="J502" s="11" t="n">
        <v>1834</v>
      </c>
      <c r="K502" s="11" t="n">
        <v>61</v>
      </c>
      <c r="L502" s="11" t="n">
        <v>30430.59</v>
      </c>
    </row>
    <row r="503" customFormat="false" ht="15" hidden="false" customHeight="true" outlineLevel="0" collapsed="false">
      <c r="A503" s="11" t="n">
        <v>1357</v>
      </c>
      <c r="B503" s="11" t="s">
        <v>68</v>
      </c>
      <c r="C503" s="11" t="s">
        <v>59</v>
      </c>
      <c r="D503" s="11" t="s">
        <v>631</v>
      </c>
      <c r="E503" s="11" t="s">
        <v>800</v>
      </c>
      <c r="F503" s="11" t="s">
        <v>67</v>
      </c>
      <c r="G503" s="11" t="s">
        <v>137</v>
      </c>
      <c r="H503" s="11" t="n">
        <v>79513.95</v>
      </c>
      <c r="I503" s="11" t="n">
        <v>3003913</v>
      </c>
      <c r="J503" s="11" t="n">
        <v>72147</v>
      </c>
      <c r="K503" s="11" t="n">
        <v>4993</v>
      </c>
      <c r="L503" s="11" t="n">
        <v>3680117.61</v>
      </c>
    </row>
    <row r="504" customFormat="false" ht="15" hidden="false" customHeight="true" outlineLevel="0" collapsed="false">
      <c r="A504" s="11" t="n">
        <v>1019</v>
      </c>
      <c r="B504" s="11" t="s">
        <v>144</v>
      </c>
      <c r="C504" s="11" t="s">
        <v>328</v>
      </c>
      <c r="D504" s="11" t="s">
        <v>806</v>
      </c>
      <c r="E504" s="11" t="s">
        <v>410</v>
      </c>
      <c r="F504" s="11" t="s">
        <v>48</v>
      </c>
      <c r="G504" s="11"/>
      <c r="H504" s="11" t="n">
        <v>44018.82</v>
      </c>
      <c r="I504" s="11" t="n">
        <v>1552488</v>
      </c>
      <c r="J504" s="11" t="n">
        <v>20188</v>
      </c>
      <c r="K504" s="11" t="n">
        <v>1314</v>
      </c>
      <c r="L504" s="11" t="n">
        <v>665854.6</v>
      </c>
    </row>
    <row r="505" customFormat="false" ht="15" hidden="false" customHeight="true" outlineLevel="0" collapsed="false">
      <c r="A505" s="11" t="n">
        <v>1780</v>
      </c>
      <c r="B505" s="11" t="s">
        <v>447</v>
      </c>
      <c r="C505" s="11" t="s">
        <v>50</v>
      </c>
      <c r="D505" s="11" t="s">
        <v>591</v>
      </c>
      <c r="E505" s="11" t="s">
        <v>530</v>
      </c>
      <c r="F505" s="11" t="s">
        <v>56</v>
      </c>
      <c r="G505" s="11" t="s">
        <v>137</v>
      </c>
      <c r="H505" s="11" t="n">
        <v>45409.06</v>
      </c>
      <c r="I505" s="11" t="n">
        <v>1149581</v>
      </c>
      <c r="J505" s="11" t="n">
        <v>19537</v>
      </c>
      <c r="K505" s="11" t="n">
        <v>970</v>
      </c>
      <c r="L505" s="11" t="n">
        <v>760162.39</v>
      </c>
    </row>
    <row r="506" customFormat="false" ht="15" hidden="false" customHeight="true" outlineLevel="0" collapsed="false">
      <c r="A506" s="11" t="n">
        <v>1800</v>
      </c>
      <c r="B506" s="11" t="s">
        <v>88</v>
      </c>
      <c r="C506" s="11" t="s">
        <v>185</v>
      </c>
      <c r="D506" s="11" t="s">
        <v>564</v>
      </c>
      <c r="E506" s="11" t="s">
        <v>679</v>
      </c>
      <c r="F506" s="11" t="s">
        <v>53</v>
      </c>
      <c r="G506" s="11" t="s">
        <v>61</v>
      </c>
      <c r="H506" s="11" t="n">
        <v>58681.23</v>
      </c>
      <c r="I506" s="11" t="n">
        <v>2006896</v>
      </c>
      <c r="J506" s="11" t="n">
        <v>29199</v>
      </c>
      <c r="K506" s="11" t="n">
        <v>544</v>
      </c>
      <c r="L506" s="11" t="n">
        <v>645073.28</v>
      </c>
    </row>
    <row r="507" customFormat="false" ht="15" hidden="false" customHeight="true" outlineLevel="0" collapsed="false">
      <c r="A507" s="11" t="n">
        <v>1048</v>
      </c>
      <c r="B507" s="11" t="s">
        <v>66</v>
      </c>
      <c r="C507" s="11" t="s">
        <v>141</v>
      </c>
      <c r="D507" s="11" t="s">
        <v>389</v>
      </c>
      <c r="E507" s="11" t="s">
        <v>808</v>
      </c>
      <c r="F507" s="11" t="s">
        <v>53</v>
      </c>
      <c r="G507" s="11" t="s">
        <v>72</v>
      </c>
      <c r="H507" s="11" t="n">
        <v>3660.07</v>
      </c>
      <c r="I507" s="11" t="n">
        <v>83876</v>
      </c>
      <c r="J507" s="11" t="n">
        <v>2227</v>
      </c>
      <c r="K507" s="11" t="n">
        <v>140</v>
      </c>
      <c r="L507" s="11"/>
    </row>
    <row r="508" customFormat="false" ht="15" hidden="false" customHeight="true" outlineLevel="0" collapsed="false">
      <c r="A508" s="11" t="n">
        <v>1040</v>
      </c>
      <c r="B508" s="11" t="s">
        <v>46</v>
      </c>
      <c r="C508" s="11" t="s">
        <v>47</v>
      </c>
      <c r="D508" s="11" t="s">
        <v>809</v>
      </c>
      <c r="E508" s="11" t="s">
        <v>810</v>
      </c>
      <c r="F508" s="11" t="s">
        <v>65</v>
      </c>
      <c r="G508" s="11" t="s">
        <v>147</v>
      </c>
      <c r="H508" s="11" t="n">
        <v>6786.42</v>
      </c>
      <c r="I508" s="11" t="n">
        <v>113911</v>
      </c>
      <c r="J508" s="11" t="n">
        <v>1136</v>
      </c>
      <c r="K508" s="11" t="n">
        <v>35</v>
      </c>
      <c r="L508" s="11" t="n">
        <v>50259.6</v>
      </c>
    </row>
    <row r="509" customFormat="false" ht="15" hidden="false" customHeight="true" outlineLevel="0" collapsed="false">
      <c r="A509" s="11" t="n">
        <v>1215</v>
      </c>
      <c r="B509" s="11" t="s">
        <v>164</v>
      </c>
      <c r="C509" s="11" t="s">
        <v>192</v>
      </c>
      <c r="D509" s="11" t="s">
        <v>811</v>
      </c>
      <c r="E509" s="11" t="s">
        <v>608</v>
      </c>
      <c r="F509" s="11" t="s">
        <v>53</v>
      </c>
      <c r="G509" s="11" t="s">
        <v>131</v>
      </c>
      <c r="H509" s="11" t="n">
        <v>70607.29</v>
      </c>
      <c r="I509" s="11" t="n">
        <v>2340521</v>
      </c>
      <c r="J509" s="11" t="n">
        <v>26569</v>
      </c>
      <c r="K509" s="11" t="n">
        <v>1950</v>
      </c>
      <c r="L509" s="11" t="n">
        <v>3089999.9</v>
      </c>
    </row>
    <row r="510" customFormat="false" ht="15" hidden="false" customHeight="true" outlineLevel="0" collapsed="false">
      <c r="A510" s="11" t="n">
        <v>1173</v>
      </c>
      <c r="B510" s="11" t="s">
        <v>62</v>
      </c>
      <c r="C510" s="11" t="s">
        <v>210</v>
      </c>
      <c r="D510" s="11" t="s">
        <v>726</v>
      </c>
      <c r="E510" s="11" t="s">
        <v>683</v>
      </c>
      <c r="F510" s="11" t="s">
        <v>51</v>
      </c>
      <c r="G510" s="11"/>
      <c r="H510" s="11" t="n">
        <v>77780.91</v>
      </c>
      <c r="I510" s="11" t="n">
        <v>2263903</v>
      </c>
      <c r="J510" s="11" t="n">
        <v>21583</v>
      </c>
      <c r="K510" s="11" t="n">
        <v>1268</v>
      </c>
      <c r="L510" s="11" t="n">
        <v>621597.44</v>
      </c>
    </row>
    <row r="511" customFormat="false" ht="15" hidden="false" customHeight="true" outlineLevel="0" collapsed="false">
      <c r="A511" s="11" t="n">
        <v>1172</v>
      </c>
      <c r="B511" s="11" t="s">
        <v>812</v>
      </c>
      <c r="C511" s="11" t="s">
        <v>63</v>
      </c>
      <c r="D511" s="11" t="s">
        <v>518</v>
      </c>
      <c r="E511" s="11" t="s">
        <v>813</v>
      </c>
      <c r="F511" s="11" t="s">
        <v>69</v>
      </c>
      <c r="G511" s="11" t="s">
        <v>183</v>
      </c>
      <c r="H511" s="11" t="n">
        <v>18839.7</v>
      </c>
      <c r="I511" s="11" t="n">
        <v>321186</v>
      </c>
      <c r="J511" s="11" t="n">
        <v>9736</v>
      </c>
      <c r="K511" s="11" t="n">
        <v>307</v>
      </c>
      <c r="L511" s="11" t="n">
        <v>284382.59</v>
      </c>
    </row>
    <row r="512" customFormat="false" ht="15" hidden="false" customHeight="true" outlineLevel="0" collapsed="false">
      <c r="A512" s="11" t="n">
        <v>1141</v>
      </c>
      <c r="B512" s="11" t="s">
        <v>62</v>
      </c>
      <c r="C512" s="11" t="s">
        <v>59</v>
      </c>
      <c r="D512" s="11" t="s">
        <v>421</v>
      </c>
      <c r="E512" s="11" t="s">
        <v>139</v>
      </c>
      <c r="F512" s="11" t="s">
        <v>56</v>
      </c>
      <c r="G512" s="11" t="s">
        <v>199</v>
      </c>
      <c r="H512" s="11" t="n">
        <v>68354.61</v>
      </c>
      <c r="I512" s="11" t="n">
        <v>2441082</v>
      </c>
      <c r="J512" s="11" t="n">
        <v>67969</v>
      </c>
      <c r="K512" s="11" t="n">
        <v>3897</v>
      </c>
      <c r="L512" s="11" t="n">
        <v>4129709.95</v>
      </c>
    </row>
    <row r="513" customFormat="false" ht="15" hidden="false" customHeight="true" outlineLevel="0" collapsed="false">
      <c r="A513" s="11" t="n">
        <v>1463</v>
      </c>
      <c r="B513" s="11" t="s">
        <v>66</v>
      </c>
      <c r="C513" s="11" t="s">
        <v>115</v>
      </c>
      <c r="D513" s="11" t="s">
        <v>698</v>
      </c>
      <c r="E513" s="11" t="s">
        <v>690</v>
      </c>
      <c r="F513" s="11" t="s">
        <v>60</v>
      </c>
      <c r="G513" s="11" t="s">
        <v>103</v>
      </c>
      <c r="H513" s="11" t="n">
        <v>34890.87</v>
      </c>
      <c r="I513" s="11" t="n">
        <v>936711</v>
      </c>
      <c r="J513" s="11" t="n">
        <v>31241</v>
      </c>
      <c r="K513" s="11" t="n">
        <v>569</v>
      </c>
      <c r="L513" s="11" t="n">
        <v>624409.79</v>
      </c>
    </row>
    <row r="514" customFormat="false" ht="15" hidden="false" customHeight="true" outlineLevel="0" collapsed="false">
      <c r="A514" s="11" t="n">
        <v>1246</v>
      </c>
      <c r="B514" s="11" t="s">
        <v>184</v>
      </c>
      <c r="C514" s="11" t="s">
        <v>100</v>
      </c>
      <c r="D514" s="11" t="s">
        <v>535</v>
      </c>
      <c r="E514" s="11" t="s">
        <v>814</v>
      </c>
      <c r="F514" s="11" t="s">
        <v>48</v>
      </c>
      <c r="G514" s="11" t="s">
        <v>61</v>
      </c>
      <c r="H514" s="11"/>
      <c r="I514" s="11" t="n">
        <v>566606</v>
      </c>
      <c r="J514" s="11" t="n">
        <v>16693</v>
      </c>
      <c r="K514" s="11" t="n">
        <v>1157</v>
      </c>
      <c r="L514" s="11" t="n">
        <v>981868.53</v>
      </c>
    </row>
    <row r="515" customFormat="false" ht="15" hidden="false" customHeight="true" outlineLevel="0" collapsed="false">
      <c r="A515" s="11" t="n">
        <v>1076</v>
      </c>
      <c r="B515" s="11" t="s">
        <v>58</v>
      </c>
      <c r="C515" s="11" t="s">
        <v>149</v>
      </c>
      <c r="D515" s="11" t="s">
        <v>800</v>
      </c>
      <c r="E515" s="11" t="s">
        <v>384</v>
      </c>
      <c r="F515" s="11" t="s">
        <v>67</v>
      </c>
      <c r="G515" s="11" t="s">
        <v>95</v>
      </c>
      <c r="H515" s="11" t="n">
        <v>35845.5</v>
      </c>
      <c r="I515" s="11" t="n">
        <v>1048856</v>
      </c>
      <c r="J515" s="11" t="n">
        <v>19107</v>
      </c>
      <c r="K515" s="11" t="n">
        <v>1220</v>
      </c>
      <c r="L515" s="11" t="n">
        <v>1803501.42</v>
      </c>
    </row>
    <row r="516" customFormat="false" ht="15" hidden="false" customHeight="true" outlineLevel="0" collapsed="false">
      <c r="A516" s="11" t="n">
        <v>1804</v>
      </c>
      <c r="B516" s="11" t="s">
        <v>144</v>
      </c>
      <c r="C516" s="11" t="s">
        <v>141</v>
      </c>
      <c r="D516" s="11" t="s">
        <v>815</v>
      </c>
      <c r="E516" s="11" t="s">
        <v>816</v>
      </c>
      <c r="F516" s="11" t="s">
        <v>67</v>
      </c>
      <c r="G516" s="11" t="s">
        <v>131</v>
      </c>
      <c r="H516" s="11" t="n">
        <v>6992.98</v>
      </c>
      <c r="I516" s="11" t="n">
        <v>126686</v>
      </c>
      <c r="J516" s="11" t="n">
        <v>2230</v>
      </c>
      <c r="K516" s="11" t="n">
        <v>123</v>
      </c>
      <c r="L516" s="11" t="n">
        <v>131810.74</v>
      </c>
    </row>
    <row r="517" customFormat="false" ht="15" hidden="false" customHeight="true" outlineLevel="0" collapsed="false">
      <c r="A517" s="11" t="n">
        <v>1221</v>
      </c>
      <c r="B517" s="11" t="s">
        <v>167</v>
      </c>
      <c r="C517" s="11" t="s">
        <v>63</v>
      </c>
      <c r="D517" s="11" t="s">
        <v>817</v>
      </c>
      <c r="E517" s="11" t="s">
        <v>538</v>
      </c>
      <c r="F517" s="11" t="s">
        <v>48</v>
      </c>
      <c r="G517" s="11" t="s">
        <v>61</v>
      </c>
      <c r="H517" s="11" t="n">
        <v>44788.29</v>
      </c>
      <c r="I517" s="11" t="n">
        <v>716505</v>
      </c>
      <c r="J517" s="11" t="n">
        <v>17522</v>
      </c>
      <c r="K517" s="11" t="n">
        <v>301</v>
      </c>
      <c r="L517" s="11" t="n">
        <v>528026.25</v>
      </c>
    </row>
    <row r="518" customFormat="false" ht="15" hidden="false" customHeight="true" outlineLevel="0" collapsed="false">
      <c r="A518" s="11" t="n">
        <v>1162</v>
      </c>
      <c r="B518" s="11" t="s">
        <v>66</v>
      </c>
      <c r="C518" s="11" t="s">
        <v>47</v>
      </c>
      <c r="D518" s="11" t="s">
        <v>818</v>
      </c>
      <c r="E518" s="11" t="s">
        <v>302</v>
      </c>
      <c r="F518" s="11" t="s">
        <v>69</v>
      </c>
      <c r="G518" s="11" t="s">
        <v>61</v>
      </c>
      <c r="H518" s="11" t="n">
        <v>3513.78</v>
      </c>
      <c r="I518" s="11" t="n">
        <v>100539</v>
      </c>
      <c r="J518" s="11" t="n">
        <v>1964</v>
      </c>
      <c r="K518" s="11" t="n">
        <v>145</v>
      </c>
      <c r="L518" s="11" t="n">
        <v>156378.18</v>
      </c>
    </row>
    <row r="519" customFormat="false" ht="15" hidden="false" customHeight="true" outlineLevel="0" collapsed="false">
      <c r="A519" s="11" t="n">
        <v>1681</v>
      </c>
      <c r="B519" s="11" t="s">
        <v>79</v>
      </c>
      <c r="C519" s="11" t="s">
        <v>100</v>
      </c>
      <c r="D519" s="11" t="s">
        <v>435</v>
      </c>
      <c r="E519" s="11" t="s">
        <v>536</v>
      </c>
      <c r="F519" s="11" t="s">
        <v>60</v>
      </c>
      <c r="G519" s="11" t="s">
        <v>183</v>
      </c>
      <c r="H519" s="11" t="n">
        <v>75256.96</v>
      </c>
      <c r="I519" s="11" t="n">
        <v>1624717</v>
      </c>
      <c r="J519" s="11" t="n">
        <v>26169</v>
      </c>
      <c r="K519" s="11" t="n">
        <v>1910</v>
      </c>
      <c r="L519" s="11" t="n">
        <v>3263305.96</v>
      </c>
    </row>
    <row r="520" customFormat="false" ht="15" hidden="false" customHeight="true" outlineLevel="0" collapsed="false">
      <c r="A520" s="11" t="n">
        <v>1200</v>
      </c>
      <c r="B520" s="11" t="s">
        <v>52</v>
      </c>
      <c r="C520" s="11" t="s">
        <v>96</v>
      </c>
      <c r="D520" s="11" t="s">
        <v>254</v>
      </c>
      <c r="E520" s="11" t="s">
        <v>240</v>
      </c>
      <c r="F520" s="11" t="s">
        <v>51</v>
      </c>
      <c r="G520" s="11" t="s">
        <v>108</v>
      </c>
      <c r="H520" s="11" t="n">
        <v>1798.16</v>
      </c>
      <c r="I520" s="11" t="n">
        <v>61106</v>
      </c>
      <c r="J520" s="11" t="n">
        <v>712</v>
      </c>
      <c r="K520" s="11" t="n">
        <v>24</v>
      </c>
      <c r="L520" s="11" t="n">
        <v>37279.96</v>
      </c>
    </row>
    <row r="521" customFormat="false" ht="15" hidden="false" customHeight="true" outlineLevel="0" collapsed="false">
      <c r="A521" s="11" t="n">
        <v>1676</v>
      </c>
      <c r="B521" s="11" t="s">
        <v>55</v>
      </c>
      <c r="C521" s="11" t="s">
        <v>47</v>
      </c>
      <c r="D521" s="11" t="s">
        <v>506</v>
      </c>
      <c r="E521" s="11" t="s">
        <v>609</v>
      </c>
      <c r="F521" s="11" t="s">
        <v>65</v>
      </c>
      <c r="G521" s="11" t="s">
        <v>163</v>
      </c>
      <c r="H521" s="11" t="n">
        <v>3271.59</v>
      </c>
      <c r="I521" s="11" t="n">
        <v>106253</v>
      </c>
      <c r="J521" s="11" t="n">
        <v>2554</v>
      </c>
      <c r="K521" s="11" t="n">
        <v>162</v>
      </c>
      <c r="L521" s="11" t="n">
        <v>94423.09</v>
      </c>
    </row>
    <row r="522" customFormat="false" ht="15" hidden="false" customHeight="true" outlineLevel="0" collapsed="false">
      <c r="A522" s="11" t="n">
        <v>1143</v>
      </c>
      <c r="B522" s="11" t="s">
        <v>79</v>
      </c>
      <c r="C522" s="11" t="s">
        <v>210</v>
      </c>
      <c r="D522" s="11" t="s">
        <v>223</v>
      </c>
      <c r="E522" s="11" t="s">
        <v>808</v>
      </c>
      <c r="F522" s="11" t="s">
        <v>67</v>
      </c>
      <c r="G522" s="11" t="s">
        <v>108</v>
      </c>
      <c r="H522" s="11" t="n">
        <v>24794.57</v>
      </c>
      <c r="I522" s="11" t="n">
        <v>900304</v>
      </c>
      <c r="J522" s="11" t="n">
        <v>25792</v>
      </c>
      <c r="K522" s="11" t="n">
        <v>1872</v>
      </c>
      <c r="L522" s="11" t="n">
        <v>2724262.32</v>
      </c>
    </row>
    <row r="523" customFormat="false" ht="15" hidden="false" customHeight="true" outlineLevel="0" collapsed="false">
      <c r="A523" s="11" t="n">
        <v>1805</v>
      </c>
      <c r="B523" s="11" t="s">
        <v>58</v>
      </c>
      <c r="C523" s="11" t="s">
        <v>85</v>
      </c>
      <c r="D523" s="11" t="s">
        <v>819</v>
      </c>
      <c r="E523" s="11" t="s">
        <v>780</v>
      </c>
      <c r="F523" s="11" t="s">
        <v>69</v>
      </c>
      <c r="G523" s="11" t="s">
        <v>226</v>
      </c>
      <c r="H523" s="11"/>
      <c r="I523" s="11" t="n">
        <v>222825</v>
      </c>
      <c r="J523" s="11" t="n">
        <v>3752</v>
      </c>
      <c r="K523" s="11" t="n">
        <v>291</v>
      </c>
      <c r="L523" s="11" t="n">
        <v>218539.88</v>
      </c>
    </row>
    <row r="524" customFormat="false" ht="15" hidden="false" customHeight="true" outlineLevel="0" collapsed="false">
      <c r="A524" s="11" t="n">
        <v>1352</v>
      </c>
      <c r="B524" s="11" t="s">
        <v>382</v>
      </c>
      <c r="C524" s="11" t="s">
        <v>235</v>
      </c>
      <c r="D524" s="11" t="s">
        <v>667</v>
      </c>
      <c r="E524" s="11" t="s">
        <v>662</v>
      </c>
      <c r="F524" s="11" t="s">
        <v>69</v>
      </c>
      <c r="G524" s="11" t="s">
        <v>238</v>
      </c>
      <c r="H524" s="11" t="n">
        <v>16814.5</v>
      </c>
      <c r="I524" s="11" t="n">
        <v>397302</v>
      </c>
      <c r="J524" s="11" t="n">
        <v>6245</v>
      </c>
      <c r="K524" s="11" t="n">
        <v>216</v>
      </c>
      <c r="L524" s="11" t="n">
        <v>282700.37</v>
      </c>
    </row>
    <row r="525" customFormat="false" ht="15" hidden="false" customHeight="true" outlineLevel="0" collapsed="false">
      <c r="A525" s="11" t="n">
        <v>1799</v>
      </c>
      <c r="B525" s="11" t="s">
        <v>250</v>
      </c>
      <c r="C525" s="11" t="s">
        <v>115</v>
      </c>
      <c r="D525" s="11" t="s">
        <v>419</v>
      </c>
      <c r="E525" s="11" t="s">
        <v>820</v>
      </c>
      <c r="F525" s="11" t="s">
        <v>56</v>
      </c>
      <c r="G525" s="11" t="s">
        <v>54</v>
      </c>
      <c r="H525" s="11" t="n">
        <v>29646.77</v>
      </c>
      <c r="I525" s="11" t="n">
        <v>1074500</v>
      </c>
      <c r="J525" s="11" t="n">
        <v>37005</v>
      </c>
      <c r="K525" s="11" t="n">
        <v>2895</v>
      </c>
      <c r="L525" s="11" t="n">
        <v>2540329.48</v>
      </c>
    </row>
    <row r="526" customFormat="false" ht="15" hidden="false" customHeight="true" outlineLevel="0" collapsed="false">
      <c r="A526" s="11" t="n">
        <v>1407</v>
      </c>
      <c r="B526" s="11" t="s">
        <v>79</v>
      </c>
      <c r="C526" s="11" t="s">
        <v>235</v>
      </c>
      <c r="D526" s="11" t="s">
        <v>807</v>
      </c>
      <c r="E526" s="11" t="s">
        <v>771</v>
      </c>
      <c r="F526" s="11" t="s">
        <v>69</v>
      </c>
      <c r="G526" s="11" t="s">
        <v>226</v>
      </c>
      <c r="H526" s="11" t="n">
        <v>73101.15</v>
      </c>
      <c r="I526" s="11" t="n">
        <v>2325907</v>
      </c>
      <c r="J526" s="11" t="n">
        <v>40458</v>
      </c>
      <c r="K526" s="11" t="n">
        <v>2940</v>
      </c>
      <c r="L526" s="11" t="n">
        <v>4027166.51</v>
      </c>
    </row>
    <row r="527" customFormat="false" ht="15" hidden="false" customHeight="true" outlineLevel="0" collapsed="false">
      <c r="A527" s="11" t="n">
        <v>1237</v>
      </c>
      <c r="B527" s="11" t="s">
        <v>78</v>
      </c>
      <c r="C527" s="11" t="s">
        <v>81</v>
      </c>
      <c r="D527" s="11" t="s">
        <v>266</v>
      </c>
      <c r="E527" s="11" t="s">
        <v>94</v>
      </c>
      <c r="F527" s="11" t="s">
        <v>48</v>
      </c>
      <c r="G527" s="11" t="s">
        <v>172</v>
      </c>
      <c r="H527" s="11" t="n">
        <v>4435.64</v>
      </c>
      <c r="I527" s="11" t="n">
        <v>175695</v>
      </c>
      <c r="J527" s="11" t="n">
        <v>5706</v>
      </c>
      <c r="K527" s="11" t="n">
        <v>169</v>
      </c>
      <c r="L527" s="11" t="n">
        <v>113573.84</v>
      </c>
    </row>
    <row r="528" customFormat="false" ht="15" hidden="false" customHeight="true" outlineLevel="0" collapsed="false">
      <c r="A528" s="11" t="n">
        <v>1578</v>
      </c>
      <c r="B528" s="11" t="s">
        <v>382</v>
      </c>
      <c r="C528" s="11" t="s">
        <v>92</v>
      </c>
      <c r="D528" s="11" t="s">
        <v>821</v>
      </c>
      <c r="E528" s="11" t="s">
        <v>822</v>
      </c>
      <c r="F528" s="11" t="s">
        <v>65</v>
      </c>
      <c r="G528" s="11" t="s">
        <v>199</v>
      </c>
      <c r="H528" s="11" t="n">
        <v>2608.34</v>
      </c>
      <c r="I528" s="11" t="n">
        <v>93106</v>
      </c>
      <c r="J528" s="11" t="n">
        <v>3221</v>
      </c>
      <c r="K528" s="11" t="n">
        <v>240</v>
      </c>
      <c r="L528" s="11" t="n">
        <v>169240.49</v>
      </c>
    </row>
    <row r="529" customFormat="false" ht="15" hidden="false" customHeight="true" outlineLevel="0" collapsed="false">
      <c r="A529" s="11" t="n">
        <v>1809</v>
      </c>
      <c r="B529" s="11" t="s">
        <v>66</v>
      </c>
      <c r="C529" s="11" t="s">
        <v>192</v>
      </c>
      <c r="D529" s="11" t="s">
        <v>823</v>
      </c>
      <c r="E529" s="11" t="s">
        <v>535</v>
      </c>
      <c r="F529" s="11" t="s">
        <v>67</v>
      </c>
      <c r="G529" s="11" t="s">
        <v>72</v>
      </c>
      <c r="H529" s="11" t="n">
        <v>57536.69</v>
      </c>
      <c r="I529" s="11" t="n">
        <v>2135774</v>
      </c>
      <c r="J529" s="11" t="n">
        <v>26134</v>
      </c>
      <c r="K529" s="11" t="n">
        <v>778</v>
      </c>
      <c r="L529" s="11" t="n">
        <v>1185734.03</v>
      </c>
    </row>
    <row r="530" customFormat="false" ht="15" hidden="false" customHeight="true" outlineLevel="0" collapsed="false">
      <c r="A530" s="11" t="n">
        <v>1627</v>
      </c>
      <c r="B530" s="11" t="s">
        <v>79</v>
      </c>
      <c r="C530" s="11" t="s">
        <v>50</v>
      </c>
      <c r="D530" s="11" t="s">
        <v>268</v>
      </c>
      <c r="E530" s="11" t="s">
        <v>641</v>
      </c>
      <c r="F530" s="11" t="s">
        <v>51</v>
      </c>
      <c r="G530" s="11" t="s">
        <v>61</v>
      </c>
      <c r="H530" s="11" t="n">
        <v>51666.15</v>
      </c>
      <c r="I530" s="11" t="n">
        <v>1474368</v>
      </c>
      <c r="J530" s="11" t="n">
        <v>28408</v>
      </c>
      <c r="K530" s="11" t="n">
        <v>1393</v>
      </c>
      <c r="L530" s="11" t="n">
        <v>1180259.01</v>
      </c>
    </row>
    <row r="531" customFormat="false" ht="15" hidden="false" customHeight="true" outlineLevel="0" collapsed="false">
      <c r="A531" s="11" t="n">
        <v>1294</v>
      </c>
      <c r="B531" s="11" t="s">
        <v>144</v>
      </c>
      <c r="C531" s="11" t="s">
        <v>121</v>
      </c>
      <c r="D531" s="11" t="s">
        <v>824</v>
      </c>
      <c r="E531" s="11" t="s">
        <v>501</v>
      </c>
      <c r="F531" s="11" t="s">
        <v>51</v>
      </c>
      <c r="G531" s="11" t="s">
        <v>57</v>
      </c>
      <c r="H531" s="11" t="n">
        <v>20405.92</v>
      </c>
      <c r="I531" s="11" t="n">
        <v>430407</v>
      </c>
      <c r="J531" s="11" t="n">
        <v>4205</v>
      </c>
      <c r="K531" s="11" t="n">
        <v>184</v>
      </c>
      <c r="L531" s="11" t="n">
        <v>82024.79</v>
      </c>
    </row>
    <row r="532" customFormat="false" ht="15" hidden="false" customHeight="true" outlineLevel="0" collapsed="false">
      <c r="A532" s="11" t="n">
        <v>1632</v>
      </c>
      <c r="B532" s="11" t="s">
        <v>80</v>
      </c>
      <c r="C532" s="11" t="s">
        <v>141</v>
      </c>
      <c r="D532" s="11" t="s">
        <v>825</v>
      </c>
      <c r="E532" s="11" t="s">
        <v>826</v>
      </c>
      <c r="F532" s="11" t="s">
        <v>53</v>
      </c>
      <c r="G532" s="11" t="s">
        <v>99</v>
      </c>
      <c r="H532" s="11" t="n">
        <v>3861.43</v>
      </c>
      <c r="I532" s="11" t="n">
        <v>60125</v>
      </c>
      <c r="J532" s="11" t="n">
        <v>1400</v>
      </c>
      <c r="K532" s="11" t="n">
        <v>30</v>
      </c>
      <c r="L532" s="11" t="n">
        <v>37709.04</v>
      </c>
    </row>
    <row r="533" customFormat="false" ht="15" hidden="false" customHeight="true" outlineLevel="0" collapsed="false">
      <c r="A533" s="11" t="n">
        <v>1073</v>
      </c>
      <c r="B533" s="11" t="s">
        <v>66</v>
      </c>
      <c r="C533" s="11" t="s">
        <v>185</v>
      </c>
      <c r="D533" s="11" t="s">
        <v>827</v>
      </c>
      <c r="E533" s="11" t="s">
        <v>145</v>
      </c>
      <c r="F533" s="11" t="s">
        <v>56</v>
      </c>
      <c r="G533" s="11" t="s">
        <v>108</v>
      </c>
      <c r="H533" s="11" t="n">
        <v>42507.83</v>
      </c>
      <c r="I533" s="11" t="n">
        <v>1611840</v>
      </c>
      <c r="J533" s="11" t="n">
        <v>23060</v>
      </c>
      <c r="K533" s="11" t="n">
        <v>1289</v>
      </c>
      <c r="L533" s="11" t="n">
        <v>1688713.72</v>
      </c>
    </row>
    <row r="534" customFormat="false" ht="15" hidden="false" customHeight="true" outlineLevel="0" collapsed="false">
      <c r="A534" s="11" t="n">
        <v>1319</v>
      </c>
      <c r="B534" s="11" t="s">
        <v>423</v>
      </c>
      <c r="C534" s="11" t="s">
        <v>141</v>
      </c>
      <c r="D534" s="11" t="s">
        <v>828</v>
      </c>
      <c r="E534" s="11" t="s">
        <v>224</v>
      </c>
      <c r="F534" s="11" t="s">
        <v>56</v>
      </c>
      <c r="G534" s="11" t="s">
        <v>103</v>
      </c>
      <c r="H534" s="11" t="n">
        <v>3549.35</v>
      </c>
      <c r="I534" s="11" t="n">
        <v>71837</v>
      </c>
      <c r="J534" s="11" t="n">
        <v>900</v>
      </c>
      <c r="K534" s="11" t="n">
        <v>47</v>
      </c>
      <c r="L534" s="11" t="n">
        <v>77108.92</v>
      </c>
    </row>
    <row r="535" customFormat="false" ht="15" hidden="false" customHeight="true" outlineLevel="0" collapsed="false">
      <c r="A535" s="11" t="n">
        <v>1574</v>
      </c>
      <c r="B535" s="11" t="s">
        <v>78</v>
      </c>
      <c r="C535" s="11" t="s">
        <v>235</v>
      </c>
      <c r="D535" s="11" t="s">
        <v>330</v>
      </c>
      <c r="E535" s="11" t="s">
        <v>377</v>
      </c>
      <c r="F535" s="11" t="s">
        <v>65</v>
      </c>
      <c r="G535" s="11" t="s">
        <v>72</v>
      </c>
      <c r="H535" s="11" t="n">
        <v>45485.66</v>
      </c>
      <c r="I535" s="11" t="n">
        <v>810989</v>
      </c>
      <c r="J535" s="11" t="n">
        <v>5939</v>
      </c>
      <c r="K535" s="11" t="n">
        <v>144</v>
      </c>
      <c r="L535" s="11" t="n">
        <v>169492.4</v>
      </c>
    </row>
    <row r="536" customFormat="false" ht="15" hidden="false" customHeight="true" outlineLevel="0" collapsed="false">
      <c r="A536" s="11" t="n">
        <v>1060</v>
      </c>
      <c r="B536" s="11" t="s">
        <v>78</v>
      </c>
      <c r="C536" s="11" t="s">
        <v>47</v>
      </c>
      <c r="D536" s="11" t="s">
        <v>602</v>
      </c>
      <c r="E536" s="11" t="s">
        <v>154</v>
      </c>
      <c r="F536" s="11" t="s">
        <v>51</v>
      </c>
      <c r="G536" s="11" t="s">
        <v>49</v>
      </c>
      <c r="H536" s="11" t="n">
        <v>5258.08</v>
      </c>
      <c r="I536" s="11" t="n">
        <v>87505</v>
      </c>
      <c r="J536" s="11" t="n">
        <v>1159</v>
      </c>
      <c r="K536" s="11" t="n">
        <v>62</v>
      </c>
      <c r="L536" s="11" t="n">
        <v>70997.24</v>
      </c>
    </row>
    <row r="537" customFormat="false" ht="15" hidden="false" customHeight="true" outlineLevel="0" collapsed="false">
      <c r="A537" s="11" t="n">
        <v>1581</v>
      </c>
      <c r="B537" s="11" t="s">
        <v>188</v>
      </c>
      <c r="C537" s="11" t="s">
        <v>100</v>
      </c>
      <c r="D537" s="11" t="s">
        <v>529</v>
      </c>
      <c r="E537" s="11" t="s">
        <v>829</v>
      </c>
      <c r="F537" s="11" t="s">
        <v>60</v>
      </c>
      <c r="G537" s="11" t="s">
        <v>199</v>
      </c>
      <c r="H537" s="11" t="n">
        <v>77610.35</v>
      </c>
      <c r="I537" s="11" t="n">
        <v>1725454</v>
      </c>
      <c r="J537" s="11" t="n">
        <v>33324</v>
      </c>
      <c r="K537" s="11" t="n">
        <v>647</v>
      </c>
      <c r="L537" s="11" t="n">
        <v>398554.35</v>
      </c>
    </row>
    <row r="538" customFormat="false" ht="15" hidden="false" customHeight="true" outlineLevel="0" collapsed="false">
      <c r="A538" s="11" t="n">
        <v>1355</v>
      </c>
      <c r="B538" s="11" t="s">
        <v>55</v>
      </c>
      <c r="C538" s="11" t="s">
        <v>105</v>
      </c>
      <c r="D538" s="11" t="s">
        <v>830</v>
      </c>
      <c r="E538" s="11" t="s">
        <v>433</v>
      </c>
      <c r="F538" s="11" t="s">
        <v>67</v>
      </c>
      <c r="G538" s="11" t="s">
        <v>57</v>
      </c>
      <c r="H538" s="11" t="n">
        <v>26911.81</v>
      </c>
      <c r="I538" s="11" t="n">
        <v>544788</v>
      </c>
      <c r="J538" s="11" t="n">
        <v>15727</v>
      </c>
      <c r="K538" s="11" t="n">
        <v>874</v>
      </c>
      <c r="L538" s="11" t="n">
        <v>688430.72</v>
      </c>
    </row>
    <row r="539" customFormat="false" ht="15" hidden="false" customHeight="true" outlineLevel="0" collapsed="false">
      <c r="A539" s="11" t="n">
        <v>1377</v>
      </c>
      <c r="B539" s="11" t="s">
        <v>164</v>
      </c>
      <c r="C539" s="11" t="s">
        <v>92</v>
      </c>
      <c r="D539" s="11" t="s">
        <v>303</v>
      </c>
      <c r="E539" s="11" t="s">
        <v>590</v>
      </c>
      <c r="F539" s="11" t="s">
        <v>56</v>
      </c>
      <c r="G539" s="11" t="s">
        <v>95</v>
      </c>
      <c r="H539" s="11" t="n">
        <v>5530.58</v>
      </c>
      <c r="I539" s="11" t="n">
        <v>94568</v>
      </c>
      <c r="J539" s="11" t="n">
        <v>1801</v>
      </c>
      <c r="K539" s="11" t="n">
        <v>27</v>
      </c>
      <c r="L539" s="11" t="n">
        <v>40830.47</v>
      </c>
    </row>
    <row r="540" customFormat="false" ht="15" hidden="false" customHeight="true" outlineLevel="0" collapsed="false">
      <c r="A540" s="11" t="n">
        <v>1713</v>
      </c>
      <c r="B540" s="11" t="s">
        <v>316</v>
      </c>
      <c r="C540" s="11" t="s">
        <v>115</v>
      </c>
      <c r="D540" s="11" t="s">
        <v>831</v>
      </c>
      <c r="E540" s="11" t="s">
        <v>267</v>
      </c>
      <c r="F540" s="11" t="s">
        <v>48</v>
      </c>
      <c r="G540" s="11" t="s">
        <v>226</v>
      </c>
      <c r="H540" s="11" t="n">
        <v>66101.99</v>
      </c>
      <c r="I540" s="11" t="n">
        <v>2278662</v>
      </c>
      <c r="J540" s="11" t="n">
        <v>70435</v>
      </c>
      <c r="K540" s="11" t="n">
        <v>751</v>
      </c>
      <c r="L540" s="11" t="n">
        <v>277493.35</v>
      </c>
    </row>
    <row r="541" customFormat="false" ht="15" hidden="false" customHeight="true" outlineLevel="0" collapsed="false">
      <c r="A541" s="11" t="n">
        <v>1219</v>
      </c>
      <c r="B541" s="11" t="s">
        <v>70</v>
      </c>
      <c r="C541" s="11" t="s">
        <v>210</v>
      </c>
      <c r="D541" s="11" t="s">
        <v>387</v>
      </c>
      <c r="E541" s="11" t="s">
        <v>832</v>
      </c>
      <c r="F541" s="11" t="s">
        <v>51</v>
      </c>
      <c r="G541" s="11" t="s">
        <v>112</v>
      </c>
      <c r="H541" s="11" t="n">
        <v>42436.4</v>
      </c>
      <c r="I541" s="11" t="n">
        <v>873454</v>
      </c>
      <c r="J541" s="11" t="n">
        <v>24600</v>
      </c>
      <c r="K541" s="11" t="n">
        <v>1508</v>
      </c>
      <c r="L541" s="11" t="n">
        <v>1164098.76</v>
      </c>
    </row>
    <row r="542" customFormat="false" ht="15" hidden="false" customHeight="true" outlineLevel="0" collapsed="false">
      <c r="A542" s="11" t="n">
        <v>1004</v>
      </c>
      <c r="B542" s="11" t="s">
        <v>55</v>
      </c>
      <c r="C542" s="11" t="s">
        <v>105</v>
      </c>
      <c r="D542" s="11" t="s">
        <v>82</v>
      </c>
      <c r="E542" s="11" t="s">
        <v>833</v>
      </c>
      <c r="F542" s="11" t="s">
        <v>48</v>
      </c>
      <c r="G542" s="11" t="s">
        <v>72</v>
      </c>
      <c r="H542" s="11" t="n">
        <v>41422.02</v>
      </c>
      <c r="I542" s="11" t="n">
        <v>1036756</v>
      </c>
      <c r="J542" s="11" t="n">
        <v>7242</v>
      </c>
      <c r="K542" s="11" t="n">
        <v>535</v>
      </c>
      <c r="L542" s="11" t="n">
        <v>627239.92</v>
      </c>
    </row>
    <row r="543" customFormat="false" ht="15" hidden="false" customHeight="true" outlineLevel="0" collapsed="false">
      <c r="A543" s="11" t="n">
        <v>1426</v>
      </c>
      <c r="B543" s="11" t="s">
        <v>184</v>
      </c>
      <c r="C543" s="11" t="s">
        <v>138</v>
      </c>
      <c r="D543" s="11" t="s">
        <v>834</v>
      </c>
      <c r="E543" s="11" t="s">
        <v>660</v>
      </c>
      <c r="F543" s="11" t="s">
        <v>56</v>
      </c>
      <c r="G543" s="11" t="s">
        <v>175</v>
      </c>
      <c r="H543" s="11" t="n">
        <v>39883.35</v>
      </c>
      <c r="I543" s="11" t="n">
        <v>879273</v>
      </c>
      <c r="J543" s="11" t="n">
        <v>13539</v>
      </c>
      <c r="K543" s="11" t="n">
        <v>1080</v>
      </c>
      <c r="L543" s="11" t="n">
        <v>1859146.3</v>
      </c>
    </row>
    <row r="544" customFormat="false" ht="15" hidden="false" customHeight="true" outlineLevel="0" collapsed="false">
      <c r="A544" s="11" t="n">
        <v>1123</v>
      </c>
      <c r="B544" s="11" t="s">
        <v>62</v>
      </c>
      <c r="C544" s="11" t="s">
        <v>59</v>
      </c>
      <c r="D544" s="11" t="s">
        <v>277</v>
      </c>
      <c r="E544" s="11" t="s">
        <v>157</v>
      </c>
      <c r="F544" s="11" t="s">
        <v>60</v>
      </c>
      <c r="G544" s="11" t="s">
        <v>61</v>
      </c>
      <c r="H544" s="11" t="n">
        <v>57296.86</v>
      </c>
      <c r="I544" s="11" t="n">
        <v>1671200</v>
      </c>
      <c r="J544" s="11" t="n">
        <v>50943</v>
      </c>
      <c r="K544" s="11" t="n">
        <v>2923</v>
      </c>
      <c r="L544" s="11" t="n">
        <v>3314142.78</v>
      </c>
    </row>
    <row r="545" customFormat="false" ht="15" hidden="false" customHeight="true" outlineLevel="0" collapsed="false">
      <c r="A545" s="11" t="n">
        <v>1291</v>
      </c>
      <c r="B545" s="11" t="s">
        <v>55</v>
      </c>
      <c r="C545" s="11" t="s">
        <v>85</v>
      </c>
      <c r="D545" s="11" t="s">
        <v>692</v>
      </c>
      <c r="E545" s="11" t="s">
        <v>440</v>
      </c>
      <c r="F545" s="11" t="s">
        <v>48</v>
      </c>
      <c r="G545" s="11" t="s">
        <v>61</v>
      </c>
      <c r="H545" s="11" t="n">
        <v>19105.18</v>
      </c>
      <c r="I545" s="11" t="n">
        <v>511414</v>
      </c>
      <c r="J545" s="11" t="n">
        <v>12920</v>
      </c>
      <c r="K545" s="11" t="n">
        <v>225</v>
      </c>
      <c r="L545" s="11" t="n">
        <v>96302.21</v>
      </c>
    </row>
    <row r="546" customFormat="false" ht="15" hidden="false" customHeight="true" outlineLevel="0" collapsed="false">
      <c r="A546" s="11" t="n">
        <v>1271</v>
      </c>
      <c r="B546" s="11" t="s">
        <v>79</v>
      </c>
      <c r="C546" s="11" t="s">
        <v>149</v>
      </c>
      <c r="D546" s="11" t="s">
        <v>376</v>
      </c>
      <c r="E546" s="11" t="s">
        <v>835</v>
      </c>
      <c r="F546" s="11" t="s">
        <v>56</v>
      </c>
      <c r="G546" s="11" t="s">
        <v>72</v>
      </c>
      <c r="H546" s="11" t="n">
        <v>31565.35</v>
      </c>
      <c r="I546" s="11" t="n">
        <v>1013286</v>
      </c>
      <c r="J546" s="11" t="n">
        <v>11216</v>
      </c>
      <c r="K546" s="11" t="n">
        <v>220</v>
      </c>
      <c r="L546" s="11" t="n">
        <v>296641.74</v>
      </c>
    </row>
    <row r="547" customFormat="false" ht="15" hidden="false" customHeight="true" outlineLevel="0" collapsed="false">
      <c r="A547" s="11" t="n">
        <v>1510</v>
      </c>
      <c r="B547" s="11" t="s">
        <v>55</v>
      </c>
      <c r="C547" s="11" t="s">
        <v>59</v>
      </c>
      <c r="D547" s="11" t="s">
        <v>671</v>
      </c>
      <c r="E547" s="11" t="s">
        <v>549</v>
      </c>
      <c r="F547" s="11" t="s">
        <v>53</v>
      </c>
      <c r="G547" s="11" t="s">
        <v>57</v>
      </c>
      <c r="H547" s="11" t="n">
        <v>57760.03</v>
      </c>
      <c r="I547" s="11" t="n">
        <v>2099330</v>
      </c>
      <c r="J547" s="11" t="n">
        <v>24544</v>
      </c>
      <c r="K547" s="11" t="n">
        <v>1747</v>
      </c>
      <c r="L547" s="11" t="n">
        <v>2306508.75</v>
      </c>
    </row>
    <row r="548" customFormat="false" ht="15" hidden="false" customHeight="true" outlineLevel="0" collapsed="false">
      <c r="A548" s="11" t="n">
        <v>1484</v>
      </c>
      <c r="B548" s="11" t="s">
        <v>66</v>
      </c>
      <c r="C548" s="11" t="s">
        <v>115</v>
      </c>
      <c r="D548" s="11" t="s">
        <v>83</v>
      </c>
      <c r="E548" s="11" t="s">
        <v>792</v>
      </c>
      <c r="F548" s="11" t="s">
        <v>53</v>
      </c>
      <c r="G548" s="11" t="s">
        <v>108</v>
      </c>
      <c r="H548" s="11" t="n">
        <v>57807.31</v>
      </c>
      <c r="I548" s="11" t="n">
        <v>1980570</v>
      </c>
      <c r="J548" s="11" t="n">
        <v>17645</v>
      </c>
      <c r="K548" s="11" t="n">
        <v>621</v>
      </c>
      <c r="L548" s="11" t="n">
        <v>946746.24</v>
      </c>
    </row>
    <row r="549" customFormat="false" ht="15" hidden="false" customHeight="true" outlineLevel="0" collapsed="false">
      <c r="A549" s="11" t="n">
        <v>1342</v>
      </c>
      <c r="B549" s="11" t="s">
        <v>104</v>
      </c>
      <c r="C549" s="11" t="s">
        <v>155</v>
      </c>
      <c r="D549" s="11" t="s">
        <v>102</v>
      </c>
      <c r="E549" s="11" t="s">
        <v>835</v>
      </c>
      <c r="F549" s="11" t="s">
        <v>56</v>
      </c>
      <c r="G549" s="11" t="s">
        <v>226</v>
      </c>
      <c r="H549" s="11" t="n">
        <v>30738.08</v>
      </c>
      <c r="I549" s="11" t="n">
        <v>1215006</v>
      </c>
      <c r="J549" s="11" t="n">
        <v>21559</v>
      </c>
      <c r="K549" s="11" t="n">
        <v>1367</v>
      </c>
      <c r="L549" s="11"/>
    </row>
    <row r="550" customFormat="false" ht="15" hidden="false" customHeight="true" outlineLevel="0" collapsed="false">
      <c r="A550" s="11" t="n">
        <v>1638</v>
      </c>
      <c r="B550" s="11" t="s">
        <v>46</v>
      </c>
      <c r="C550" s="11" t="s">
        <v>92</v>
      </c>
      <c r="D550" s="11" t="s">
        <v>426</v>
      </c>
      <c r="E550" s="11" t="s">
        <v>287</v>
      </c>
      <c r="F550" s="11" t="s">
        <v>60</v>
      </c>
      <c r="G550" s="11" t="s">
        <v>137</v>
      </c>
      <c r="H550" s="11" t="n">
        <v>1196.03</v>
      </c>
      <c r="I550" s="11" t="n">
        <v>24269</v>
      </c>
      <c r="J550" s="11" t="n">
        <v>341</v>
      </c>
      <c r="K550" s="11" t="n">
        <v>17</v>
      </c>
      <c r="L550" s="11" t="n">
        <v>12344.73</v>
      </c>
    </row>
    <row r="551" customFormat="false" ht="15" hidden="false" customHeight="true" outlineLevel="0" collapsed="false">
      <c r="A551" s="11" t="n">
        <v>1251</v>
      </c>
      <c r="B551" s="11" t="s">
        <v>46</v>
      </c>
      <c r="C551" s="11" t="s">
        <v>134</v>
      </c>
      <c r="D551" s="11" t="s">
        <v>582</v>
      </c>
      <c r="E551" s="11" t="s">
        <v>742</v>
      </c>
      <c r="F551" s="11" t="s">
        <v>69</v>
      </c>
      <c r="G551" s="11" t="s">
        <v>163</v>
      </c>
      <c r="H551" s="11" t="n">
        <v>21172.26</v>
      </c>
      <c r="I551" s="11" t="n">
        <v>655556</v>
      </c>
      <c r="J551" s="11" t="n">
        <v>7186</v>
      </c>
      <c r="K551" s="11" t="n">
        <v>518</v>
      </c>
      <c r="L551" s="11" t="n">
        <v>829993.27</v>
      </c>
    </row>
    <row r="552" customFormat="false" ht="15" hidden="false" customHeight="true" outlineLevel="0" collapsed="false">
      <c r="A552" s="11" t="n">
        <v>1014</v>
      </c>
      <c r="B552" s="11" t="s">
        <v>66</v>
      </c>
      <c r="C552" s="11" t="s">
        <v>149</v>
      </c>
      <c r="D552" s="11" t="s">
        <v>836</v>
      </c>
      <c r="E552" s="11" t="s">
        <v>410</v>
      </c>
      <c r="F552" s="11" t="s">
        <v>53</v>
      </c>
      <c r="G552" s="11"/>
      <c r="H552" s="11" t="n">
        <v>30869.98</v>
      </c>
      <c r="I552" s="11" t="n">
        <v>707207</v>
      </c>
      <c r="J552" s="11" t="n">
        <v>9068</v>
      </c>
      <c r="K552" s="11" t="n">
        <v>515</v>
      </c>
      <c r="L552" s="11" t="n">
        <v>414866.8</v>
      </c>
    </row>
    <row r="553" customFormat="false" ht="15" hidden="false" customHeight="true" outlineLevel="0" collapsed="false">
      <c r="A553" s="11" t="n">
        <v>1537</v>
      </c>
      <c r="B553" s="11" t="s">
        <v>144</v>
      </c>
      <c r="C553" s="11" t="s">
        <v>138</v>
      </c>
      <c r="D553" s="11" t="s">
        <v>837</v>
      </c>
      <c r="E553" s="11" t="s">
        <v>156</v>
      </c>
      <c r="F553" s="11" t="s">
        <v>65</v>
      </c>
      <c r="G553" s="11" t="s">
        <v>49</v>
      </c>
      <c r="H553" s="11" t="n">
        <v>17737.29</v>
      </c>
      <c r="I553" s="11" t="n">
        <v>477239</v>
      </c>
      <c r="J553" s="11" t="n">
        <v>9986</v>
      </c>
      <c r="K553" s="11" t="n">
        <v>345</v>
      </c>
      <c r="L553" s="11" t="n">
        <v>179942.68</v>
      </c>
    </row>
    <row r="554" customFormat="false" ht="15" hidden="false" customHeight="true" outlineLevel="0" collapsed="false">
      <c r="A554" s="11" t="n">
        <v>1131</v>
      </c>
      <c r="B554" s="11" t="s">
        <v>78</v>
      </c>
      <c r="C554" s="11" t="s">
        <v>81</v>
      </c>
      <c r="D554" s="11" t="s">
        <v>838</v>
      </c>
      <c r="E554" s="11" t="s">
        <v>422</v>
      </c>
      <c r="F554" s="11" t="s">
        <v>53</v>
      </c>
      <c r="G554" s="11" t="s">
        <v>99</v>
      </c>
      <c r="H554" s="11" t="n">
        <v>5603.21</v>
      </c>
      <c r="I554" s="11" t="n">
        <v>133777</v>
      </c>
      <c r="J554" s="11" t="n">
        <v>3265</v>
      </c>
      <c r="K554" s="11" t="n">
        <v>42</v>
      </c>
      <c r="L554" s="11" t="n">
        <v>74601.74</v>
      </c>
    </row>
    <row r="555" customFormat="false" ht="15" hidden="false" customHeight="true" outlineLevel="0" collapsed="false">
      <c r="A555" s="11" t="n">
        <v>1115</v>
      </c>
      <c r="B555" s="11" t="s">
        <v>79</v>
      </c>
      <c r="C555" s="11" t="s">
        <v>149</v>
      </c>
      <c r="D555" s="11" t="s">
        <v>482</v>
      </c>
      <c r="E555" s="11" t="s">
        <v>742</v>
      </c>
      <c r="F555" s="11" t="s">
        <v>53</v>
      </c>
      <c r="G555" s="11" t="s">
        <v>172</v>
      </c>
      <c r="H555" s="11" t="n">
        <v>8267.61</v>
      </c>
      <c r="I555" s="11" t="n">
        <v>201971</v>
      </c>
      <c r="J555" s="11" t="n">
        <v>4675</v>
      </c>
      <c r="K555" s="11" t="n">
        <v>59</v>
      </c>
      <c r="L555" s="11" t="n">
        <v>26876.7</v>
      </c>
    </row>
    <row r="556" customFormat="false" ht="15" hidden="false" customHeight="true" outlineLevel="0" collapsed="false">
      <c r="A556" s="11" t="n">
        <v>1425</v>
      </c>
      <c r="B556" s="11" t="s">
        <v>184</v>
      </c>
      <c r="C556" s="11" t="s">
        <v>96</v>
      </c>
      <c r="D556" s="11" t="s">
        <v>267</v>
      </c>
      <c r="E556" s="11" t="s">
        <v>220</v>
      </c>
      <c r="F556" s="11" t="s">
        <v>48</v>
      </c>
      <c r="G556" s="11" t="s">
        <v>238</v>
      </c>
      <c r="H556" s="11" t="n">
        <v>4589.54</v>
      </c>
      <c r="I556" s="11" t="n">
        <v>142695</v>
      </c>
      <c r="J556" s="11" t="n">
        <v>4077</v>
      </c>
      <c r="K556" s="11" t="n">
        <v>305</v>
      </c>
      <c r="L556" s="11" t="n">
        <v>150271.43</v>
      </c>
    </row>
    <row r="557" customFormat="false" ht="15" hidden="false" customHeight="true" outlineLevel="0" collapsed="false">
      <c r="A557" s="11" t="n">
        <v>1343</v>
      </c>
      <c r="B557" s="11" t="s">
        <v>78</v>
      </c>
      <c r="C557" s="11" t="s">
        <v>63</v>
      </c>
      <c r="D557" s="11" t="s">
        <v>333</v>
      </c>
      <c r="E557" s="11" t="s">
        <v>839</v>
      </c>
      <c r="F557" s="11" t="s">
        <v>67</v>
      </c>
      <c r="G557" s="11" t="s">
        <v>172</v>
      </c>
      <c r="H557" s="11" t="n">
        <v>35373.8</v>
      </c>
      <c r="I557" s="11" t="n">
        <v>1197889</v>
      </c>
      <c r="J557" s="11" t="n">
        <v>34105</v>
      </c>
      <c r="K557" s="11" t="n">
        <v>2537</v>
      </c>
      <c r="L557" s="11" t="n">
        <v>1643549.07</v>
      </c>
    </row>
    <row r="558" customFormat="false" ht="15" hidden="false" customHeight="true" outlineLevel="0" collapsed="false">
      <c r="A558" s="11" t="n">
        <v>1110</v>
      </c>
      <c r="B558" s="11" t="s">
        <v>78</v>
      </c>
      <c r="C558" s="11" t="s">
        <v>121</v>
      </c>
      <c r="D558" s="11" t="s">
        <v>821</v>
      </c>
      <c r="E558" s="11" t="s">
        <v>708</v>
      </c>
      <c r="F558" s="11" t="s">
        <v>60</v>
      </c>
      <c r="G558" s="11" t="s">
        <v>103</v>
      </c>
      <c r="H558" s="11" t="n">
        <v>12173</v>
      </c>
      <c r="I558" s="11" t="n">
        <v>476008</v>
      </c>
      <c r="J558" s="11" t="n">
        <v>14868</v>
      </c>
      <c r="K558" s="11" t="n">
        <v>287</v>
      </c>
      <c r="L558" s="11" t="n">
        <v>458458.26</v>
      </c>
    </row>
    <row r="559" customFormat="false" ht="15" hidden="false" customHeight="true" outlineLevel="0" collapsed="false">
      <c r="A559" s="11" t="n">
        <v>1031</v>
      </c>
      <c r="B559" s="11" t="s">
        <v>58</v>
      </c>
      <c r="C559" s="11" t="s">
        <v>85</v>
      </c>
      <c r="D559" s="11" t="s">
        <v>840</v>
      </c>
      <c r="E559" s="11" t="s">
        <v>527</v>
      </c>
      <c r="F559" s="11" t="s">
        <v>53</v>
      </c>
      <c r="G559" s="11" t="s">
        <v>226</v>
      </c>
      <c r="H559" s="11" t="n">
        <v>50305.77</v>
      </c>
      <c r="I559" s="11" t="n">
        <v>1896560</v>
      </c>
      <c r="J559" s="11" t="n">
        <v>30836</v>
      </c>
      <c r="K559" s="11" t="n">
        <v>2340</v>
      </c>
      <c r="L559" s="11" t="n">
        <v>1491932.93</v>
      </c>
    </row>
    <row r="560" customFormat="false" ht="15" hidden="false" customHeight="true" outlineLevel="0" collapsed="false">
      <c r="A560" s="11" t="n">
        <v>1028</v>
      </c>
      <c r="B560" s="11" t="s">
        <v>180</v>
      </c>
      <c r="C560" s="11" t="s">
        <v>210</v>
      </c>
      <c r="D560" s="11" t="s">
        <v>669</v>
      </c>
      <c r="E560" s="11" t="s">
        <v>670</v>
      </c>
      <c r="F560" s="11" t="s">
        <v>65</v>
      </c>
      <c r="G560" s="11" t="s">
        <v>84</v>
      </c>
      <c r="H560" s="11" t="n">
        <v>47687.7</v>
      </c>
      <c r="I560" s="11" t="n">
        <v>749918</v>
      </c>
      <c r="J560" s="11" t="n">
        <v>11311</v>
      </c>
      <c r="K560" s="11" t="n">
        <v>650</v>
      </c>
      <c r="L560" s="11" t="n">
        <v>608568.46</v>
      </c>
    </row>
    <row r="561" customFormat="false" ht="15" hidden="false" customHeight="true" outlineLevel="0" collapsed="false">
      <c r="A561" s="11" t="n">
        <v>1607</v>
      </c>
      <c r="B561" s="11" t="s">
        <v>78</v>
      </c>
      <c r="C561" s="11" t="s">
        <v>59</v>
      </c>
      <c r="D561" s="11" t="s">
        <v>841</v>
      </c>
      <c r="E561" s="11" t="s">
        <v>661</v>
      </c>
      <c r="F561" s="11" t="s">
        <v>56</v>
      </c>
      <c r="G561" s="11" t="s">
        <v>137</v>
      </c>
      <c r="H561" s="11" t="n">
        <v>19203.6</v>
      </c>
      <c r="I561" s="11" t="n">
        <v>594100</v>
      </c>
      <c r="J561" s="11" t="n">
        <v>4081</v>
      </c>
      <c r="K561" s="11" t="n">
        <v>68</v>
      </c>
      <c r="L561" s="11" t="n">
        <v>77446.63</v>
      </c>
    </row>
    <row r="562" customFormat="false" ht="15" hidden="false" customHeight="true" outlineLevel="0" collapsed="false">
      <c r="A562" s="11" t="n">
        <v>1720</v>
      </c>
      <c r="B562" s="11" t="s">
        <v>64</v>
      </c>
      <c r="C562" s="11" t="s">
        <v>50</v>
      </c>
      <c r="D562" s="11" t="s">
        <v>842</v>
      </c>
      <c r="E562" s="11" t="s">
        <v>343</v>
      </c>
      <c r="F562" s="11" t="s">
        <v>56</v>
      </c>
      <c r="G562" s="11" t="s">
        <v>137</v>
      </c>
      <c r="H562" s="11" t="n">
        <v>37390.42</v>
      </c>
      <c r="I562" s="11" t="n">
        <v>700976</v>
      </c>
      <c r="J562" s="11" t="n">
        <v>10598</v>
      </c>
      <c r="K562" s="11" t="n">
        <v>122</v>
      </c>
      <c r="L562" s="11" t="n">
        <v>112085.82</v>
      </c>
    </row>
    <row r="563" customFormat="false" ht="15" hidden="false" customHeight="true" outlineLevel="0" collapsed="false">
      <c r="A563" s="11" t="n">
        <v>1011</v>
      </c>
      <c r="B563" s="11" t="s">
        <v>64</v>
      </c>
      <c r="C563" s="11" t="s">
        <v>71</v>
      </c>
      <c r="D563" s="11" t="s">
        <v>843</v>
      </c>
      <c r="E563" s="11" t="s">
        <v>133</v>
      </c>
      <c r="F563" s="11" t="s">
        <v>51</v>
      </c>
      <c r="G563" s="11" t="s">
        <v>226</v>
      </c>
      <c r="H563" s="11" t="n">
        <v>22484.35</v>
      </c>
      <c r="I563" s="11" t="n">
        <v>477683</v>
      </c>
      <c r="J563" s="11" t="n">
        <v>15619</v>
      </c>
      <c r="K563" s="11" t="n">
        <v>640</v>
      </c>
      <c r="L563" s="11" t="n">
        <v>1023331.97</v>
      </c>
    </row>
    <row r="564" customFormat="false" ht="15" hidden="false" customHeight="true" outlineLevel="0" collapsed="false">
      <c r="A564" s="11" t="n">
        <v>1009</v>
      </c>
      <c r="B564" s="11" t="s">
        <v>64</v>
      </c>
      <c r="C564" s="11" t="s">
        <v>138</v>
      </c>
      <c r="D564" s="11" t="s">
        <v>552</v>
      </c>
      <c r="E564" s="11" t="s">
        <v>203</v>
      </c>
      <c r="F564" s="11" t="s">
        <v>65</v>
      </c>
      <c r="G564" s="11" t="s">
        <v>131</v>
      </c>
      <c r="H564" s="11" t="n">
        <v>6925.51</v>
      </c>
      <c r="I564" s="11" t="n">
        <v>199787</v>
      </c>
      <c r="J564" s="11" t="n">
        <v>4525</v>
      </c>
      <c r="K564" s="11" t="n">
        <v>47</v>
      </c>
      <c r="L564" s="11" t="n">
        <v>64689.36</v>
      </c>
    </row>
    <row r="565" customFormat="false" ht="15" hidden="false" customHeight="true" outlineLevel="0" collapsed="false">
      <c r="A565" s="11" t="n">
        <v>1538</v>
      </c>
      <c r="B565" s="11" t="s">
        <v>313</v>
      </c>
      <c r="C565" s="11" t="s">
        <v>81</v>
      </c>
      <c r="D565" s="11" t="s">
        <v>844</v>
      </c>
      <c r="E565" s="11" t="s">
        <v>621</v>
      </c>
      <c r="F565" s="11" t="s">
        <v>60</v>
      </c>
      <c r="G565" s="11" t="s">
        <v>163</v>
      </c>
      <c r="H565" s="11" t="n">
        <v>2326.15</v>
      </c>
      <c r="I565" s="11" t="n">
        <v>45164</v>
      </c>
      <c r="J565" s="11" t="n">
        <v>599</v>
      </c>
      <c r="K565" s="11" t="n">
        <v>31</v>
      </c>
      <c r="L565" s="11" t="n">
        <v>34161.9</v>
      </c>
    </row>
    <row r="566" customFormat="false" ht="15" hidden="false" customHeight="true" outlineLevel="0" collapsed="false">
      <c r="A566" s="11" t="n">
        <v>1576</v>
      </c>
      <c r="B566" s="11" t="s">
        <v>55</v>
      </c>
      <c r="C566" s="11" t="s">
        <v>100</v>
      </c>
      <c r="D566" s="11" t="s">
        <v>818</v>
      </c>
      <c r="E566" s="11" t="s">
        <v>620</v>
      </c>
      <c r="F566" s="11" t="s">
        <v>56</v>
      </c>
      <c r="G566" s="11" t="s">
        <v>57</v>
      </c>
      <c r="H566" s="11" t="n">
        <v>20883.37</v>
      </c>
      <c r="I566" s="11" t="n">
        <v>353613</v>
      </c>
      <c r="J566" s="11" t="n">
        <v>11692</v>
      </c>
      <c r="K566" s="11" t="n">
        <v>300</v>
      </c>
      <c r="L566" s="11" t="n">
        <v>324020.71</v>
      </c>
    </row>
    <row r="567" customFormat="false" ht="15" hidden="false" customHeight="true" outlineLevel="0" collapsed="false">
      <c r="A567" s="11" t="n">
        <v>1623</v>
      </c>
      <c r="B567" s="11" t="s">
        <v>68</v>
      </c>
      <c r="C567" s="11" t="s">
        <v>50</v>
      </c>
      <c r="D567" s="11" t="s">
        <v>845</v>
      </c>
      <c r="E567" s="11" t="s">
        <v>87</v>
      </c>
      <c r="F567" s="11" t="s">
        <v>67</v>
      </c>
      <c r="G567" s="11" t="s">
        <v>49</v>
      </c>
      <c r="H567" s="11" t="n">
        <v>17817.83</v>
      </c>
      <c r="I567" s="11" t="n">
        <v>593291</v>
      </c>
      <c r="J567" s="11" t="n">
        <v>12422</v>
      </c>
      <c r="K567" s="11" t="n">
        <v>468</v>
      </c>
      <c r="L567" s="11" t="n">
        <v>282713.55</v>
      </c>
    </row>
    <row r="568" customFormat="false" ht="15" hidden="false" customHeight="true" outlineLevel="0" collapsed="false">
      <c r="A568" s="11" t="n">
        <v>1473</v>
      </c>
      <c r="B568" s="11" t="s">
        <v>46</v>
      </c>
      <c r="C568" s="11" t="s">
        <v>85</v>
      </c>
      <c r="D568" s="11" t="s">
        <v>748</v>
      </c>
      <c r="E568" s="11" t="s">
        <v>846</v>
      </c>
      <c r="F568" s="11" t="s">
        <v>51</v>
      </c>
      <c r="G568" s="11" t="s">
        <v>103</v>
      </c>
      <c r="H568" s="11" t="n">
        <v>76683.14</v>
      </c>
      <c r="I568" s="11" t="n">
        <v>2148267</v>
      </c>
      <c r="J568" s="11" t="n">
        <v>57045</v>
      </c>
      <c r="K568" s="11" t="n">
        <v>4259</v>
      </c>
      <c r="L568" s="11" t="n">
        <v>2903394.16</v>
      </c>
    </row>
    <row r="569" customFormat="false" ht="15" hidden="false" customHeight="true" outlineLevel="0" collapsed="false">
      <c r="A569" s="11" t="n">
        <v>1098</v>
      </c>
      <c r="B569" s="11" t="s">
        <v>70</v>
      </c>
      <c r="C569" s="11" t="s">
        <v>155</v>
      </c>
      <c r="D569" s="11" t="s">
        <v>847</v>
      </c>
      <c r="E569" s="11" t="s">
        <v>595</v>
      </c>
      <c r="F569" s="11" t="s">
        <v>65</v>
      </c>
      <c r="G569" s="11" t="s">
        <v>91</v>
      </c>
      <c r="H569" s="11" t="n">
        <v>27788.4</v>
      </c>
      <c r="I569" s="11" t="n">
        <v>853816</v>
      </c>
      <c r="J569" s="11" t="n">
        <v>20143</v>
      </c>
      <c r="K569" s="11" t="n">
        <v>1387</v>
      </c>
      <c r="L569" s="11" t="n">
        <v>782649.12</v>
      </c>
    </row>
    <row r="570" customFormat="false" ht="15" hidden="false" customHeight="true" outlineLevel="0" collapsed="false">
      <c r="A570" s="11" t="n">
        <v>1399</v>
      </c>
      <c r="B570" s="11" t="s">
        <v>46</v>
      </c>
      <c r="C570" s="11" t="s">
        <v>92</v>
      </c>
      <c r="D570" s="11" t="s">
        <v>817</v>
      </c>
      <c r="E570" s="11" t="s">
        <v>413</v>
      </c>
      <c r="F570" s="11" t="s">
        <v>60</v>
      </c>
      <c r="G570" s="11" t="s">
        <v>72</v>
      </c>
      <c r="H570" s="11" t="n">
        <v>3372.99</v>
      </c>
      <c r="I570" s="11" t="n">
        <v>54458</v>
      </c>
      <c r="J570" s="11" t="n">
        <v>1367</v>
      </c>
      <c r="K570" s="11" t="n">
        <v>56</v>
      </c>
      <c r="L570" s="11" t="n">
        <v>42122.86</v>
      </c>
    </row>
    <row r="571" customFormat="false" ht="15" hidden="false" customHeight="true" outlineLevel="0" collapsed="false">
      <c r="A571" s="11" t="n">
        <v>1336</v>
      </c>
      <c r="B571" s="11" t="s">
        <v>76</v>
      </c>
      <c r="C571" s="11" t="s">
        <v>138</v>
      </c>
      <c r="D571" s="11" t="s">
        <v>350</v>
      </c>
      <c r="E571" s="11" t="s">
        <v>848</v>
      </c>
      <c r="F571" s="11" t="s">
        <v>60</v>
      </c>
      <c r="G571" s="11" t="s">
        <v>72</v>
      </c>
      <c r="H571" s="11" t="n">
        <v>34107.46</v>
      </c>
      <c r="I571" s="11" t="n">
        <v>744675</v>
      </c>
      <c r="J571" s="11" t="n">
        <v>7630</v>
      </c>
      <c r="K571" s="11" t="n">
        <v>323</v>
      </c>
      <c r="L571" s="11" t="n">
        <v>379033.61</v>
      </c>
    </row>
    <row r="572" customFormat="false" ht="15" hidden="false" customHeight="true" outlineLevel="0" collapsed="false">
      <c r="A572" s="11" t="n">
        <v>1509</v>
      </c>
      <c r="B572" s="11" t="s">
        <v>180</v>
      </c>
      <c r="C572" s="11" t="s">
        <v>134</v>
      </c>
      <c r="D572" s="11" t="s">
        <v>302</v>
      </c>
      <c r="E572" s="11" t="s">
        <v>849</v>
      </c>
      <c r="F572" s="11" t="s">
        <v>56</v>
      </c>
      <c r="G572" s="11" t="s">
        <v>84</v>
      </c>
      <c r="H572" s="11" t="n">
        <v>51931.45</v>
      </c>
      <c r="I572" s="11" t="n">
        <v>2014998</v>
      </c>
      <c r="J572" s="11" t="n">
        <v>32664</v>
      </c>
      <c r="K572" s="11" t="n">
        <v>1886</v>
      </c>
      <c r="L572" s="11" t="n">
        <v>2043700.76</v>
      </c>
    </row>
    <row r="573" customFormat="false" ht="15" hidden="false" customHeight="true" outlineLevel="0" collapsed="false">
      <c r="A573" s="11" t="n">
        <v>1630</v>
      </c>
      <c r="B573" s="11" t="s">
        <v>184</v>
      </c>
      <c r="C573" s="11" t="s">
        <v>134</v>
      </c>
      <c r="D573" s="11" t="s">
        <v>173</v>
      </c>
      <c r="E573" s="11" t="s">
        <v>850</v>
      </c>
      <c r="F573" s="11" t="s">
        <v>65</v>
      </c>
      <c r="G573" s="11" t="s">
        <v>131</v>
      </c>
      <c r="H573" s="11" t="n">
        <v>24608.98</v>
      </c>
      <c r="I573" s="11" t="n">
        <v>592568</v>
      </c>
      <c r="J573" s="11" t="n">
        <v>4840</v>
      </c>
      <c r="K573" s="11" t="n">
        <v>348</v>
      </c>
      <c r="L573" s="11" t="n">
        <v>606336.8</v>
      </c>
    </row>
    <row r="574" customFormat="false" ht="15" hidden="false" customHeight="true" outlineLevel="0" collapsed="false">
      <c r="A574" s="11" t="n">
        <v>1086</v>
      </c>
      <c r="B574" s="11" t="s">
        <v>313</v>
      </c>
      <c r="C574" s="11" t="s">
        <v>235</v>
      </c>
      <c r="D574" s="11" t="s">
        <v>314</v>
      </c>
      <c r="E574" s="11" t="s">
        <v>315</v>
      </c>
      <c r="F574" s="11" t="s">
        <v>48</v>
      </c>
      <c r="G574" s="11" t="s">
        <v>103</v>
      </c>
      <c r="H574" s="11" t="n">
        <v>50174.52</v>
      </c>
      <c r="I574" s="11" t="n">
        <v>1416752</v>
      </c>
      <c r="J574" s="11" t="n">
        <v>24001</v>
      </c>
      <c r="K574" s="11" t="n">
        <v>1331</v>
      </c>
      <c r="L574" s="11" t="n">
        <v>947588.01</v>
      </c>
    </row>
    <row r="575" customFormat="false" ht="15" hidden="false" customHeight="true" outlineLevel="0" collapsed="false">
      <c r="A575" s="11" t="n">
        <v>1794</v>
      </c>
      <c r="B575" s="11" t="s">
        <v>66</v>
      </c>
      <c r="C575" s="11" t="s">
        <v>138</v>
      </c>
      <c r="D575" s="11" t="s">
        <v>139</v>
      </c>
      <c r="E575" s="11" t="s">
        <v>140</v>
      </c>
      <c r="F575" s="11" t="s">
        <v>53</v>
      </c>
      <c r="G575" s="11" t="s">
        <v>99</v>
      </c>
      <c r="H575" s="11" t="n">
        <v>47957.76</v>
      </c>
      <c r="I575" s="11" t="n">
        <v>798475</v>
      </c>
      <c r="J575" s="11" t="n">
        <v>22445</v>
      </c>
      <c r="K575" s="11" t="n">
        <v>1416</v>
      </c>
      <c r="L575" s="11" t="n">
        <v>1050068.93</v>
      </c>
    </row>
    <row r="576" customFormat="false" ht="15" hidden="false" customHeight="true" outlineLevel="0" collapsed="false">
      <c r="A576" s="11" t="n">
        <v>1036</v>
      </c>
      <c r="B576" s="11" t="s">
        <v>66</v>
      </c>
      <c r="C576" s="11" t="s">
        <v>138</v>
      </c>
      <c r="D576" s="11" t="s">
        <v>851</v>
      </c>
      <c r="E576" s="11" t="s">
        <v>665</v>
      </c>
      <c r="F576" s="11" t="s">
        <v>51</v>
      </c>
      <c r="G576" s="11" t="s">
        <v>137</v>
      </c>
      <c r="H576" s="11" t="n">
        <v>48970.71</v>
      </c>
      <c r="I576" s="11" t="n">
        <v>1376856</v>
      </c>
      <c r="J576" s="11" t="n">
        <v>18573</v>
      </c>
      <c r="K576" s="11" t="n">
        <v>316</v>
      </c>
      <c r="L576" s="11" t="n">
        <v>199544.67</v>
      </c>
    </row>
    <row r="577" customFormat="false" ht="15" hidden="false" customHeight="true" outlineLevel="0" collapsed="false">
      <c r="A577" s="11" t="n">
        <v>1734</v>
      </c>
      <c r="B577" s="11" t="s">
        <v>144</v>
      </c>
      <c r="C577" s="11" t="s">
        <v>105</v>
      </c>
      <c r="D577" s="11" t="s">
        <v>842</v>
      </c>
      <c r="E577" s="11" t="s">
        <v>419</v>
      </c>
      <c r="F577" s="11" t="s">
        <v>67</v>
      </c>
      <c r="G577" s="11" t="s">
        <v>61</v>
      </c>
      <c r="H577" s="11" t="n">
        <v>19635.67</v>
      </c>
      <c r="I577" s="11" t="n">
        <v>400775</v>
      </c>
      <c r="J577" s="11" t="n">
        <v>4179</v>
      </c>
      <c r="K577" s="11" t="n">
        <v>139</v>
      </c>
      <c r="L577" s="11" t="n">
        <v>149342.91</v>
      </c>
    </row>
    <row r="578" customFormat="false" ht="15" hidden="false" customHeight="true" outlineLevel="0" collapsed="false">
      <c r="A578" s="11" t="n">
        <v>1738</v>
      </c>
      <c r="B578" s="11" t="s">
        <v>313</v>
      </c>
      <c r="C578" s="11" t="s">
        <v>63</v>
      </c>
      <c r="D578" s="11" t="s">
        <v>540</v>
      </c>
      <c r="E578" s="11" t="s">
        <v>852</v>
      </c>
      <c r="F578" s="11" t="s">
        <v>60</v>
      </c>
      <c r="G578" s="11" t="s">
        <v>84</v>
      </c>
      <c r="H578" s="11" t="n">
        <v>45485.96</v>
      </c>
      <c r="I578" s="11" t="n">
        <v>1428952</v>
      </c>
      <c r="J578" s="11" t="n">
        <v>48274</v>
      </c>
      <c r="K578" s="11" t="n">
        <v>3444</v>
      </c>
      <c r="L578" s="11" t="n">
        <v>4750507.33</v>
      </c>
    </row>
    <row r="579" customFormat="false" ht="15" hidden="false" customHeight="true" outlineLevel="0" collapsed="false">
      <c r="A579" s="11" t="n">
        <v>1628</v>
      </c>
      <c r="B579" s="11" t="s">
        <v>68</v>
      </c>
      <c r="C579" s="11" t="s">
        <v>141</v>
      </c>
      <c r="D579" s="11" t="s">
        <v>677</v>
      </c>
      <c r="E579" s="11" t="s">
        <v>853</v>
      </c>
      <c r="F579" s="11" t="s">
        <v>53</v>
      </c>
      <c r="G579" s="11"/>
      <c r="H579" s="11" t="n">
        <v>7894.63</v>
      </c>
      <c r="I579" s="11" t="n">
        <v>134818</v>
      </c>
      <c r="J579" s="11" t="n">
        <v>3699</v>
      </c>
      <c r="K579" s="11" t="n">
        <v>174</v>
      </c>
      <c r="L579" s="11" t="n">
        <v>137607.46</v>
      </c>
    </row>
    <row r="580" customFormat="false" ht="15" hidden="false" customHeight="true" outlineLevel="0" collapsed="false">
      <c r="A580" s="11" t="n">
        <v>1331</v>
      </c>
      <c r="B580" s="11" t="s">
        <v>184</v>
      </c>
      <c r="C580" s="11" t="s">
        <v>105</v>
      </c>
      <c r="D580" s="11" t="s">
        <v>563</v>
      </c>
      <c r="E580" s="11" t="s">
        <v>564</v>
      </c>
      <c r="F580" s="11" t="s">
        <v>69</v>
      </c>
      <c r="G580" s="11" t="s">
        <v>137</v>
      </c>
      <c r="H580" s="11" t="n">
        <v>25399.1</v>
      </c>
      <c r="I580" s="11" t="n">
        <v>615719</v>
      </c>
      <c r="J580" s="11" t="n">
        <v>6868</v>
      </c>
      <c r="K580" s="11" t="n">
        <v>408</v>
      </c>
      <c r="L580" s="11" t="n">
        <v>536541.32</v>
      </c>
    </row>
    <row r="581" customFormat="false" ht="15" hidden="false" customHeight="true" outlineLevel="0" collapsed="false">
      <c r="A581" s="11" t="n">
        <v>1760</v>
      </c>
      <c r="B581" s="11" t="s">
        <v>76</v>
      </c>
      <c r="C581" s="11" t="s">
        <v>118</v>
      </c>
      <c r="D581" s="11" t="s">
        <v>854</v>
      </c>
      <c r="E581" s="11" t="s">
        <v>553</v>
      </c>
      <c r="F581" s="11" t="s">
        <v>65</v>
      </c>
      <c r="G581" s="11" t="s">
        <v>72</v>
      </c>
      <c r="H581" s="11" t="n">
        <v>53967.89</v>
      </c>
      <c r="I581" s="11" t="n">
        <v>1470030</v>
      </c>
      <c r="J581" s="11" t="n">
        <v>12116</v>
      </c>
      <c r="K581" s="11" t="n">
        <v>491</v>
      </c>
      <c r="L581" s="11" t="n">
        <v>394791.43</v>
      </c>
    </row>
    <row r="582" customFormat="false" ht="15" hidden="false" customHeight="true" outlineLevel="0" collapsed="false">
      <c r="A582" s="11" t="n">
        <v>1618</v>
      </c>
      <c r="B582" s="11" t="s">
        <v>70</v>
      </c>
      <c r="C582" s="11" t="s">
        <v>138</v>
      </c>
      <c r="D582" s="11" t="s">
        <v>855</v>
      </c>
      <c r="E582" s="11" t="s">
        <v>529</v>
      </c>
      <c r="F582" s="11" t="s">
        <v>60</v>
      </c>
      <c r="G582" s="11" t="s">
        <v>163</v>
      </c>
      <c r="H582" s="11" t="n">
        <v>9152.9</v>
      </c>
      <c r="I582" s="11" t="n">
        <v>249029</v>
      </c>
      <c r="J582" s="11" t="n">
        <v>6776</v>
      </c>
      <c r="K582" s="11" t="n">
        <v>345</v>
      </c>
      <c r="L582" s="11" t="n">
        <v>231652.45</v>
      </c>
    </row>
    <row r="583" customFormat="false" ht="15" hidden="false" customHeight="true" outlineLevel="0" collapsed="false">
      <c r="A583" s="11" t="n">
        <v>1608</v>
      </c>
      <c r="B583" s="11" t="s">
        <v>144</v>
      </c>
      <c r="C583" s="11" t="s">
        <v>185</v>
      </c>
      <c r="D583" s="11" t="s">
        <v>856</v>
      </c>
      <c r="E583" s="11" t="s">
        <v>649</v>
      </c>
      <c r="F583" s="11" t="s">
        <v>48</v>
      </c>
      <c r="G583" s="11" t="s">
        <v>61</v>
      </c>
      <c r="H583" s="11" t="n">
        <v>28965</v>
      </c>
      <c r="I583" s="11" t="n">
        <v>1041086</v>
      </c>
      <c r="J583" s="11" t="n">
        <v>26120</v>
      </c>
      <c r="K583" s="11" t="n">
        <v>379</v>
      </c>
      <c r="L583" s="11" t="n">
        <v>586054.88</v>
      </c>
    </row>
    <row r="584" customFormat="false" ht="15" hidden="false" customHeight="true" outlineLevel="0" collapsed="false">
      <c r="A584" s="11" t="n">
        <v>1505</v>
      </c>
      <c r="B584" s="11" t="s">
        <v>70</v>
      </c>
      <c r="C584" s="11" t="s">
        <v>185</v>
      </c>
      <c r="D584" s="11" t="s">
        <v>587</v>
      </c>
      <c r="E584" s="11" t="s">
        <v>143</v>
      </c>
      <c r="F584" s="11" t="s">
        <v>48</v>
      </c>
      <c r="G584" s="11" t="s">
        <v>238</v>
      </c>
      <c r="H584" s="11" t="n">
        <v>13063.75</v>
      </c>
      <c r="I584" s="11" t="n">
        <v>328973</v>
      </c>
      <c r="J584" s="11" t="n">
        <v>8962</v>
      </c>
      <c r="K584" s="11" t="n">
        <v>152</v>
      </c>
      <c r="L584" s="11" t="n">
        <v>231171.75</v>
      </c>
    </row>
    <row r="585" customFormat="false" ht="15" hidden="false" customHeight="true" outlineLevel="0" collapsed="false">
      <c r="A585" s="11" t="n">
        <v>1203</v>
      </c>
      <c r="B585" s="11" t="s">
        <v>73</v>
      </c>
      <c r="C585" s="11" t="s">
        <v>100</v>
      </c>
      <c r="D585" s="11" t="s">
        <v>857</v>
      </c>
      <c r="E585" s="11" t="s">
        <v>545</v>
      </c>
      <c r="F585" s="11" t="s">
        <v>65</v>
      </c>
      <c r="G585" s="11" t="s">
        <v>131</v>
      </c>
      <c r="H585" s="11" t="n">
        <v>87786.87</v>
      </c>
      <c r="I585" s="11" t="n">
        <v>2310650</v>
      </c>
      <c r="J585" s="11" t="n">
        <v>20798</v>
      </c>
      <c r="K585" s="11" t="n">
        <v>808</v>
      </c>
      <c r="L585" s="11" t="n">
        <v>1102936.74</v>
      </c>
    </row>
    <row r="586" customFormat="false" ht="15" hidden="false" customHeight="true" outlineLevel="0" collapsed="false">
      <c r="A586" s="11" t="n">
        <v>1094</v>
      </c>
      <c r="B586" s="11" t="s">
        <v>70</v>
      </c>
      <c r="C586" s="11" t="s">
        <v>85</v>
      </c>
      <c r="D586" s="11" t="s">
        <v>687</v>
      </c>
      <c r="E586" s="11" t="s">
        <v>858</v>
      </c>
      <c r="F586" s="11" t="s">
        <v>51</v>
      </c>
      <c r="G586" s="11" t="s">
        <v>84</v>
      </c>
      <c r="H586" s="11" t="n">
        <v>45381.11</v>
      </c>
      <c r="I586" s="11" t="n">
        <v>1777449</v>
      </c>
      <c r="J586" s="11" t="n">
        <v>20359</v>
      </c>
      <c r="K586" s="11" t="n">
        <v>706</v>
      </c>
      <c r="L586" s="11" t="n">
        <v>298838.21</v>
      </c>
    </row>
    <row r="587" customFormat="false" ht="15" hidden="false" customHeight="true" outlineLevel="0" collapsed="false">
      <c r="A587" s="11" t="n">
        <v>1739</v>
      </c>
      <c r="B587" s="11" t="s">
        <v>79</v>
      </c>
      <c r="C587" s="11" t="s">
        <v>85</v>
      </c>
      <c r="D587" s="11" t="s">
        <v>259</v>
      </c>
      <c r="E587" s="11" t="s">
        <v>228</v>
      </c>
      <c r="F587" s="11" t="s">
        <v>60</v>
      </c>
      <c r="G587" s="11" t="s">
        <v>91</v>
      </c>
      <c r="H587" s="11" t="n">
        <v>65437.46</v>
      </c>
      <c r="I587" s="11" t="n">
        <v>2152187</v>
      </c>
      <c r="J587" s="11" t="n">
        <v>58702</v>
      </c>
      <c r="K587" s="11" t="n">
        <v>1764</v>
      </c>
      <c r="L587" s="11" t="n">
        <v>843550.44</v>
      </c>
    </row>
    <row r="588" customFormat="false" ht="15" hidden="false" customHeight="true" outlineLevel="0" collapsed="false">
      <c r="A588" s="11" t="n">
        <v>1204</v>
      </c>
      <c r="B588" s="11" t="s">
        <v>46</v>
      </c>
      <c r="C588" s="11" t="s">
        <v>115</v>
      </c>
      <c r="D588" s="11" t="s">
        <v>859</v>
      </c>
      <c r="E588" s="11" t="s">
        <v>567</v>
      </c>
      <c r="F588" s="11" t="s">
        <v>56</v>
      </c>
      <c r="G588" s="11" t="s">
        <v>163</v>
      </c>
      <c r="H588" s="11" t="n">
        <v>47974.4</v>
      </c>
      <c r="I588" s="11" t="n">
        <v>1483461</v>
      </c>
      <c r="J588" s="11" t="n">
        <v>39030</v>
      </c>
      <c r="K588" s="11" t="n">
        <v>2468</v>
      </c>
      <c r="L588" s="11" t="n">
        <v>2875975.96</v>
      </c>
    </row>
    <row r="589" customFormat="false" ht="15" hidden="false" customHeight="true" outlineLevel="0" collapsed="false">
      <c r="A589" s="11" t="n">
        <v>1050</v>
      </c>
      <c r="B589" s="11" t="s">
        <v>144</v>
      </c>
      <c r="C589" s="11" t="s">
        <v>134</v>
      </c>
      <c r="D589" s="11" t="s">
        <v>170</v>
      </c>
      <c r="E589" s="11" t="s">
        <v>860</v>
      </c>
      <c r="F589" s="11" t="s">
        <v>51</v>
      </c>
      <c r="G589" s="11" t="s">
        <v>131</v>
      </c>
      <c r="H589" s="11" t="n">
        <v>21276.99</v>
      </c>
      <c r="I589" s="11" t="n">
        <v>324153</v>
      </c>
      <c r="J589" s="11" t="n">
        <v>9445</v>
      </c>
      <c r="K589" s="11" t="n">
        <v>690</v>
      </c>
      <c r="L589" s="11" t="n">
        <v>919449.69</v>
      </c>
    </row>
    <row r="590" customFormat="false" ht="15" hidden="false" customHeight="true" outlineLevel="0" collapsed="false">
      <c r="A590" s="11" t="n">
        <v>1558</v>
      </c>
      <c r="B590" s="11" t="s">
        <v>382</v>
      </c>
      <c r="C590" s="11" t="s">
        <v>124</v>
      </c>
      <c r="D590" s="11" t="s">
        <v>861</v>
      </c>
      <c r="E590" s="11" t="s">
        <v>862</v>
      </c>
      <c r="F590" s="11" t="s">
        <v>65</v>
      </c>
      <c r="G590" s="11" t="s">
        <v>61</v>
      </c>
      <c r="H590" s="11" t="n">
        <v>43300.15</v>
      </c>
      <c r="I590" s="11" t="n">
        <v>893603</v>
      </c>
      <c r="J590" s="11" t="n">
        <v>24363</v>
      </c>
      <c r="K590" s="11" t="n">
        <v>983</v>
      </c>
      <c r="L590" s="11" t="n">
        <v>1097389.45</v>
      </c>
    </row>
    <row r="591" customFormat="false" ht="15" hidden="false" customHeight="true" outlineLevel="0" collapsed="false">
      <c r="A591" s="11" t="n">
        <v>1127</v>
      </c>
      <c r="B591" s="11" t="s">
        <v>58</v>
      </c>
      <c r="C591" s="11" t="s">
        <v>192</v>
      </c>
      <c r="D591" s="11" t="s">
        <v>863</v>
      </c>
      <c r="E591" s="11" t="s">
        <v>165</v>
      </c>
      <c r="F591" s="11" t="s">
        <v>67</v>
      </c>
      <c r="G591" s="11" t="s">
        <v>137</v>
      </c>
      <c r="H591" s="11" t="n">
        <v>27540.56</v>
      </c>
      <c r="I591" s="11" t="n">
        <v>603112</v>
      </c>
      <c r="J591" s="11" t="n">
        <v>8439</v>
      </c>
      <c r="K591" s="11" t="n">
        <v>546</v>
      </c>
      <c r="L591" s="11" t="n">
        <v>477002.59</v>
      </c>
    </row>
    <row r="592" customFormat="false" ht="15" hidden="false" customHeight="true" outlineLevel="0" collapsed="false">
      <c r="A592" s="11" t="n">
        <v>1478</v>
      </c>
      <c r="B592" s="11" t="s">
        <v>313</v>
      </c>
      <c r="C592" s="11" t="s">
        <v>71</v>
      </c>
      <c r="D592" s="11" t="s">
        <v>864</v>
      </c>
      <c r="E592" s="11" t="s">
        <v>473</v>
      </c>
      <c r="F592" s="11" t="s">
        <v>51</v>
      </c>
      <c r="G592" s="11" t="s">
        <v>147</v>
      </c>
      <c r="H592" s="11" t="n">
        <v>21007.01</v>
      </c>
      <c r="I592" s="11" t="n">
        <v>562304</v>
      </c>
      <c r="J592" s="11" t="n">
        <v>9125</v>
      </c>
      <c r="K592" s="11" t="n">
        <v>324</v>
      </c>
      <c r="L592" s="11" t="n">
        <v>532552.45</v>
      </c>
    </row>
    <row r="593" customFormat="false" ht="15" hidden="false" customHeight="true" outlineLevel="0" collapsed="false">
      <c r="A593" s="11" t="n">
        <v>1604</v>
      </c>
      <c r="B593" s="11" t="s">
        <v>52</v>
      </c>
      <c r="C593" s="11" t="s">
        <v>92</v>
      </c>
      <c r="D593" s="11" t="s">
        <v>186</v>
      </c>
      <c r="E593" s="11" t="s">
        <v>558</v>
      </c>
      <c r="F593" s="11" t="s">
        <v>65</v>
      </c>
      <c r="G593" s="11" t="s">
        <v>57</v>
      </c>
      <c r="H593" s="11" t="n">
        <v>5979.43</v>
      </c>
      <c r="I593" s="11" t="n">
        <v>215240</v>
      </c>
      <c r="J593" s="11" t="n">
        <v>4695</v>
      </c>
      <c r="K593" s="11" t="n">
        <v>208</v>
      </c>
      <c r="L593" s="11" t="n">
        <v>310751.86</v>
      </c>
    </row>
    <row r="594" customFormat="false" ht="15" hidden="false" customHeight="true" outlineLevel="0" collapsed="false">
      <c r="A594" s="11" t="n">
        <v>1466</v>
      </c>
      <c r="B594" s="11" t="s">
        <v>144</v>
      </c>
      <c r="C594" s="11" t="s">
        <v>149</v>
      </c>
      <c r="D594" s="11" t="s">
        <v>358</v>
      </c>
      <c r="E594" s="11" t="s">
        <v>419</v>
      </c>
      <c r="F594" s="11" t="s">
        <v>53</v>
      </c>
      <c r="G594" s="11" t="s">
        <v>99</v>
      </c>
      <c r="H594" s="11" t="n">
        <v>13949.22</v>
      </c>
      <c r="I594" s="11" t="n">
        <v>418163</v>
      </c>
      <c r="J594" s="11" t="n">
        <v>4348</v>
      </c>
      <c r="K594" s="11" t="n">
        <v>212</v>
      </c>
      <c r="L594" s="11" t="n">
        <v>320277.69</v>
      </c>
    </row>
    <row r="595" customFormat="false" ht="15" hidden="false" customHeight="true" outlineLevel="0" collapsed="false">
      <c r="A595" s="11" t="n">
        <v>1097</v>
      </c>
      <c r="B595" s="11" t="s">
        <v>52</v>
      </c>
      <c r="C595" s="11" t="s">
        <v>192</v>
      </c>
      <c r="D595" s="11" t="s">
        <v>865</v>
      </c>
      <c r="E595" s="11" t="s">
        <v>86</v>
      </c>
      <c r="F595" s="11" t="s">
        <v>67</v>
      </c>
      <c r="G595" s="11" t="s">
        <v>131</v>
      </c>
      <c r="H595" s="11" t="n">
        <v>77121.7</v>
      </c>
      <c r="I595" s="11" t="n">
        <v>2183199</v>
      </c>
      <c r="J595" s="11" t="n">
        <v>57335</v>
      </c>
      <c r="K595" s="11" t="n">
        <v>1776</v>
      </c>
      <c r="L595" s="11" t="n">
        <v>2722316.4</v>
      </c>
    </row>
    <row r="596" customFormat="false" ht="15" hidden="false" customHeight="true" outlineLevel="0" collapsed="false">
      <c r="A596" s="11" t="n">
        <v>1093</v>
      </c>
      <c r="B596" s="11" t="s">
        <v>68</v>
      </c>
      <c r="C596" s="11" t="s">
        <v>138</v>
      </c>
      <c r="D596" s="11" t="s">
        <v>437</v>
      </c>
      <c r="E596" s="11" t="s">
        <v>244</v>
      </c>
      <c r="F596" s="11" t="s">
        <v>65</v>
      </c>
      <c r="G596" s="11" t="s">
        <v>49</v>
      </c>
      <c r="H596" s="11" t="n">
        <v>18769.33</v>
      </c>
      <c r="I596" s="11" t="n">
        <v>461795</v>
      </c>
      <c r="J596" s="11" t="n">
        <v>10834</v>
      </c>
      <c r="K596" s="11" t="n">
        <v>296</v>
      </c>
      <c r="L596" s="11" t="n">
        <v>474989.98</v>
      </c>
    </row>
    <row r="597" customFormat="false" ht="15" hidden="false" customHeight="true" outlineLevel="0" collapsed="false">
      <c r="A597" s="11" t="n">
        <v>1105</v>
      </c>
      <c r="B597" s="11" t="s">
        <v>46</v>
      </c>
      <c r="C597" s="11" t="s">
        <v>149</v>
      </c>
      <c r="D597" s="11" t="s">
        <v>540</v>
      </c>
      <c r="E597" s="11" t="s">
        <v>866</v>
      </c>
      <c r="F597" s="11" t="s">
        <v>65</v>
      </c>
      <c r="G597" s="11" t="s">
        <v>163</v>
      </c>
      <c r="H597" s="11" t="n">
        <v>45469.88</v>
      </c>
      <c r="I597" s="11" t="n">
        <v>1622126</v>
      </c>
      <c r="J597" s="11" t="n">
        <v>33186</v>
      </c>
      <c r="K597" s="11" t="n">
        <v>533</v>
      </c>
      <c r="L597" s="11" t="n">
        <v>703784.39</v>
      </c>
    </row>
    <row r="598" customFormat="false" ht="15" hidden="false" customHeight="true" outlineLevel="0" collapsed="false">
      <c r="A598" s="11" t="n">
        <v>1802</v>
      </c>
      <c r="B598" s="11" t="s">
        <v>66</v>
      </c>
      <c r="C598" s="11" t="s">
        <v>63</v>
      </c>
      <c r="D598" s="11" t="s">
        <v>570</v>
      </c>
      <c r="E598" s="11" t="s">
        <v>867</v>
      </c>
      <c r="F598" s="11" t="s">
        <v>48</v>
      </c>
      <c r="G598" s="11"/>
      <c r="H598" s="11" t="n">
        <v>17628.42</v>
      </c>
      <c r="I598" s="11" t="n">
        <v>524821</v>
      </c>
      <c r="J598" s="11" t="n">
        <v>11459</v>
      </c>
      <c r="K598" s="11" t="n">
        <v>751</v>
      </c>
      <c r="L598" s="11" t="n">
        <v>352153.57</v>
      </c>
    </row>
    <row r="599" customFormat="false" ht="15" hidden="false" customHeight="true" outlineLevel="0" collapsed="false">
      <c r="A599" s="11" t="n">
        <v>1228</v>
      </c>
      <c r="B599" s="11" t="s">
        <v>184</v>
      </c>
      <c r="C599" s="11" t="s">
        <v>141</v>
      </c>
      <c r="D599" s="11" t="s">
        <v>426</v>
      </c>
      <c r="E599" s="11" t="s">
        <v>868</v>
      </c>
      <c r="F599" s="11" t="s">
        <v>60</v>
      </c>
      <c r="G599" s="11" t="s">
        <v>199</v>
      </c>
      <c r="H599" s="11" t="n">
        <v>5964.04</v>
      </c>
      <c r="I599" s="11" t="n">
        <v>207164</v>
      </c>
      <c r="J599" s="11" t="n">
        <v>4627</v>
      </c>
      <c r="K599" s="11" t="n">
        <v>84</v>
      </c>
      <c r="L599" s="11" t="n">
        <v>30276.24</v>
      </c>
    </row>
    <row r="600" customFormat="false" ht="15" hidden="false" customHeight="true" outlineLevel="0" collapsed="false">
      <c r="A600" s="11" t="n">
        <v>1405</v>
      </c>
      <c r="B600" s="11" t="s">
        <v>144</v>
      </c>
      <c r="C600" s="11" t="s">
        <v>71</v>
      </c>
      <c r="D600" s="11" t="s">
        <v>486</v>
      </c>
      <c r="E600" s="11" t="s">
        <v>869</v>
      </c>
      <c r="F600" s="11" t="s">
        <v>51</v>
      </c>
      <c r="G600" s="11"/>
      <c r="H600" s="11" t="n">
        <v>51653.36</v>
      </c>
      <c r="I600" s="11" t="n">
        <v>1265705</v>
      </c>
      <c r="J600" s="11" t="n">
        <v>19672</v>
      </c>
      <c r="K600" s="11" t="n">
        <v>1067</v>
      </c>
      <c r="L600" s="11" t="n">
        <v>1278779</v>
      </c>
    </row>
    <row r="601" customFormat="false" ht="15" hidden="false" customHeight="true" outlineLevel="0" collapsed="false">
      <c r="A601" s="11" t="n">
        <v>1714</v>
      </c>
      <c r="B601" s="11" t="s">
        <v>46</v>
      </c>
      <c r="C601" s="11" t="s">
        <v>105</v>
      </c>
      <c r="D601" s="11" t="s">
        <v>870</v>
      </c>
      <c r="E601" s="11" t="s">
        <v>754</v>
      </c>
      <c r="F601" s="11" t="s">
        <v>69</v>
      </c>
      <c r="G601" s="11" t="s">
        <v>72</v>
      </c>
      <c r="H601" s="11" t="n">
        <v>46768.72</v>
      </c>
      <c r="I601" s="11" t="n">
        <v>918508</v>
      </c>
      <c r="J601" s="11" t="n">
        <v>24384</v>
      </c>
      <c r="K601" s="11" t="n">
        <v>400</v>
      </c>
      <c r="L601" s="11" t="n">
        <v>391122.23</v>
      </c>
    </row>
    <row r="602" customFormat="false" ht="15" hidden="false" customHeight="true" outlineLevel="0" collapsed="false">
      <c r="A602" s="11" t="n">
        <v>1323</v>
      </c>
      <c r="B602" s="11" t="s">
        <v>144</v>
      </c>
      <c r="C602" s="11" t="s">
        <v>210</v>
      </c>
      <c r="D602" s="11" t="s">
        <v>462</v>
      </c>
      <c r="E602" s="11" t="s">
        <v>871</v>
      </c>
      <c r="F602" s="11" t="s">
        <v>60</v>
      </c>
      <c r="G602" s="11"/>
      <c r="H602" s="11" t="n">
        <v>47568.65</v>
      </c>
      <c r="I602" s="11" t="n">
        <v>978019</v>
      </c>
      <c r="J602" s="11" t="n">
        <v>32102</v>
      </c>
      <c r="K602" s="11" t="n">
        <v>2447</v>
      </c>
      <c r="L602" s="11" t="n">
        <v>4098588.81</v>
      </c>
    </row>
    <row r="603" customFormat="false" ht="15" hidden="false" customHeight="true" outlineLevel="0" collapsed="false">
      <c r="A603" s="11" t="n">
        <v>1602</v>
      </c>
      <c r="B603" s="11" t="s">
        <v>62</v>
      </c>
      <c r="C603" s="11" t="s">
        <v>138</v>
      </c>
      <c r="D603" s="11" t="s">
        <v>665</v>
      </c>
      <c r="E603" s="11" t="s">
        <v>872</v>
      </c>
      <c r="F603" s="11" t="s">
        <v>60</v>
      </c>
      <c r="G603" s="11" t="s">
        <v>99</v>
      </c>
      <c r="H603" s="11"/>
      <c r="I603" s="11" t="n">
        <v>1277222</v>
      </c>
      <c r="J603" s="11" t="n">
        <v>34635</v>
      </c>
      <c r="K603" s="11" t="n">
        <v>1839</v>
      </c>
      <c r="L603" s="11" t="n">
        <v>3068156.57</v>
      </c>
    </row>
    <row r="604" customFormat="false" ht="15" hidden="false" customHeight="true" outlineLevel="0" collapsed="false">
      <c r="A604" s="11" t="n">
        <v>1264</v>
      </c>
      <c r="B604" s="11" t="s">
        <v>79</v>
      </c>
      <c r="C604" s="11" t="s">
        <v>59</v>
      </c>
      <c r="D604" s="11" t="s">
        <v>699</v>
      </c>
      <c r="E604" s="11" t="s">
        <v>873</v>
      </c>
      <c r="F604" s="11" t="s">
        <v>51</v>
      </c>
      <c r="G604" s="11" t="s">
        <v>137</v>
      </c>
      <c r="H604" s="11" t="n">
        <v>56111.43</v>
      </c>
      <c r="I604" s="11" t="n">
        <v>1209984</v>
      </c>
      <c r="J604" s="11" t="n">
        <v>20516</v>
      </c>
      <c r="K604" s="11" t="n">
        <v>829</v>
      </c>
      <c r="L604" s="11" t="n">
        <v>1129025.25</v>
      </c>
    </row>
    <row r="605" customFormat="false" ht="15" hidden="false" customHeight="true" outlineLevel="0" collapsed="false">
      <c r="A605" s="11" t="n">
        <v>1721</v>
      </c>
      <c r="B605" s="11" t="s">
        <v>76</v>
      </c>
      <c r="C605" s="11" t="s">
        <v>328</v>
      </c>
      <c r="D605" s="11" t="s">
        <v>252</v>
      </c>
      <c r="E605" s="11" t="s">
        <v>179</v>
      </c>
      <c r="F605" s="11" t="s">
        <v>69</v>
      </c>
      <c r="G605" s="11" t="s">
        <v>95</v>
      </c>
      <c r="H605" s="11" t="n">
        <v>47929.81</v>
      </c>
      <c r="I605" s="11" t="n">
        <v>1564937</v>
      </c>
      <c r="J605" s="11" t="n">
        <v>36360</v>
      </c>
      <c r="K605" s="11" t="n">
        <v>723</v>
      </c>
      <c r="L605" s="11" t="n">
        <v>796894.88</v>
      </c>
    </row>
    <row r="606" customFormat="false" ht="15" hidden="false" customHeight="true" outlineLevel="0" collapsed="false">
      <c r="A606" s="11" t="n">
        <v>1696</v>
      </c>
      <c r="B606" s="11" t="s">
        <v>78</v>
      </c>
      <c r="C606" s="11" t="s">
        <v>115</v>
      </c>
      <c r="D606" s="11" t="s">
        <v>874</v>
      </c>
      <c r="E606" s="11" t="s">
        <v>292</v>
      </c>
      <c r="F606" s="11" t="s">
        <v>65</v>
      </c>
      <c r="G606" s="11" t="s">
        <v>95</v>
      </c>
      <c r="H606" s="11" t="n">
        <v>18069.49</v>
      </c>
      <c r="I606" s="11" t="n">
        <v>678607</v>
      </c>
      <c r="J606" s="11" t="n">
        <v>13338</v>
      </c>
      <c r="K606" s="11" t="n">
        <v>304</v>
      </c>
      <c r="L606" s="11" t="n">
        <v>250708.47</v>
      </c>
    </row>
    <row r="607" customFormat="false" ht="15" hidden="false" customHeight="true" outlineLevel="0" collapsed="false">
      <c r="A607" s="11" t="n">
        <v>1654</v>
      </c>
      <c r="B607" s="11" t="s">
        <v>66</v>
      </c>
      <c r="C607" s="11" t="s">
        <v>138</v>
      </c>
      <c r="D607" s="11" t="s">
        <v>875</v>
      </c>
      <c r="E607" s="11" t="s">
        <v>876</v>
      </c>
      <c r="F607" s="11" t="s">
        <v>60</v>
      </c>
      <c r="G607" s="11" t="s">
        <v>131</v>
      </c>
      <c r="H607" s="11" t="n">
        <v>18927.81</v>
      </c>
      <c r="I607" s="11" t="n">
        <v>579044</v>
      </c>
      <c r="J607" s="11" t="n">
        <v>9669</v>
      </c>
      <c r="K607" s="11" t="n">
        <v>102</v>
      </c>
      <c r="L607" s="11" t="n">
        <v>83380.64</v>
      </c>
    </row>
    <row r="608" customFormat="false" ht="15" hidden="false" customHeight="true" outlineLevel="0" collapsed="false">
      <c r="A608" s="11" t="n">
        <v>1214</v>
      </c>
      <c r="B608" s="11" t="s">
        <v>144</v>
      </c>
      <c r="C608" s="11" t="s">
        <v>92</v>
      </c>
      <c r="D608" s="11" t="s">
        <v>704</v>
      </c>
      <c r="E608" s="11" t="s">
        <v>189</v>
      </c>
      <c r="F608" s="11" t="s">
        <v>60</v>
      </c>
      <c r="G608" s="11" t="s">
        <v>147</v>
      </c>
      <c r="H608" s="11" t="n">
        <v>2008.53</v>
      </c>
      <c r="I608" s="11" t="n">
        <v>64136</v>
      </c>
      <c r="J608" s="11" t="n">
        <v>2079</v>
      </c>
      <c r="K608" s="11" t="n">
        <v>136</v>
      </c>
      <c r="L608" s="11" t="n">
        <v>191422.81</v>
      </c>
    </row>
    <row r="609" customFormat="false" ht="15" hidden="false" customHeight="true" outlineLevel="0" collapsed="false">
      <c r="A609" s="11" t="n">
        <v>1222</v>
      </c>
      <c r="B609" s="11" t="s">
        <v>58</v>
      </c>
      <c r="C609" s="11" t="s">
        <v>100</v>
      </c>
      <c r="D609" s="11" t="s">
        <v>106</v>
      </c>
      <c r="E609" s="11" t="s">
        <v>359</v>
      </c>
      <c r="F609" s="11" t="s">
        <v>53</v>
      </c>
      <c r="G609" s="11" t="s">
        <v>72</v>
      </c>
      <c r="H609" s="11" t="n">
        <v>87950.56</v>
      </c>
      <c r="I609" s="11" t="n">
        <v>1809361</v>
      </c>
      <c r="J609" s="11" t="n">
        <v>-31076</v>
      </c>
      <c r="K609" s="11" t="n">
        <v>2088</v>
      </c>
      <c r="L609" s="11" t="n">
        <v>1775419.86</v>
      </c>
    </row>
    <row r="610" customFormat="false" ht="15" hidden="false" customHeight="true" outlineLevel="0" collapsed="false">
      <c r="A610" s="11" t="n">
        <v>1210</v>
      </c>
      <c r="B610" s="11" t="s">
        <v>76</v>
      </c>
      <c r="C610" s="11" t="s">
        <v>100</v>
      </c>
      <c r="D610" s="11" t="s">
        <v>135</v>
      </c>
      <c r="E610" s="11" t="s">
        <v>877</v>
      </c>
      <c r="F610" s="11" t="s">
        <v>51</v>
      </c>
      <c r="G610" s="11" t="s">
        <v>54</v>
      </c>
      <c r="H610" s="11" t="n">
        <v>83895.55</v>
      </c>
      <c r="I610" s="11" t="n">
        <v>1769833</v>
      </c>
      <c r="J610" s="11" t="n">
        <v>10966</v>
      </c>
      <c r="K610" s="11" t="n">
        <v>789</v>
      </c>
      <c r="L610" s="11" t="n">
        <v>712459.33</v>
      </c>
    </row>
    <row r="611" customFormat="false" ht="15" hidden="false" customHeight="true" outlineLevel="0" collapsed="false">
      <c r="A611" s="11" t="n">
        <v>1245</v>
      </c>
      <c r="B611" s="11" t="s">
        <v>402</v>
      </c>
      <c r="C611" s="11" t="s">
        <v>328</v>
      </c>
      <c r="D611" s="11" t="s">
        <v>630</v>
      </c>
      <c r="E611" s="11" t="s">
        <v>878</v>
      </c>
      <c r="F611" s="11" t="s">
        <v>51</v>
      </c>
      <c r="G611" s="11" t="s">
        <v>163</v>
      </c>
      <c r="H611" s="11" t="n">
        <v>25573.18</v>
      </c>
      <c r="I611" s="11" t="n">
        <v>1003454</v>
      </c>
      <c r="J611" s="11" t="n">
        <v>26018</v>
      </c>
      <c r="K611" s="11" t="n">
        <v>582</v>
      </c>
      <c r="L611" s="11" t="n">
        <v>708001.31</v>
      </c>
    </row>
    <row r="612" customFormat="false" ht="15" hidden="false" customHeight="true" outlineLevel="0" collapsed="false">
      <c r="A612" s="11" t="n">
        <v>1658</v>
      </c>
      <c r="B612" s="11" t="s">
        <v>455</v>
      </c>
      <c r="C612" s="11" t="s">
        <v>118</v>
      </c>
      <c r="D612" s="11" t="s">
        <v>879</v>
      </c>
      <c r="E612" s="11" t="s">
        <v>726</v>
      </c>
      <c r="F612" s="11" t="s">
        <v>53</v>
      </c>
      <c r="G612" s="11" t="s">
        <v>112</v>
      </c>
      <c r="H612" s="11" t="n">
        <v>36602.04</v>
      </c>
      <c r="I612" s="11" t="n">
        <v>933364</v>
      </c>
      <c r="J612" s="11" t="n">
        <v>31591</v>
      </c>
      <c r="K612" s="11" t="n">
        <v>537</v>
      </c>
      <c r="L612" s="11" t="n">
        <v>468569.58</v>
      </c>
    </row>
    <row r="613" customFormat="false" ht="15" hidden="false" customHeight="true" outlineLevel="0" collapsed="false">
      <c r="A613" s="11" t="n">
        <v>1025</v>
      </c>
      <c r="B613" s="11" t="s">
        <v>460</v>
      </c>
      <c r="C613" s="11" t="s">
        <v>92</v>
      </c>
      <c r="D613" s="11" t="s">
        <v>484</v>
      </c>
      <c r="E613" s="11" t="s">
        <v>691</v>
      </c>
      <c r="F613" s="11" t="s">
        <v>51</v>
      </c>
      <c r="G613" s="11" t="s">
        <v>172</v>
      </c>
      <c r="H613" s="11" t="n">
        <v>7422.29</v>
      </c>
      <c r="I613" s="11" t="n">
        <v>133853</v>
      </c>
      <c r="J613" s="11" t="n">
        <v>1204</v>
      </c>
      <c r="K613" s="11" t="n">
        <v>51</v>
      </c>
      <c r="L613" s="11" t="n">
        <v>57127.2</v>
      </c>
    </row>
    <row r="614" customFormat="false" ht="15" hidden="false" customHeight="true" outlineLevel="0" collapsed="false">
      <c r="A614" s="11" t="n">
        <v>1811</v>
      </c>
      <c r="B614" s="11" t="s">
        <v>79</v>
      </c>
      <c r="C614" s="11" t="s">
        <v>115</v>
      </c>
      <c r="D614" s="11" t="s">
        <v>808</v>
      </c>
      <c r="E614" s="11" t="s">
        <v>836</v>
      </c>
      <c r="F614" s="11" t="s">
        <v>53</v>
      </c>
      <c r="G614" s="11" t="s">
        <v>99</v>
      </c>
      <c r="H614" s="11" t="n">
        <v>23738.81</v>
      </c>
      <c r="I614" s="11" t="n">
        <v>501413</v>
      </c>
      <c r="J614" s="11" t="n">
        <v>3196</v>
      </c>
      <c r="K614" s="11" t="n">
        <v>107</v>
      </c>
      <c r="L614" s="11" t="n">
        <v>110585.2</v>
      </c>
    </row>
    <row r="615" customFormat="false" ht="15" hidden="false" customHeight="true" outlineLevel="0" collapsed="false">
      <c r="A615" s="11" t="n">
        <v>1039</v>
      </c>
      <c r="B615" s="11" t="s">
        <v>58</v>
      </c>
      <c r="C615" s="11" t="s">
        <v>96</v>
      </c>
      <c r="D615" s="11" t="s">
        <v>880</v>
      </c>
      <c r="E615" s="11" t="s">
        <v>881</v>
      </c>
      <c r="F615" s="11" t="s">
        <v>67</v>
      </c>
      <c r="G615" s="11" t="s">
        <v>226</v>
      </c>
      <c r="H615" s="11" t="n">
        <v>2216.69</v>
      </c>
      <c r="I615" s="11" t="n">
        <v>37410</v>
      </c>
      <c r="J615" s="11" t="n">
        <v>190</v>
      </c>
      <c r="K615" s="11" t="n">
        <v>7</v>
      </c>
      <c r="L615" s="11" t="n">
        <v>8477.18</v>
      </c>
    </row>
    <row r="616" customFormat="false" ht="15" hidden="false" customHeight="true" outlineLevel="0" collapsed="false">
      <c r="A616" s="11" t="n">
        <v>1761</v>
      </c>
      <c r="B616" s="11" t="s">
        <v>447</v>
      </c>
      <c r="C616" s="11" t="s">
        <v>71</v>
      </c>
      <c r="D616" s="11" t="s">
        <v>213</v>
      </c>
      <c r="E616" s="11" t="s">
        <v>314</v>
      </c>
      <c r="F616" s="11" t="s">
        <v>53</v>
      </c>
      <c r="G616" s="11" t="s">
        <v>112</v>
      </c>
      <c r="H616" s="11" t="n">
        <v>54348.2</v>
      </c>
      <c r="I616" s="11" t="n">
        <v>1585020</v>
      </c>
      <c r="J616" s="11" t="n">
        <v>8393</v>
      </c>
      <c r="K616" s="11" t="n">
        <v>282</v>
      </c>
      <c r="L616" s="11" t="n">
        <v>354000.81</v>
      </c>
    </row>
    <row r="617" customFormat="false" ht="15" hidden="false" customHeight="true" outlineLevel="0" collapsed="false">
      <c r="A617" s="11" t="n">
        <v>1064</v>
      </c>
      <c r="B617" s="11" t="s">
        <v>58</v>
      </c>
      <c r="C617" s="11" t="s">
        <v>59</v>
      </c>
      <c r="D617" s="11" t="s">
        <v>882</v>
      </c>
      <c r="E617" s="11" t="s">
        <v>883</v>
      </c>
      <c r="F617" s="11" t="s">
        <v>67</v>
      </c>
      <c r="G617" s="11" t="s">
        <v>72</v>
      </c>
      <c r="H617" s="11" t="n">
        <v>28605.42</v>
      </c>
      <c r="I617" s="11" t="n">
        <v>531525</v>
      </c>
      <c r="J617" s="11" t="n">
        <v>13139</v>
      </c>
      <c r="K617" s="11" t="n">
        <v>195</v>
      </c>
      <c r="L617" s="11" t="n">
        <v>277759</v>
      </c>
    </row>
    <row r="618" customFormat="false" ht="15" hidden="false" customHeight="true" outlineLevel="0" collapsed="false">
      <c r="A618" s="11" t="n">
        <v>1477</v>
      </c>
      <c r="B618" s="11" t="s">
        <v>460</v>
      </c>
      <c r="C618" s="11" t="s">
        <v>235</v>
      </c>
      <c r="D618" s="11" t="s">
        <v>603</v>
      </c>
      <c r="E618" s="11" t="s">
        <v>670</v>
      </c>
      <c r="F618" s="11" t="s">
        <v>69</v>
      </c>
      <c r="G618" s="11" t="s">
        <v>95</v>
      </c>
      <c r="H618" s="11" t="n">
        <v>14024.77</v>
      </c>
      <c r="I618" s="11" t="n">
        <v>212437</v>
      </c>
      <c r="J618" s="11" t="n">
        <v>3996</v>
      </c>
      <c r="K618" s="11" t="n">
        <v>123</v>
      </c>
      <c r="L618" s="11" t="n">
        <v>62162.71</v>
      </c>
    </row>
    <row r="619" customFormat="false" ht="15" hidden="false" customHeight="true" outlineLevel="0" collapsed="false">
      <c r="A619" s="11" t="n">
        <v>1138</v>
      </c>
      <c r="B619" s="11" t="s">
        <v>66</v>
      </c>
      <c r="C619" s="11" t="s">
        <v>141</v>
      </c>
      <c r="D619" s="11" t="s">
        <v>439</v>
      </c>
      <c r="E619" s="11" t="s">
        <v>483</v>
      </c>
      <c r="F619" s="11" t="s">
        <v>65</v>
      </c>
      <c r="G619" s="11"/>
      <c r="H619" s="11" t="n">
        <v>6465.18</v>
      </c>
      <c r="I619" s="11" t="n">
        <v>188403</v>
      </c>
      <c r="J619" s="11" t="n">
        <v>5308</v>
      </c>
      <c r="K619" s="11" t="n">
        <v>237</v>
      </c>
      <c r="L619" s="11" t="n">
        <v>258488.48</v>
      </c>
    </row>
    <row r="620" customFormat="false" ht="15" hidden="false" customHeight="true" outlineLevel="0" collapsed="false">
      <c r="A620" s="11" t="n">
        <v>1340</v>
      </c>
      <c r="B620" s="11" t="s">
        <v>52</v>
      </c>
      <c r="C620" s="11" t="s">
        <v>105</v>
      </c>
      <c r="D620" s="11" t="s">
        <v>663</v>
      </c>
      <c r="E620" s="11" t="s">
        <v>870</v>
      </c>
      <c r="F620" s="11" t="s">
        <v>48</v>
      </c>
      <c r="G620" s="11" t="s">
        <v>163</v>
      </c>
      <c r="H620" s="11" t="n">
        <v>21471.69</v>
      </c>
      <c r="I620" s="11" t="n">
        <v>399221</v>
      </c>
      <c r="J620" s="11" t="n">
        <v>3636</v>
      </c>
      <c r="K620" s="11" t="n">
        <v>107</v>
      </c>
      <c r="L620" s="11" t="n">
        <v>158282.04</v>
      </c>
    </row>
    <row r="621" customFormat="false" ht="15" hidden="false" customHeight="true" outlineLevel="0" collapsed="false">
      <c r="A621" s="11" t="n">
        <v>1283</v>
      </c>
      <c r="B621" s="11" t="s">
        <v>76</v>
      </c>
      <c r="C621" s="11" t="s">
        <v>59</v>
      </c>
      <c r="D621" s="11" t="s">
        <v>617</v>
      </c>
      <c r="E621" s="11" t="s">
        <v>711</v>
      </c>
      <c r="F621" s="11" t="s">
        <v>48</v>
      </c>
      <c r="G621" s="11" t="s">
        <v>209</v>
      </c>
      <c r="H621" s="11" t="n">
        <v>89626.83</v>
      </c>
      <c r="I621" s="11" t="n">
        <v>2137271</v>
      </c>
      <c r="J621" s="11" t="n">
        <v>19003</v>
      </c>
      <c r="K621" s="11" t="n">
        <v>938</v>
      </c>
      <c r="L621" s="11" t="n">
        <v>1035151.86</v>
      </c>
    </row>
    <row r="622" customFormat="false" ht="15" hidden="false" customHeight="true" outlineLevel="0" collapsed="false">
      <c r="A622" s="11" t="n">
        <v>1183</v>
      </c>
      <c r="B622" s="11" t="s">
        <v>46</v>
      </c>
      <c r="C622" s="11" t="s">
        <v>134</v>
      </c>
      <c r="D622" s="11" t="s">
        <v>838</v>
      </c>
      <c r="E622" s="11" t="s">
        <v>792</v>
      </c>
      <c r="F622" s="11" t="s">
        <v>67</v>
      </c>
      <c r="G622" s="11" t="s">
        <v>99</v>
      </c>
      <c r="H622" s="11" t="n">
        <v>25486.75</v>
      </c>
      <c r="I622" s="11" t="n">
        <v>558467</v>
      </c>
      <c r="J622" s="11" t="n">
        <v>8239</v>
      </c>
      <c r="K622" s="11" t="n">
        <v>242</v>
      </c>
      <c r="L622" s="11" t="n">
        <v>314932.37</v>
      </c>
    </row>
    <row r="623" customFormat="false" ht="15" hidden="false" customHeight="true" outlineLevel="0" collapsed="false">
      <c r="A623" s="11" t="n">
        <v>1532</v>
      </c>
      <c r="B623" s="11" t="s">
        <v>615</v>
      </c>
      <c r="C623" s="11" t="s">
        <v>235</v>
      </c>
      <c r="D623" s="11" t="s">
        <v>884</v>
      </c>
      <c r="E623" s="11" t="s">
        <v>684</v>
      </c>
      <c r="F623" s="11" t="s">
        <v>60</v>
      </c>
      <c r="G623" s="11" t="s">
        <v>209</v>
      </c>
      <c r="H623" s="11" t="n">
        <v>44533.56</v>
      </c>
      <c r="I623" s="11" t="n">
        <v>1381761</v>
      </c>
      <c r="J623" s="11" t="n">
        <v>44650</v>
      </c>
      <c r="K623" s="11" t="n">
        <v>3081</v>
      </c>
      <c r="L623" s="11" t="n">
        <v>5267494.64</v>
      </c>
    </row>
    <row r="624" customFormat="false" ht="15" hidden="false" customHeight="true" outlineLevel="0" collapsed="false">
      <c r="A624" s="11" t="n">
        <v>1513</v>
      </c>
      <c r="B624" s="11" t="s">
        <v>184</v>
      </c>
      <c r="C624" s="11" t="s">
        <v>47</v>
      </c>
      <c r="D624" s="11" t="s">
        <v>375</v>
      </c>
      <c r="E624" s="11" t="s">
        <v>575</v>
      </c>
      <c r="F624" s="11" t="s">
        <v>67</v>
      </c>
      <c r="G624" s="11" t="s">
        <v>131</v>
      </c>
      <c r="H624" s="11" t="n">
        <v>7264.7</v>
      </c>
      <c r="I624" s="11" t="n">
        <v>186799</v>
      </c>
      <c r="J624" s="11" t="n">
        <v>6332</v>
      </c>
      <c r="K624" s="11" t="n">
        <v>194</v>
      </c>
      <c r="L624" s="11" t="n">
        <v>123767.67</v>
      </c>
    </row>
    <row r="625" customFormat="false" ht="15" hidden="false" customHeight="true" outlineLevel="0" collapsed="false">
      <c r="A625" s="11" t="n">
        <v>1709</v>
      </c>
      <c r="B625" s="11" t="s">
        <v>104</v>
      </c>
      <c r="C625" s="11" t="s">
        <v>100</v>
      </c>
      <c r="D625" s="11" t="s">
        <v>885</v>
      </c>
      <c r="E625" s="11" t="s">
        <v>132</v>
      </c>
      <c r="F625" s="11" t="s">
        <v>48</v>
      </c>
      <c r="G625" s="11" t="s">
        <v>131</v>
      </c>
      <c r="H625" s="11" t="n">
        <v>28292.66</v>
      </c>
      <c r="I625" s="11" t="n">
        <v>865777</v>
      </c>
      <c r="J625" s="11" t="n">
        <v>21922</v>
      </c>
      <c r="K625" s="11" t="n">
        <v>1626</v>
      </c>
      <c r="L625" s="11" t="n">
        <v>830738.25</v>
      </c>
    </row>
    <row r="626" customFormat="false" ht="15" hidden="false" customHeight="true" outlineLevel="0" collapsed="false">
      <c r="A626" s="11" t="n">
        <v>1248</v>
      </c>
      <c r="B626" s="11" t="s">
        <v>70</v>
      </c>
      <c r="C626" s="11" t="s">
        <v>100</v>
      </c>
      <c r="D626" s="11" t="s">
        <v>202</v>
      </c>
      <c r="E626" s="11" t="s">
        <v>678</v>
      </c>
      <c r="F626" s="11" t="s">
        <v>53</v>
      </c>
      <c r="G626" s="11" t="s">
        <v>112</v>
      </c>
      <c r="H626" s="11" t="n">
        <v>23276.73</v>
      </c>
      <c r="I626" s="11" t="n">
        <v>614123</v>
      </c>
      <c r="J626" s="11" t="n">
        <v>11412</v>
      </c>
      <c r="K626" s="11" t="n">
        <v>673</v>
      </c>
      <c r="L626" s="11" t="n">
        <v>715664.31</v>
      </c>
    </row>
    <row r="627" customFormat="false" ht="15" hidden="false" customHeight="true" outlineLevel="0" collapsed="false">
      <c r="A627" s="11" t="n">
        <v>1657</v>
      </c>
      <c r="B627" s="11" t="s">
        <v>78</v>
      </c>
      <c r="C627" s="11" t="s">
        <v>149</v>
      </c>
      <c r="D627" s="11" t="s">
        <v>886</v>
      </c>
      <c r="E627" s="11" t="s">
        <v>433</v>
      </c>
      <c r="F627" s="11" t="s">
        <v>53</v>
      </c>
      <c r="G627" s="11" t="s">
        <v>103</v>
      </c>
      <c r="H627" s="11" t="n">
        <v>46184.46</v>
      </c>
      <c r="I627" s="11" t="n">
        <v>1529304</v>
      </c>
      <c r="J627" s="11" t="n">
        <v>13230</v>
      </c>
      <c r="K627" s="11" t="n">
        <v>832</v>
      </c>
      <c r="L627" s="11" t="n">
        <v>436400.28</v>
      </c>
    </row>
    <row r="628" customFormat="false" ht="15" hidden="false" customHeight="true" outlineLevel="0" collapsed="false">
      <c r="A628" s="11" t="n">
        <v>1112</v>
      </c>
      <c r="B628" s="11" t="s">
        <v>460</v>
      </c>
      <c r="C628" s="11" t="s">
        <v>124</v>
      </c>
      <c r="D628" s="11" t="s">
        <v>516</v>
      </c>
      <c r="E628" s="11" t="s">
        <v>329</v>
      </c>
      <c r="F628" s="11" t="s">
        <v>69</v>
      </c>
      <c r="G628" s="11" t="s">
        <v>131</v>
      </c>
      <c r="H628" s="11" t="n">
        <v>28917.8</v>
      </c>
      <c r="I628" s="11" t="n">
        <v>603181</v>
      </c>
      <c r="J628" s="11" t="n">
        <v>6947</v>
      </c>
      <c r="K628" s="11" t="n">
        <v>489</v>
      </c>
      <c r="L628" s="11" t="n">
        <v>211171.64</v>
      </c>
    </row>
    <row r="629" customFormat="false" ht="15" hidden="false" customHeight="true" outlineLevel="0" collapsed="false">
      <c r="A629" s="11" t="n">
        <v>1232</v>
      </c>
      <c r="B629" s="11" t="s">
        <v>78</v>
      </c>
      <c r="C629" s="11" t="s">
        <v>92</v>
      </c>
      <c r="D629" s="11" t="s">
        <v>706</v>
      </c>
      <c r="E629" s="11" t="s">
        <v>887</v>
      </c>
      <c r="F629" s="11" t="s">
        <v>65</v>
      </c>
      <c r="G629" s="11" t="s">
        <v>112</v>
      </c>
      <c r="H629" s="11" t="n">
        <v>1252.43</v>
      </c>
      <c r="I629" s="11" t="n">
        <v>26277</v>
      </c>
      <c r="J629" s="11" t="n">
        <v>131</v>
      </c>
      <c r="K629" s="11" t="n">
        <v>2</v>
      </c>
      <c r="L629" s="11" t="n">
        <v>3590.77</v>
      </c>
    </row>
    <row r="630" customFormat="false" ht="15" hidden="false" customHeight="true" outlineLevel="0" collapsed="false">
      <c r="A630" s="11" t="n">
        <v>1600</v>
      </c>
      <c r="B630" s="11" t="s">
        <v>62</v>
      </c>
      <c r="C630" s="11" t="s">
        <v>85</v>
      </c>
      <c r="D630" s="11" t="s">
        <v>391</v>
      </c>
      <c r="E630" s="11" t="s">
        <v>394</v>
      </c>
      <c r="F630" s="11" t="s">
        <v>56</v>
      </c>
      <c r="G630" s="11" t="s">
        <v>199</v>
      </c>
      <c r="H630" s="11" t="n">
        <v>31828.84</v>
      </c>
      <c r="I630" s="11" t="n">
        <v>626769</v>
      </c>
      <c r="J630" s="11" t="n">
        <v>16184</v>
      </c>
      <c r="K630" s="11" t="n">
        <v>771</v>
      </c>
      <c r="L630" s="11" t="n">
        <v>639930.72</v>
      </c>
    </row>
    <row r="631" customFormat="false" ht="15" hidden="false" customHeight="true" outlineLevel="0" collapsed="false">
      <c r="A631" s="11" t="n">
        <v>1518</v>
      </c>
      <c r="B631" s="11" t="s">
        <v>66</v>
      </c>
      <c r="C631" s="11" t="s">
        <v>71</v>
      </c>
      <c r="D631" s="11" t="s">
        <v>887</v>
      </c>
      <c r="E631" s="11" t="s">
        <v>853</v>
      </c>
      <c r="F631" s="11" t="s">
        <v>53</v>
      </c>
      <c r="G631" s="11" t="s">
        <v>49</v>
      </c>
      <c r="H631" s="11" t="n">
        <v>38224.15</v>
      </c>
      <c r="I631" s="11" t="n">
        <v>604548</v>
      </c>
      <c r="J631" s="11" t="n">
        <v>8280</v>
      </c>
      <c r="K631" s="11" t="n">
        <v>326</v>
      </c>
      <c r="L631" s="11" t="n">
        <v>219455.08</v>
      </c>
    </row>
    <row r="632" customFormat="false" ht="15" hidden="false" customHeight="true" outlineLevel="0" collapsed="false">
      <c r="A632" s="11" t="n">
        <v>1544</v>
      </c>
      <c r="B632" s="11" t="s">
        <v>73</v>
      </c>
      <c r="C632" s="11" t="s">
        <v>185</v>
      </c>
      <c r="D632" s="11" t="s">
        <v>665</v>
      </c>
      <c r="E632" s="11" t="s">
        <v>519</v>
      </c>
      <c r="F632" s="11" t="s">
        <v>48</v>
      </c>
      <c r="G632" s="11" t="s">
        <v>131</v>
      </c>
      <c r="H632" s="11" t="n">
        <v>29699.3</v>
      </c>
      <c r="I632" s="11" t="n">
        <v>1183475</v>
      </c>
      <c r="J632" s="11" t="n">
        <v>16899</v>
      </c>
      <c r="K632" s="11" t="n">
        <v>217</v>
      </c>
      <c r="L632" s="11" t="n">
        <v>239592.46</v>
      </c>
    </row>
    <row r="633" customFormat="false" ht="15" hidden="false" customHeight="true" outlineLevel="0" collapsed="false">
      <c r="A633" s="11" t="n">
        <v>1590</v>
      </c>
      <c r="B633" s="11" t="s">
        <v>313</v>
      </c>
      <c r="C633" s="11" t="s">
        <v>81</v>
      </c>
      <c r="D633" s="11" t="s">
        <v>521</v>
      </c>
      <c r="E633" s="11" t="s">
        <v>888</v>
      </c>
      <c r="F633" s="11" t="s">
        <v>60</v>
      </c>
      <c r="G633" s="11" t="s">
        <v>72</v>
      </c>
      <c r="H633" s="11" t="n">
        <v>2831.24</v>
      </c>
      <c r="I633" s="11" t="n">
        <v>64949</v>
      </c>
      <c r="J633" s="11" t="n">
        <v>1087</v>
      </c>
      <c r="K633" s="11" t="n">
        <v>44</v>
      </c>
      <c r="L633" s="11" t="n">
        <v>40835.75</v>
      </c>
    </row>
    <row r="634" customFormat="false" ht="15" hidden="false" customHeight="true" outlineLevel="0" collapsed="false">
      <c r="A634" s="11" t="n">
        <v>1526</v>
      </c>
      <c r="B634" s="11" t="s">
        <v>144</v>
      </c>
      <c r="C634" s="11" t="s">
        <v>328</v>
      </c>
      <c r="D634" s="11" t="s">
        <v>889</v>
      </c>
      <c r="E634" s="11" t="s">
        <v>114</v>
      </c>
      <c r="F634" s="11" t="s">
        <v>53</v>
      </c>
      <c r="G634" s="11" t="s">
        <v>199</v>
      </c>
      <c r="H634" s="11" t="n">
        <v>27189.29</v>
      </c>
      <c r="I634" s="11" t="n">
        <v>1055780</v>
      </c>
      <c r="J634" s="11" t="n">
        <v>16318</v>
      </c>
      <c r="K634" s="11" t="n">
        <v>793</v>
      </c>
      <c r="L634" s="11" t="n">
        <v>615974.86</v>
      </c>
    </row>
    <row r="635" customFormat="false" ht="15" hidden="false" customHeight="true" outlineLevel="0" collapsed="false">
      <c r="A635" s="11" t="n">
        <v>1722</v>
      </c>
      <c r="B635" s="11" t="s">
        <v>52</v>
      </c>
      <c r="C635" s="11" t="s">
        <v>85</v>
      </c>
      <c r="D635" s="11" t="s">
        <v>846</v>
      </c>
      <c r="E635" s="11" t="s">
        <v>775</v>
      </c>
      <c r="F635" s="11" t="s">
        <v>56</v>
      </c>
      <c r="G635" s="11" t="s">
        <v>131</v>
      </c>
      <c r="H635" s="11" t="n">
        <v>60732.97</v>
      </c>
      <c r="I635" s="11" t="n">
        <v>2136470</v>
      </c>
      <c r="J635" s="11" t="n">
        <v>66065</v>
      </c>
      <c r="K635" s="11" t="n">
        <v>2369</v>
      </c>
      <c r="L635" s="11" t="n">
        <v>4162627.99</v>
      </c>
    </row>
    <row r="636" customFormat="false" ht="15" hidden="false" customHeight="true" outlineLevel="0" collapsed="false">
      <c r="A636" s="11" t="n">
        <v>1287</v>
      </c>
      <c r="B636" s="11" t="s">
        <v>184</v>
      </c>
      <c r="C636" s="11" t="s">
        <v>124</v>
      </c>
      <c r="D636" s="11" t="s">
        <v>293</v>
      </c>
      <c r="E636" s="11" t="s">
        <v>343</v>
      </c>
      <c r="F636" s="11" t="s">
        <v>60</v>
      </c>
      <c r="G636" s="11" t="s">
        <v>131</v>
      </c>
      <c r="H636" s="11" t="n">
        <v>52958.87</v>
      </c>
      <c r="I636" s="11" t="n">
        <v>1789401</v>
      </c>
      <c r="J636" s="11" t="n">
        <v>46807</v>
      </c>
      <c r="K636" s="11" t="n">
        <v>1498</v>
      </c>
      <c r="L636" s="11" t="n">
        <v>592999.65</v>
      </c>
    </row>
    <row r="637" customFormat="false" ht="15" hidden="false" customHeight="true" outlineLevel="0" collapsed="false">
      <c r="A637" s="11" t="n">
        <v>1422</v>
      </c>
      <c r="B637" s="11" t="s">
        <v>58</v>
      </c>
      <c r="C637" s="11" t="s">
        <v>134</v>
      </c>
      <c r="D637" s="11" t="s">
        <v>400</v>
      </c>
      <c r="E637" s="11" t="s">
        <v>890</v>
      </c>
      <c r="F637" s="11" t="s">
        <v>67</v>
      </c>
      <c r="G637" s="11" t="s">
        <v>238</v>
      </c>
      <c r="H637" s="11" t="n">
        <v>54063.38</v>
      </c>
      <c r="I637" s="11" t="n">
        <v>1093752</v>
      </c>
      <c r="J637" s="11" t="n">
        <v>8139</v>
      </c>
      <c r="K637" s="11" t="n">
        <v>349</v>
      </c>
      <c r="L637" s="11" t="n">
        <v>457915.29</v>
      </c>
    </row>
    <row r="638" customFormat="false" ht="15" hidden="false" customHeight="true" outlineLevel="0" collapsed="false">
      <c r="A638" s="11" t="n">
        <v>1316</v>
      </c>
      <c r="B638" s="11" t="s">
        <v>62</v>
      </c>
      <c r="C638" s="11" t="s">
        <v>100</v>
      </c>
      <c r="D638" s="11" t="s">
        <v>891</v>
      </c>
      <c r="E638" s="11" t="s">
        <v>625</v>
      </c>
      <c r="F638" s="11" t="s">
        <v>48</v>
      </c>
      <c r="G638" s="11" t="s">
        <v>61</v>
      </c>
      <c r="H638" s="11" t="n">
        <v>25592.76</v>
      </c>
      <c r="I638" s="11" t="n">
        <v>649515</v>
      </c>
      <c r="J638" s="11" t="n">
        <v>16815</v>
      </c>
      <c r="K638" s="11" t="n">
        <v>819</v>
      </c>
      <c r="L638" s="11" t="n">
        <v>807582.12</v>
      </c>
    </row>
    <row r="639" customFormat="false" ht="15" hidden="false" customHeight="true" outlineLevel="0" collapsed="false">
      <c r="A639" s="11" t="n">
        <v>1759</v>
      </c>
      <c r="B639" s="11" t="s">
        <v>73</v>
      </c>
      <c r="C639" s="11" t="s">
        <v>85</v>
      </c>
      <c r="D639" s="11" t="s">
        <v>892</v>
      </c>
      <c r="E639" s="11" t="s">
        <v>729</v>
      </c>
      <c r="F639" s="11" t="s">
        <v>67</v>
      </c>
      <c r="G639" s="11" t="s">
        <v>103</v>
      </c>
      <c r="H639" s="11" t="n">
        <v>33897.96</v>
      </c>
      <c r="I639" s="11" t="n">
        <v>724336</v>
      </c>
      <c r="J639" s="11" t="n">
        <v>5187</v>
      </c>
      <c r="K639" s="11" t="n">
        <v>97</v>
      </c>
      <c r="L639" s="11" t="n">
        <v>86913.45</v>
      </c>
    </row>
    <row r="640" customFormat="false" ht="15" hidden="false" customHeight="true" outlineLevel="0" collapsed="false">
      <c r="A640" s="11" t="n">
        <v>1736</v>
      </c>
      <c r="B640" s="11" t="s">
        <v>164</v>
      </c>
      <c r="C640" s="11" t="s">
        <v>192</v>
      </c>
      <c r="D640" s="11" t="s">
        <v>579</v>
      </c>
      <c r="E640" s="11" t="s">
        <v>618</v>
      </c>
      <c r="F640" s="11" t="s">
        <v>48</v>
      </c>
      <c r="G640" s="11" t="s">
        <v>103</v>
      </c>
      <c r="H640" s="11" t="n">
        <v>64021.95</v>
      </c>
      <c r="I640" s="11" t="n">
        <v>1436444</v>
      </c>
      <c r="J640" s="11" t="n">
        <v>8690</v>
      </c>
      <c r="K640" s="11" t="n">
        <v>159</v>
      </c>
      <c r="L640" s="11" t="n">
        <v>88350.77</v>
      </c>
    </row>
    <row r="641" customFormat="false" ht="15" hidden="false" customHeight="true" outlineLevel="0" collapsed="false">
      <c r="A641" s="11" t="n">
        <v>1087</v>
      </c>
      <c r="B641" s="11" t="s">
        <v>66</v>
      </c>
      <c r="C641" s="11" t="s">
        <v>81</v>
      </c>
      <c r="D641" s="11" t="s">
        <v>683</v>
      </c>
      <c r="E641" s="11" t="s">
        <v>893</v>
      </c>
      <c r="F641" s="11" t="s">
        <v>67</v>
      </c>
      <c r="G641" s="11" t="s">
        <v>95</v>
      </c>
      <c r="H641" s="11" t="n">
        <v>1950.1</v>
      </c>
      <c r="I641" s="11" t="n">
        <v>32861</v>
      </c>
      <c r="J641" s="11" t="n">
        <v>334</v>
      </c>
      <c r="K641" s="11" t="n">
        <v>20</v>
      </c>
      <c r="L641" s="11" t="n">
        <v>35920.61</v>
      </c>
    </row>
    <row r="642" customFormat="false" ht="15" hidden="false" customHeight="true" outlineLevel="0" collapsed="false">
      <c r="A642" s="11" t="n">
        <v>1024</v>
      </c>
      <c r="B642" s="11" t="s">
        <v>46</v>
      </c>
      <c r="C642" s="11" t="s">
        <v>115</v>
      </c>
      <c r="D642" s="11" t="s">
        <v>792</v>
      </c>
      <c r="E642" s="11" t="s">
        <v>244</v>
      </c>
      <c r="F642" s="11" t="s">
        <v>65</v>
      </c>
      <c r="G642" s="11" t="s">
        <v>238</v>
      </c>
      <c r="H642" s="11" t="n">
        <v>27138.98</v>
      </c>
      <c r="I642" s="11" t="n">
        <v>729452</v>
      </c>
      <c r="J642" s="11" t="n">
        <v>22242</v>
      </c>
      <c r="K642" s="11" t="n">
        <v>335</v>
      </c>
      <c r="L642" s="11" t="n">
        <v>318564.72</v>
      </c>
    </row>
    <row r="643" customFormat="false" ht="15" hidden="false" customHeight="true" outlineLevel="0" collapsed="false">
      <c r="A643" s="11" t="n">
        <v>1197</v>
      </c>
      <c r="B643" s="11" t="s">
        <v>46</v>
      </c>
      <c r="C643" s="11" t="s">
        <v>185</v>
      </c>
      <c r="D643" s="11" t="s">
        <v>894</v>
      </c>
      <c r="E643" s="11" t="s">
        <v>808</v>
      </c>
      <c r="F643" s="11" t="s">
        <v>65</v>
      </c>
      <c r="G643" s="11" t="s">
        <v>99</v>
      </c>
      <c r="H643" s="11" t="n">
        <v>43788.57</v>
      </c>
      <c r="I643" s="11" t="n">
        <v>1333623</v>
      </c>
      <c r="J643" s="11" t="n">
        <v>23985</v>
      </c>
      <c r="K643" s="11" t="n">
        <v>1459</v>
      </c>
      <c r="L643" s="11" t="n">
        <v>1530196.33</v>
      </c>
    </row>
    <row r="644" customFormat="false" ht="15" hidden="false" customHeight="true" outlineLevel="0" collapsed="false">
      <c r="A644" s="11" t="n">
        <v>1301</v>
      </c>
      <c r="B644" s="11" t="s">
        <v>191</v>
      </c>
      <c r="C644" s="11" t="s">
        <v>118</v>
      </c>
      <c r="D644" s="11" t="s">
        <v>887</v>
      </c>
      <c r="E644" s="11" t="s">
        <v>895</v>
      </c>
      <c r="F644" s="11" t="s">
        <v>53</v>
      </c>
      <c r="G644" s="11" t="s">
        <v>226</v>
      </c>
      <c r="H644" s="11" t="n">
        <v>31874.98</v>
      </c>
      <c r="I644" s="11" t="n">
        <v>520179</v>
      </c>
      <c r="J644" s="11" t="n">
        <v>7962</v>
      </c>
      <c r="K644" s="11" t="n">
        <v>513</v>
      </c>
      <c r="L644" s="11" t="n">
        <v>528318.06</v>
      </c>
    </row>
    <row r="645" customFormat="false" ht="15" hidden="false" customHeight="true" outlineLevel="0" collapsed="false">
      <c r="A645" s="11" t="n">
        <v>1650</v>
      </c>
      <c r="B645" s="11" t="s">
        <v>184</v>
      </c>
      <c r="C645" s="11" t="s">
        <v>185</v>
      </c>
      <c r="D645" s="11" t="s">
        <v>541</v>
      </c>
      <c r="E645" s="11" t="s">
        <v>818</v>
      </c>
      <c r="F645" s="11" t="s">
        <v>53</v>
      </c>
      <c r="G645" s="11" t="s">
        <v>72</v>
      </c>
      <c r="H645" s="11" t="n">
        <v>29516.42</v>
      </c>
      <c r="I645" s="11" t="n">
        <v>554740</v>
      </c>
      <c r="J645" s="11" t="n">
        <v>5277</v>
      </c>
      <c r="K645" s="11" t="n">
        <v>163</v>
      </c>
      <c r="L645" s="11" t="n">
        <v>104318.65</v>
      </c>
    </row>
    <row r="646" customFormat="false" ht="15" hidden="false" customHeight="true" outlineLevel="0" collapsed="false">
      <c r="A646" s="11" t="n">
        <v>1557</v>
      </c>
      <c r="B646" s="11" t="s">
        <v>73</v>
      </c>
      <c r="C646" s="11" t="s">
        <v>121</v>
      </c>
      <c r="D646" s="11" t="s">
        <v>702</v>
      </c>
      <c r="E646" s="11" t="s">
        <v>539</v>
      </c>
      <c r="F646" s="11" t="s">
        <v>56</v>
      </c>
      <c r="G646" s="11" t="s">
        <v>137</v>
      </c>
      <c r="H646" s="11" t="n">
        <v>55963.54</v>
      </c>
      <c r="I646" s="11" t="n">
        <v>926093</v>
      </c>
      <c r="J646" s="11" t="n">
        <v>11589</v>
      </c>
      <c r="K646" s="11" t="n">
        <v>146</v>
      </c>
      <c r="L646" s="11" t="n">
        <v>209861.23</v>
      </c>
    </row>
    <row r="647" customFormat="false" ht="15" hidden="false" customHeight="true" outlineLevel="0" collapsed="false">
      <c r="A647" s="11" t="n">
        <v>1349</v>
      </c>
      <c r="B647" s="11" t="s">
        <v>262</v>
      </c>
      <c r="C647" s="11" t="s">
        <v>141</v>
      </c>
      <c r="D647" s="11" t="s">
        <v>896</v>
      </c>
      <c r="E647" s="11" t="s">
        <v>897</v>
      </c>
      <c r="F647" s="11" t="s">
        <v>69</v>
      </c>
      <c r="G647" s="11" t="s">
        <v>54</v>
      </c>
      <c r="H647" s="11" t="n">
        <v>5754.43</v>
      </c>
      <c r="I647" s="11" t="n">
        <v>108289</v>
      </c>
      <c r="J647" s="11" t="n">
        <v>2562</v>
      </c>
      <c r="K647" s="11" t="n">
        <v>42</v>
      </c>
      <c r="L647" s="11" t="n">
        <v>19359.9</v>
      </c>
    </row>
    <row r="648" customFormat="false" ht="15" hidden="false" customHeight="true" outlineLevel="0" collapsed="false">
      <c r="A648" s="11" t="n">
        <v>1669</v>
      </c>
      <c r="B648" s="11" t="s">
        <v>184</v>
      </c>
      <c r="C648" s="11" t="s">
        <v>121</v>
      </c>
      <c r="D648" s="11" t="s">
        <v>329</v>
      </c>
      <c r="E648" s="11" t="s">
        <v>898</v>
      </c>
      <c r="F648" s="11" t="s">
        <v>56</v>
      </c>
      <c r="G648" s="11" t="s">
        <v>84</v>
      </c>
      <c r="H648" s="11" t="n">
        <v>21069.12</v>
      </c>
      <c r="I648" s="11" t="n">
        <v>608769</v>
      </c>
      <c r="J648" s="11" t="n">
        <v>8734</v>
      </c>
      <c r="K648" s="11" t="n">
        <v>651</v>
      </c>
      <c r="L648" s="11" t="n">
        <v>806602.04</v>
      </c>
    </row>
    <row r="649" customFormat="false" ht="15" hidden="false" customHeight="true" outlineLevel="0" collapsed="false">
      <c r="A649" s="11" t="n">
        <v>1235</v>
      </c>
      <c r="B649" s="11" t="s">
        <v>46</v>
      </c>
      <c r="C649" s="11" t="s">
        <v>121</v>
      </c>
      <c r="D649" s="11" t="s">
        <v>727</v>
      </c>
      <c r="E649" s="11" t="s">
        <v>301</v>
      </c>
      <c r="F649" s="11" t="s">
        <v>48</v>
      </c>
      <c r="G649" s="11" t="s">
        <v>238</v>
      </c>
      <c r="H649" s="11" t="n">
        <v>44442.56</v>
      </c>
      <c r="I649" s="11" t="n">
        <v>959236</v>
      </c>
      <c r="J649" s="11" t="n">
        <v>13063</v>
      </c>
      <c r="K649" s="11" t="n">
        <v>495</v>
      </c>
      <c r="L649" s="11" t="n">
        <v>710692.68</v>
      </c>
    </row>
    <row r="650" customFormat="false" ht="15" hidden="false" customHeight="true" outlineLevel="0" collapsed="false">
      <c r="A650" s="11" t="n">
        <v>1413</v>
      </c>
      <c r="B650" s="11" t="s">
        <v>70</v>
      </c>
      <c r="C650" s="11" t="s">
        <v>134</v>
      </c>
      <c r="D650" s="11" t="s">
        <v>899</v>
      </c>
      <c r="E650" s="11" t="s">
        <v>337</v>
      </c>
      <c r="F650" s="11" t="s">
        <v>65</v>
      </c>
      <c r="G650" s="11" t="s">
        <v>175</v>
      </c>
      <c r="H650" s="11" t="n">
        <v>35023.1</v>
      </c>
      <c r="I650" s="11" t="n">
        <v>732633</v>
      </c>
      <c r="J650" s="11" t="n">
        <v>5265</v>
      </c>
      <c r="K650" s="11" t="n">
        <v>273</v>
      </c>
      <c r="L650" s="11" t="n">
        <v>269141.9</v>
      </c>
    </row>
    <row r="651" customFormat="false" ht="15" hidden="false" customHeight="true" outlineLevel="0" collapsed="false">
      <c r="A651" s="11" t="n">
        <v>1192</v>
      </c>
      <c r="B651" s="11" t="s">
        <v>58</v>
      </c>
      <c r="C651" s="11" t="s">
        <v>115</v>
      </c>
      <c r="D651" s="11" t="s">
        <v>900</v>
      </c>
      <c r="E651" s="11" t="s">
        <v>901</v>
      </c>
      <c r="F651" s="11" t="s">
        <v>53</v>
      </c>
      <c r="G651" s="11" t="s">
        <v>91</v>
      </c>
      <c r="H651" s="11" t="n">
        <v>44841.73</v>
      </c>
      <c r="I651" s="11" t="n">
        <v>1355343</v>
      </c>
      <c r="J651" s="11" t="n">
        <v>38408</v>
      </c>
      <c r="K651" s="11" t="n">
        <v>2619</v>
      </c>
      <c r="L651" s="11" t="n">
        <v>4612120.8</v>
      </c>
    </row>
    <row r="652" customFormat="false" ht="15" hidden="false" customHeight="true" outlineLevel="0" collapsed="false">
      <c r="A652" s="11" t="n">
        <v>1795</v>
      </c>
      <c r="B652" s="11" t="s">
        <v>76</v>
      </c>
      <c r="C652" s="11" t="s">
        <v>100</v>
      </c>
      <c r="D652" s="11" t="s">
        <v>691</v>
      </c>
      <c r="E652" s="11" t="s">
        <v>310</v>
      </c>
      <c r="F652" s="11" t="s">
        <v>48</v>
      </c>
      <c r="G652" s="11" t="s">
        <v>112</v>
      </c>
      <c r="H652" s="11" t="n">
        <v>44091.05</v>
      </c>
      <c r="I652" s="11" t="n">
        <v>870026</v>
      </c>
      <c r="J652" s="11" t="n">
        <v>29013</v>
      </c>
      <c r="K652" s="11" t="n">
        <v>1763</v>
      </c>
      <c r="L652" s="11" t="n">
        <v>2945680.17</v>
      </c>
    </row>
    <row r="653" customFormat="false" ht="15" hidden="false" customHeight="true" outlineLevel="0" collapsed="false">
      <c r="A653" s="11" t="n">
        <v>1298</v>
      </c>
      <c r="B653" s="11" t="s">
        <v>55</v>
      </c>
      <c r="C653" s="11" t="s">
        <v>149</v>
      </c>
      <c r="D653" s="11" t="s">
        <v>902</v>
      </c>
      <c r="E653" s="11" t="s">
        <v>903</v>
      </c>
      <c r="F653" s="11" t="s">
        <v>65</v>
      </c>
      <c r="G653" s="11" t="s">
        <v>84</v>
      </c>
      <c r="H653" s="11" t="n">
        <v>14281.98</v>
      </c>
      <c r="I653" s="11" t="n">
        <v>351549</v>
      </c>
      <c r="J653" s="11" t="n">
        <v>11507</v>
      </c>
      <c r="K653" s="11" t="n">
        <v>791</v>
      </c>
      <c r="L653" s="11" t="n">
        <v>453786.87</v>
      </c>
    </row>
    <row r="654" customFormat="false" ht="15" hidden="false" customHeight="true" outlineLevel="0" collapsed="false">
      <c r="A654" s="11" t="n">
        <v>1383</v>
      </c>
      <c r="B654" s="11" t="s">
        <v>58</v>
      </c>
      <c r="C654" s="11" t="s">
        <v>81</v>
      </c>
      <c r="D654" s="11" t="s">
        <v>904</v>
      </c>
      <c r="E654" s="11" t="s">
        <v>420</v>
      </c>
      <c r="F654" s="11" t="s">
        <v>51</v>
      </c>
      <c r="G654" s="11" t="s">
        <v>172</v>
      </c>
      <c r="H654" s="11" t="n">
        <v>4698.16</v>
      </c>
      <c r="I654" s="11" t="n">
        <v>120038</v>
      </c>
      <c r="J654" s="11" t="n">
        <v>1737</v>
      </c>
      <c r="K654" s="11" t="n">
        <v>25</v>
      </c>
      <c r="L654" s="11" t="n">
        <v>41116.8</v>
      </c>
    </row>
    <row r="655" customFormat="false" ht="15" hidden="false" customHeight="true" outlineLevel="0" collapsed="false">
      <c r="A655" s="11" t="n">
        <v>1725</v>
      </c>
      <c r="B655" s="11" t="s">
        <v>88</v>
      </c>
      <c r="C655" s="11" t="s">
        <v>85</v>
      </c>
      <c r="D655" s="11" t="s">
        <v>905</v>
      </c>
      <c r="E655" s="11" t="s">
        <v>797</v>
      </c>
      <c r="F655" s="11" t="s">
        <v>48</v>
      </c>
      <c r="G655" s="11" t="s">
        <v>137</v>
      </c>
      <c r="H655" s="11" t="n">
        <v>49331.45</v>
      </c>
      <c r="I655" s="11" t="n">
        <v>1706478</v>
      </c>
      <c r="J655" s="11" t="n">
        <v>57508</v>
      </c>
      <c r="K655" s="11" t="n">
        <v>2526</v>
      </c>
      <c r="L655" s="11" t="n">
        <v>2034804.16</v>
      </c>
    </row>
    <row r="656" customFormat="false" ht="15" hidden="false" customHeight="true" outlineLevel="0" collapsed="false">
      <c r="A656" s="11" t="n">
        <v>1161</v>
      </c>
      <c r="B656" s="11" t="s">
        <v>64</v>
      </c>
      <c r="C656" s="11" t="s">
        <v>105</v>
      </c>
      <c r="D656" s="11" t="s">
        <v>488</v>
      </c>
      <c r="E656" s="11" t="s">
        <v>237</v>
      </c>
      <c r="F656" s="11" t="s">
        <v>56</v>
      </c>
      <c r="G656" s="11" t="s">
        <v>172</v>
      </c>
      <c r="H656" s="11" t="n">
        <v>18099.2</v>
      </c>
      <c r="I656" s="11" t="n">
        <v>473299</v>
      </c>
      <c r="J656" s="11" t="n">
        <v>4476</v>
      </c>
      <c r="K656" s="11" t="n">
        <v>237</v>
      </c>
      <c r="L656" s="11" t="n">
        <v>294974.2</v>
      </c>
    </row>
    <row r="657" customFormat="false" ht="15" hidden="false" customHeight="true" outlineLevel="0" collapsed="false">
      <c r="A657" s="11" t="n">
        <v>1659</v>
      </c>
      <c r="B657" s="11" t="s">
        <v>342</v>
      </c>
      <c r="C657" s="11" t="s">
        <v>85</v>
      </c>
      <c r="D657" s="11" t="s">
        <v>771</v>
      </c>
      <c r="E657" s="11" t="s">
        <v>126</v>
      </c>
      <c r="F657" s="11" t="s">
        <v>67</v>
      </c>
      <c r="G657" s="11"/>
      <c r="H657" s="11" t="n">
        <v>19851.51</v>
      </c>
      <c r="I657" s="11" t="n">
        <v>421347</v>
      </c>
      <c r="J657" s="11" t="n">
        <v>9243</v>
      </c>
      <c r="K657" s="11" t="n">
        <v>175</v>
      </c>
      <c r="L657" s="11" t="n">
        <v>100773.67</v>
      </c>
    </row>
    <row r="658" customFormat="false" ht="15" hidden="false" customHeight="true" outlineLevel="0" collapsed="false">
      <c r="A658" s="11" t="n">
        <v>1647</v>
      </c>
      <c r="B658" s="11" t="s">
        <v>46</v>
      </c>
      <c r="C658" s="11" t="s">
        <v>210</v>
      </c>
      <c r="D658" s="11" t="s">
        <v>906</v>
      </c>
      <c r="E658" s="11" t="s">
        <v>251</v>
      </c>
      <c r="F658" s="11" t="s">
        <v>51</v>
      </c>
      <c r="G658" s="11" t="s">
        <v>175</v>
      </c>
      <c r="H658" s="11" t="n">
        <v>37967.43</v>
      </c>
      <c r="I658" s="11" t="n">
        <v>1259293</v>
      </c>
      <c r="J658" s="11" t="n">
        <v>-37623</v>
      </c>
      <c r="K658" s="11" t="n">
        <v>1206</v>
      </c>
      <c r="L658" s="11" t="n">
        <v>960729.13</v>
      </c>
    </row>
    <row r="659" customFormat="false" ht="15" hidden="false" customHeight="true" outlineLevel="0" collapsed="false">
      <c r="A659" s="11" t="n">
        <v>1299</v>
      </c>
      <c r="B659" s="11" t="s">
        <v>62</v>
      </c>
      <c r="C659" s="11" t="s">
        <v>71</v>
      </c>
      <c r="D659" s="11" t="s">
        <v>242</v>
      </c>
      <c r="E659" s="11" t="s">
        <v>777</v>
      </c>
      <c r="F659" s="11" t="s">
        <v>60</v>
      </c>
      <c r="G659" s="11" t="s">
        <v>95</v>
      </c>
      <c r="H659" s="11" t="n">
        <v>39430.33</v>
      </c>
      <c r="I659" s="11" t="n">
        <v>1011096</v>
      </c>
      <c r="J659" s="11" t="n">
        <v>10509</v>
      </c>
      <c r="K659" s="11" t="n">
        <v>479</v>
      </c>
      <c r="L659" s="11" t="n">
        <v>551076.35</v>
      </c>
    </row>
    <row r="660" customFormat="false" ht="15" hidden="false" customHeight="true" outlineLevel="0" collapsed="false">
      <c r="A660" s="11" t="n">
        <v>1400</v>
      </c>
      <c r="B660" s="11" t="s">
        <v>80</v>
      </c>
      <c r="C660" s="11" t="s">
        <v>115</v>
      </c>
      <c r="D660" s="11" t="s">
        <v>660</v>
      </c>
      <c r="E660" s="11" t="s">
        <v>907</v>
      </c>
      <c r="F660" s="11" t="s">
        <v>69</v>
      </c>
      <c r="G660" s="11" t="s">
        <v>61</v>
      </c>
      <c r="H660" s="11" t="n">
        <v>62539.1</v>
      </c>
      <c r="I660" s="11" t="n">
        <v>1723950</v>
      </c>
      <c r="J660" s="11" t="n">
        <v>9585</v>
      </c>
      <c r="K660" s="11" t="n">
        <v>537</v>
      </c>
      <c r="L660" s="11" t="n">
        <v>602082.35</v>
      </c>
    </row>
    <row r="661" customFormat="false" ht="15" hidden="false" customHeight="true" outlineLevel="0" collapsed="false">
      <c r="A661" s="11" t="n">
        <v>1783</v>
      </c>
      <c r="B661" s="11" t="s">
        <v>76</v>
      </c>
      <c r="C661" s="11" t="s">
        <v>71</v>
      </c>
      <c r="D661" s="11" t="s">
        <v>398</v>
      </c>
      <c r="E661" s="11" t="s">
        <v>624</v>
      </c>
      <c r="F661" s="11" t="s">
        <v>53</v>
      </c>
      <c r="G661" s="11" t="s">
        <v>163</v>
      </c>
      <c r="H661" s="11" t="n">
        <v>25167.37</v>
      </c>
      <c r="I661" s="11" t="n">
        <v>402012</v>
      </c>
      <c r="J661" s="11" t="n">
        <v>9039</v>
      </c>
      <c r="K661" s="11" t="n">
        <v>715</v>
      </c>
      <c r="L661" s="11" t="n">
        <v>887191.2</v>
      </c>
    </row>
    <row r="662" customFormat="false" ht="15" hidden="false" customHeight="true" outlineLevel="0" collapsed="false">
      <c r="A662" s="11" t="n">
        <v>1474</v>
      </c>
      <c r="B662" s="11" t="s">
        <v>80</v>
      </c>
      <c r="C662" s="11" t="s">
        <v>50</v>
      </c>
      <c r="D662" s="11" t="s">
        <v>908</v>
      </c>
      <c r="E662" s="11" t="s">
        <v>537</v>
      </c>
      <c r="F662" s="11" t="s">
        <v>53</v>
      </c>
      <c r="G662" s="11" t="s">
        <v>226</v>
      </c>
      <c r="H662" s="11" t="n">
        <v>66584.28</v>
      </c>
      <c r="I662" s="11" t="n">
        <v>1016566</v>
      </c>
      <c r="J662" s="11" t="n">
        <v>34006</v>
      </c>
      <c r="K662" s="11" t="n">
        <v>1951</v>
      </c>
      <c r="L662" s="11" t="n">
        <v>3320680.15</v>
      </c>
    </row>
    <row r="663" customFormat="false" ht="15" hidden="false" customHeight="true" outlineLevel="0" collapsed="false">
      <c r="A663" s="11" t="n">
        <v>1084</v>
      </c>
      <c r="B663" s="11" t="s">
        <v>66</v>
      </c>
      <c r="C663" s="11" t="s">
        <v>121</v>
      </c>
      <c r="D663" s="11" t="s">
        <v>122</v>
      </c>
      <c r="E663" s="11" t="s">
        <v>123</v>
      </c>
      <c r="F663" s="11" t="s">
        <v>53</v>
      </c>
      <c r="G663" s="11" t="s">
        <v>61</v>
      </c>
      <c r="H663" s="11" t="n">
        <v>23373.28</v>
      </c>
      <c r="I663" s="11" t="n">
        <v>611162</v>
      </c>
      <c r="J663" s="11" t="n">
        <v>16214</v>
      </c>
      <c r="K663" s="11" t="n">
        <v>351</v>
      </c>
      <c r="L663" s="11" t="n">
        <v>348777.17</v>
      </c>
    </row>
    <row r="664" customFormat="false" ht="15" hidden="false" customHeight="true" outlineLevel="0" collapsed="false">
      <c r="A664" s="11" t="n">
        <v>1258</v>
      </c>
      <c r="B664" s="11" t="s">
        <v>144</v>
      </c>
      <c r="C664" s="11" t="s">
        <v>71</v>
      </c>
      <c r="D664" s="11" t="s">
        <v>562</v>
      </c>
      <c r="E664" s="11" t="s">
        <v>483</v>
      </c>
      <c r="F664" s="11" t="s">
        <v>65</v>
      </c>
      <c r="G664" s="11" t="s">
        <v>57</v>
      </c>
      <c r="H664" s="11" t="n">
        <v>18042.21</v>
      </c>
      <c r="I664" s="11" t="n">
        <v>566920</v>
      </c>
      <c r="J664" s="11" t="n">
        <v>12529</v>
      </c>
      <c r="K664" s="11" t="n">
        <v>956</v>
      </c>
      <c r="L664" s="11" t="n">
        <v>1108686.63</v>
      </c>
    </row>
    <row r="665" customFormat="false" ht="15" hidden="false" customHeight="true" outlineLevel="0" collapsed="false">
      <c r="A665" s="11" t="n">
        <v>1745</v>
      </c>
      <c r="B665" s="11" t="s">
        <v>64</v>
      </c>
      <c r="C665" s="11" t="s">
        <v>47</v>
      </c>
      <c r="D665" s="11" t="s">
        <v>909</v>
      </c>
      <c r="E665" s="11" t="s">
        <v>910</v>
      </c>
      <c r="F665" s="11" t="s">
        <v>60</v>
      </c>
      <c r="G665" s="11" t="s">
        <v>91</v>
      </c>
      <c r="H665" s="11" t="n">
        <v>3999.67</v>
      </c>
      <c r="I665" s="11" t="n">
        <v>118959</v>
      </c>
      <c r="J665" s="11" t="n">
        <v>2302</v>
      </c>
      <c r="K665" s="11" t="n">
        <v>122</v>
      </c>
      <c r="L665" s="11" t="n">
        <v>50107.67</v>
      </c>
    </row>
    <row r="666" customFormat="false" ht="15" hidden="false" customHeight="true" outlineLevel="0" collapsed="false">
      <c r="A666" s="11" t="n">
        <v>1107</v>
      </c>
      <c r="B666" s="11" t="s">
        <v>46</v>
      </c>
      <c r="C666" s="11" t="s">
        <v>50</v>
      </c>
      <c r="D666" s="11" t="s">
        <v>502</v>
      </c>
      <c r="E666" s="11" t="s">
        <v>709</v>
      </c>
      <c r="F666" s="11" t="s">
        <v>56</v>
      </c>
      <c r="G666" s="11" t="s">
        <v>147</v>
      </c>
      <c r="H666" s="11" t="n">
        <v>62341.44</v>
      </c>
      <c r="I666" s="11" t="n">
        <v>1879187</v>
      </c>
      <c r="J666" s="11" t="n">
        <v>32839</v>
      </c>
      <c r="K666" s="11" t="n">
        <v>1590</v>
      </c>
      <c r="L666" s="11" t="n">
        <v>1641994.13</v>
      </c>
    </row>
    <row r="667" customFormat="false" ht="15" hidden="false" customHeight="true" outlineLevel="0" collapsed="false">
      <c r="A667" s="11" t="n">
        <v>1220</v>
      </c>
      <c r="B667" s="11" t="s">
        <v>46</v>
      </c>
      <c r="C667" s="11" t="s">
        <v>59</v>
      </c>
      <c r="D667" s="11" t="s">
        <v>369</v>
      </c>
      <c r="E667" s="11" t="s">
        <v>726</v>
      </c>
      <c r="F667" s="11" t="s">
        <v>56</v>
      </c>
      <c r="G667" s="11" t="s">
        <v>147</v>
      </c>
      <c r="H667" s="11" t="n">
        <v>57476.79</v>
      </c>
      <c r="I667" s="11" t="n">
        <v>1675179</v>
      </c>
      <c r="J667" s="11" t="n">
        <v>52208</v>
      </c>
      <c r="K667" s="11" t="n">
        <v>1056</v>
      </c>
      <c r="L667" s="11" t="n">
        <v>1490445.25</v>
      </c>
    </row>
    <row r="668" customFormat="false" ht="15" hidden="false" customHeight="true" outlineLevel="0" collapsed="false">
      <c r="A668" s="11" t="n">
        <v>1442</v>
      </c>
      <c r="B668" s="11" t="s">
        <v>184</v>
      </c>
      <c r="C668" s="11" t="s">
        <v>85</v>
      </c>
      <c r="D668" s="11" t="s">
        <v>771</v>
      </c>
      <c r="E668" s="11" t="s">
        <v>911</v>
      </c>
      <c r="F668" s="11" t="s">
        <v>60</v>
      </c>
      <c r="G668" s="11" t="s">
        <v>91</v>
      </c>
      <c r="H668" s="11" t="n">
        <v>26030.7</v>
      </c>
      <c r="I668" s="11" t="n">
        <v>867390</v>
      </c>
      <c r="J668" s="11" t="n">
        <v>13255</v>
      </c>
      <c r="K668" s="11" t="n">
        <v>323</v>
      </c>
      <c r="L668" s="11" t="n">
        <v>138375.55</v>
      </c>
    </row>
    <row r="669" customFormat="false" ht="15" hidden="false" customHeight="true" outlineLevel="0" collapsed="false">
      <c r="A669" s="11" t="n">
        <v>1693</v>
      </c>
      <c r="B669" s="11" t="s">
        <v>184</v>
      </c>
      <c r="C669" s="11" t="s">
        <v>71</v>
      </c>
      <c r="D669" s="11" t="s">
        <v>735</v>
      </c>
      <c r="E669" s="11" t="s">
        <v>582</v>
      </c>
      <c r="F669" s="11" t="s">
        <v>60</v>
      </c>
      <c r="G669" s="11" t="s">
        <v>57</v>
      </c>
      <c r="H669" s="11" t="n">
        <v>34454.77</v>
      </c>
      <c r="I669" s="11" t="n">
        <v>1103528</v>
      </c>
      <c r="J669" s="11" t="n">
        <v>6998</v>
      </c>
      <c r="K669" s="11" t="n">
        <v>175</v>
      </c>
      <c r="L669" s="11" t="n">
        <v>177273.07</v>
      </c>
    </row>
    <row r="670" customFormat="false" ht="15" hidden="false" customHeight="true" outlineLevel="0" collapsed="false">
      <c r="A670" s="11" t="n">
        <v>1378</v>
      </c>
      <c r="B670" s="11" t="s">
        <v>68</v>
      </c>
      <c r="C670" s="11" t="s">
        <v>85</v>
      </c>
      <c r="D670" s="11" t="s">
        <v>670</v>
      </c>
      <c r="E670" s="11" t="s">
        <v>912</v>
      </c>
      <c r="F670" s="11" t="s">
        <v>53</v>
      </c>
      <c r="G670" s="11" t="s">
        <v>57</v>
      </c>
      <c r="H670" s="11" t="n">
        <v>16613.91</v>
      </c>
      <c r="I670" s="11" t="n">
        <v>523693</v>
      </c>
      <c r="J670" s="11" t="n">
        <v>11549</v>
      </c>
      <c r="K670" s="11" t="n">
        <v>320</v>
      </c>
      <c r="L670" s="11" t="n">
        <v>230255.13</v>
      </c>
    </row>
    <row r="671" customFormat="false" ht="15" hidden="false" customHeight="true" outlineLevel="0" collapsed="false">
      <c r="A671" s="11" t="n">
        <v>1134</v>
      </c>
      <c r="B671" s="11" t="s">
        <v>73</v>
      </c>
      <c r="C671" s="11" t="s">
        <v>124</v>
      </c>
      <c r="D671" s="11" t="s">
        <v>913</v>
      </c>
      <c r="E671" s="11" t="s">
        <v>93</v>
      </c>
      <c r="F671" s="11" t="s">
        <v>60</v>
      </c>
      <c r="G671" s="11" t="s">
        <v>61</v>
      </c>
      <c r="H671" s="11" t="n">
        <v>40747.54</v>
      </c>
      <c r="I671" s="11" t="n">
        <v>801083</v>
      </c>
      <c r="J671" s="11" t="n">
        <v>19802</v>
      </c>
      <c r="K671" s="11" t="n">
        <v>746</v>
      </c>
      <c r="L671" s="11" t="n">
        <v>1058733</v>
      </c>
    </row>
    <row r="672" customFormat="false" ht="15" hidden="false" customHeight="true" outlineLevel="0" collapsed="false">
      <c r="A672" s="11" t="n">
        <v>1430</v>
      </c>
      <c r="B672" s="11" t="s">
        <v>290</v>
      </c>
      <c r="C672" s="11" t="s">
        <v>210</v>
      </c>
      <c r="D672" s="11" t="s">
        <v>914</v>
      </c>
      <c r="E672" s="11" t="s">
        <v>94</v>
      </c>
      <c r="F672" s="11" t="s">
        <v>67</v>
      </c>
      <c r="G672" s="11" t="s">
        <v>108</v>
      </c>
      <c r="H672" s="11" t="n">
        <v>19308.99</v>
      </c>
      <c r="I672" s="11" t="n">
        <v>539942</v>
      </c>
      <c r="J672" s="11" t="n">
        <v>5482</v>
      </c>
      <c r="K672" s="11" t="n">
        <v>384</v>
      </c>
      <c r="L672" s="11" t="n">
        <v>363167.54</v>
      </c>
    </row>
    <row r="673" customFormat="false" ht="15" hidden="false" customHeight="true" outlineLevel="0" collapsed="false">
      <c r="A673" s="11" t="n">
        <v>1688</v>
      </c>
      <c r="B673" s="11" t="s">
        <v>447</v>
      </c>
      <c r="C673" s="11" t="s">
        <v>155</v>
      </c>
      <c r="D673" s="11" t="s">
        <v>915</v>
      </c>
      <c r="E673" s="11" t="s">
        <v>916</v>
      </c>
      <c r="F673" s="11" t="s">
        <v>65</v>
      </c>
      <c r="G673" s="11" t="s">
        <v>183</v>
      </c>
      <c r="H673" s="11" t="n">
        <v>83446.1</v>
      </c>
      <c r="I673" s="11" t="n">
        <v>2502795</v>
      </c>
      <c r="J673" s="11" t="n">
        <v>55610</v>
      </c>
      <c r="K673" s="11" t="n">
        <v>4026</v>
      </c>
      <c r="L673" s="11" t="n">
        <v>5532661.94</v>
      </c>
    </row>
    <row r="674" customFormat="false" ht="15" hidden="false" customHeight="true" outlineLevel="0" collapsed="false">
      <c r="A674" s="11" t="n">
        <v>1022</v>
      </c>
      <c r="B674" s="11" t="s">
        <v>109</v>
      </c>
      <c r="C674" s="11" t="s">
        <v>138</v>
      </c>
      <c r="D674" s="11" t="s">
        <v>463</v>
      </c>
      <c r="E674" s="11" t="s">
        <v>899</v>
      </c>
      <c r="F674" s="11" t="s">
        <v>53</v>
      </c>
      <c r="G674" s="11" t="s">
        <v>72</v>
      </c>
      <c r="H674" s="11" t="n">
        <v>35343.29</v>
      </c>
      <c r="I674" s="11" t="n">
        <v>818358</v>
      </c>
      <c r="J674" s="11" t="n">
        <v>21208</v>
      </c>
      <c r="K674" s="11" t="n">
        <v>1035</v>
      </c>
      <c r="L674" s="11" t="n">
        <v>650154.02</v>
      </c>
    </row>
    <row r="675" customFormat="false" ht="15" hidden="false" customHeight="true" outlineLevel="0" collapsed="false">
      <c r="A675" s="11" t="n">
        <v>1163</v>
      </c>
      <c r="B675" s="11" t="s">
        <v>73</v>
      </c>
      <c r="C675" s="11" t="s">
        <v>63</v>
      </c>
      <c r="D675" s="11" t="s">
        <v>429</v>
      </c>
      <c r="E675" s="11" t="s">
        <v>133</v>
      </c>
      <c r="F675" s="11" t="s">
        <v>65</v>
      </c>
      <c r="G675" s="11" t="s">
        <v>131</v>
      </c>
      <c r="H675" s="11" t="n">
        <v>34902.03</v>
      </c>
      <c r="I675" s="11" t="n">
        <v>756088</v>
      </c>
      <c r="J675" s="11" t="n">
        <v>22295</v>
      </c>
      <c r="K675" s="11" t="n">
        <v>1654</v>
      </c>
      <c r="L675" s="11" t="n">
        <v>712985.73</v>
      </c>
    </row>
    <row r="676" customFormat="false" ht="15" hidden="false" customHeight="true" outlineLevel="0" collapsed="false">
      <c r="A676" s="11" t="n">
        <v>1305</v>
      </c>
      <c r="B676" s="11" t="s">
        <v>76</v>
      </c>
      <c r="C676" s="11" t="s">
        <v>96</v>
      </c>
      <c r="D676" s="11" t="s">
        <v>917</v>
      </c>
      <c r="E676" s="11" t="s">
        <v>448</v>
      </c>
      <c r="F676" s="11" t="s">
        <v>60</v>
      </c>
      <c r="G676" s="11" t="s">
        <v>147</v>
      </c>
      <c r="H676" s="11" t="n">
        <v>4713.09</v>
      </c>
      <c r="I676" s="11" t="n">
        <v>121919</v>
      </c>
      <c r="J676" s="11" t="n">
        <v>1665</v>
      </c>
      <c r="K676" s="11" t="n">
        <v>109</v>
      </c>
      <c r="L676" s="11" t="n">
        <v>98525.75</v>
      </c>
    </row>
    <row r="677" customFormat="false" ht="15" hidden="false" customHeight="true" outlineLevel="0" collapsed="false">
      <c r="A677" s="11" t="n">
        <v>1418</v>
      </c>
      <c r="B677" s="11" t="s">
        <v>55</v>
      </c>
      <c r="C677" s="11" t="s">
        <v>149</v>
      </c>
      <c r="D677" s="11" t="s">
        <v>424</v>
      </c>
      <c r="E677" s="11" t="s">
        <v>276</v>
      </c>
      <c r="F677" s="11" t="s">
        <v>48</v>
      </c>
      <c r="G677" s="11" t="s">
        <v>72</v>
      </c>
      <c r="H677" s="11" t="n">
        <v>20459.24</v>
      </c>
      <c r="I677" s="11" t="n">
        <v>360516</v>
      </c>
      <c r="J677" s="11" t="n">
        <v>11278</v>
      </c>
      <c r="K677" s="11" t="n">
        <v>831</v>
      </c>
      <c r="L677" s="11" t="n">
        <v>888421.66</v>
      </c>
    </row>
    <row r="678" customFormat="false" ht="15" hidden="false" customHeight="true" outlineLevel="0" collapsed="false">
      <c r="A678" s="11" t="n">
        <v>1315</v>
      </c>
      <c r="B678" s="11" t="s">
        <v>144</v>
      </c>
      <c r="C678" s="11" t="s">
        <v>185</v>
      </c>
      <c r="D678" s="11" t="s">
        <v>918</v>
      </c>
      <c r="E678" s="11" t="s">
        <v>919</v>
      </c>
      <c r="F678" s="11" t="s">
        <v>53</v>
      </c>
      <c r="G678" s="11" t="s">
        <v>61</v>
      </c>
      <c r="H678" s="11" t="n">
        <v>49557.11</v>
      </c>
      <c r="I678" s="11" t="n">
        <v>1016630</v>
      </c>
      <c r="J678" s="11" t="n">
        <v>29618</v>
      </c>
      <c r="K678" s="11" t="n">
        <v>1179</v>
      </c>
      <c r="L678" s="11" t="n">
        <v>1799985.78</v>
      </c>
    </row>
    <row r="679" customFormat="false" ht="15" hidden="false" customHeight="true" outlineLevel="0" collapsed="false">
      <c r="A679" s="11" t="n">
        <v>1661</v>
      </c>
      <c r="B679" s="11" t="s">
        <v>290</v>
      </c>
      <c r="C679" s="11" t="s">
        <v>185</v>
      </c>
      <c r="D679" s="11" t="s">
        <v>825</v>
      </c>
      <c r="E679" s="11" t="s">
        <v>288</v>
      </c>
      <c r="F679" s="11" t="s">
        <v>60</v>
      </c>
      <c r="G679" s="11"/>
      <c r="H679" s="11" t="n">
        <v>16826.49</v>
      </c>
      <c r="I679" s="11" t="n">
        <v>294512</v>
      </c>
      <c r="J679" s="11" t="n">
        <v>4553</v>
      </c>
      <c r="K679" s="11" t="n">
        <v>116</v>
      </c>
      <c r="L679" s="11" t="n">
        <v>111224.3</v>
      </c>
    </row>
    <row r="680" customFormat="false" ht="15" hidden="false" customHeight="true" outlineLevel="0" collapsed="false">
      <c r="A680" s="11" t="n">
        <v>1586</v>
      </c>
      <c r="B680" s="11" t="s">
        <v>62</v>
      </c>
      <c r="C680" s="11" t="s">
        <v>185</v>
      </c>
      <c r="D680" s="11" t="s">
        <v>769</v>
      </c>
      <c r="E680" s="11" t="s">
        <v>494</v>
      </c>
      <c r="F680" s="11" t="s">
        <v>48</v>
      </c>
      <c r="G680" s="11" t="s">
        <v>57</v>
      </c>
      <c r="H680" s="11" t="n">
        <v>56483.14</v>
      </c>
      <c r="I680" s="11" t="n">
        <v>1968716</v>
      </c>
      <c r="J680" s="11" t="n">
        <v>28597</v>
      </c>
      <c r="K680" s="11" t="n">
        <v>1970</v>
      </c>
      <c r="L680" s="11" t="n">
        <v>2578019.07</v>
      </c>
    </row>
    <row r="681" customFormat="false" ht="15" hidden="false" customHeight="true" outlineLevel="0" collapsed="false">
      <c r="A681" s="11" t="n">
        <v>1796</v>
      </c>
      <c r="B681" s="11" t="s">
        <v>62</v>
      </c>
      <c r="C681" s="11" t="s">
        <v>124</v>
      </c>
      <c r="D681" s="11" t="s">
        <v>153</v>
      </c>
      <c r="E681" s="11" t="s">
        <v>624</v>
      </c>
      <c r="F681" s="11" t="s">
        <v>48</v>
      </c>
      <c r="G681" s="11" t="s">
        <v>147</v>
      </c>
      <c r="H681" s="11" t="n">
        <v>49218.6</v>
      </c>
      <c r="I681" s="11" t="n">
        <v>1270333</v>
      </c>
      <c r="J681" s="11" t="n">
        <v>37116</v>
      </c>
      <c r="K681" s="11" t="n">
        <v>2386</v>
      </c>
      <c r="L681" s="11" t="n">
        <v>2227488.76</v>
      </c>
    </row>
    <row r="682" customFormat="false" ht="15" hidden="false" customHeight="true" outlineLevel="0" collapsed="false">
      <c r="A682" s="11" t="n">
        <v>1744</v>
      </c>
      <c r="B682" s="11" t="s">
        <v>316</v>
      </c>
      <c r="C682" s="11" t="s">
        <v>141</v>
      </c>
      <c r="D682" s="11" t="s">
        <v>920</v>
      </c>
      <c r="E682" s="11" t="s">
        <v>742</v>
      </c>
      <c r="F682" s="11" t="s">
        <v>65</v>
      </c>
      <c r="G682" s="11" t="s">
        <v>103</v>
      </c>
      <c r="H682" s="11" t="n">
        <v>7660.85</v>
      </c>
      <c r="I682" s="11" t="n">
        <v>151494</v>
      </c>
      <c r="J682" s="11" t="n">
        <v>831</v>
      </c>
      <c r="K682" s="11" t="n">
        <v>25</v>
      </c>
      <c r="L682" s="11" t="n">
        <v>16256.92</v>
      </c>
    </row>
    <row r="683" customFormat="false" ht="15" hidden="false" customHeight="true" outlineLevel="0" collapsed="false">
      <c r="A683" s="11" t="n">
        <v>1303</v>
      </c>
      <c r="B683" s="11" t="s">
        <v>423</v>
      </c>
      <c r="C683" s="11" t="s">
        <v>185</v>
      </c>
      <c r="D683" s="11" t="s">
        <v>742</v>
      </c>
      <c r="E683" s="11" t="s">
        <v>281</v>
      </c>
      <c r="F683" s="11" t="s">
        <v>56</v>
      </c>
      <c r="G683" s="11" t="s">
        <v>72</v>
      </c>
      <c r="H683" s="11" t="n">
        <v>42276.09</v>
      </c>
      <c r="I683" s="11" t="n">
        <v>1024948</v>
      </c>
      <c r="J683" s="11" t="n">
        <v>10517</v>
      </c>
      <c r="K683" s="11" t="n">
        <v>681</v>
      </c>
      <c r="L683" s="11" t="n">
        <v>471581.62</v>
      </c>
    </row>
    <row r="684" customFormat="false" ht="15" hidden="false" customHeight="true" outlineLevel="0" collapsed="false">
      <c r="A684" s="11" t="n">
        <v>1634</v>
      </c>
      <c r="B684" s="11" t="s">
        <v>76</v>
      </c>
      <c r="C684" s="11" t="s">
        <v>328</v>
      </c>
      <c r="D684" s="11" t="s">
        <v>710</v>
      </c>
      <c r="E684" s="11" t="s">
        <v>921</v>
      </c>
      <c r="F684" s="11" t="s">
        <v>56</v>
      </c>
      <c r="G684" s="11" t="s">
        <v>112</v>
      </c>
      <c r="H684" s="11" t="n">
        <v>48348.86</v>
      </c>
      <c r="I684" s="11" t="n">
        <v>733552</v>
      </c>
      <c r="J684" s="11" t="n">
        <v>4379</v>
      </c>
      <c r="K684" s="11" t="n">
        <v>251</v>
      </c>
      <c r="L684" s="11" t="n">
        <v>403417.47</v>
      </c>
    </row>
    <row r="685" customFormat="false" ht="15" hidden="false" customHeight="true" outlineLevel="0" collapsed="false">
      <c r="A685" s="11" t="n">
        <v>1690</v>
      </c>
      <c r="B685" s="11" t="s">
        <v>70</v>
      </c>
      <c r="C685" s="11" t="s">
        <v>210</v>
      </c>
      <c r="D685" s="11" t="s">
        <v>922</v>
      </c>
      <c r="E685" s="11" t="s">
        <v>923</v>
      </c>
      <c r="F685" s="11" t="s">
        <v>48</v>
      </c>
      <c r="G685" s="11" t="s">
        <v>57</v>
      </c>
      <c r="H685" s="11" t="n">
        <v>29125.51</v>
      </c>
      <c r="I685" s="11" t="n">
        <v>731257</v>
      </c>
      <c r="J685" s="11" t="n">
        <v>11517</v>
      </c>
      <c r="K685" s="11" t="n">
        <v>854</v>
      </c>
      <c r="L685" s="11" t="n">
        <v>1439528.65</v>
      </c>
    </row>
    <row r="686" customFormat="false" ht="15" hidden="false" customHeight="true" outlineLevel="0" collapsed="false">
      <c r="A686" s="11" t="n">
        <v>1145</v>
      </c>
      <c r="B686" s="11" t="s">
        <v>64</v>
      </c>
      <c r="C686" s="11" t="s">
        <v>85</v>
      </c>
      <c r="D686" s="11" t="s">
        <v>865</v>
      </c>
      <c r="E686" s="11" t="s">
        <v>793</v>
      </c>
      <c r="F686" s="11" t="s">
        <v>56</v>
      </c>
      <c r="G686" s="11" t="s">
        <v>226</v>
      </c>
      <c r="H686" s="11" t="n">
        <v>57598.79</v>
      </c>
      <c r="I686" s="11" t="n">
        <v>877354</v>
      </c>
      <c r="J686" s="11" t="n">
        <v>22695</v>
      </c>
      <c r="K686" s="11" t="n">
        <v>1525</v>
      </c>
      <c r="L686" s="11" t="n">
        <v>2718807.54</v>
      </c>
    </row>
    <row r="687" customFormat="false" ht="15" hidden="false" customHeight="true" outlineLevel="0" collapsed="false">
      <c r="A687" s="11" t="n">
        <v>1068</v>
      </c>
      <c r="B687" s="11" t="s">
        <v>78</v>
      </c>
      <c r="C687" s="11" t="s">
        <v>121</v>
      </c>
      <c r="D687" s="11" t="s">
        <v>278</v>
      </c>
      <c r="E687" s="11" t="s">
        <v>310</v>
      </c>
      <c r="F687" s="11" t="s">
        <v>48</v>
      </c>
      <c r="G687" s="11" t="s">
        <v>183</v>
      </c>
      <c r="H687" s="11" t="n">
        <v>20652.46</v>
      </c>
      <c r="I687" s="11" t="n">
        <v>613827</v>
      </c>
      <c r="J687" s="11" t="n">
        <v>12717</v>
      </c>
      <c r="K687" s="11" t="n">
        <v>479</v>
      </c>
      <c r="L687" s="11" t="n">
        <v>383151.2</v>
      </c>
    </row>
    <row r="688" customFormat="false" ht="15" hidden="false" customHeight="true" outlineLevel="0" collapsed="false">
      <c r="A688" s="11" t="n">
        <v>1159</v>
      </c>
      <c r="B688" s="11" t="s">
        <v>191</v>
      </c>
      <c r="C688" s="11" t="s">
        <v>118</v>
      </c>
      <c r="D688" s="11" t="s">
        <v>707</v>
      </c>
      <c r="E688" s="11" t="s">
        <v>190</v>
      </c>
      <c r="F688" s="11" t="s">
        <v>51</v>
      </c>
      <c r="G688" s="11" t="s">
        <v>61</v>
      </c>
      <c r="H688" s="11" t="n">
        <v>27489.68</v>
      </c>
      <c r="I688" s="11" t="n">
        <v>729880</v>
      </c>
      <c r="J688" s="11" t="n">
        <v>21251</v>
      </c>
      <c r="K688" s="11" t="n">
        <v>420</v>
      </c>
      <c r="L688" s="11" t="n">
        <v>154281.77</v>
      </c>
    </row>
    <row r="689" customFormat="false" ht="15" hidden="false" customHeight="true" outlineLevel="0" collapsed="false">
      <c r="A689" s="11" t="n">
        <v>1249</v>
      </c>
      <c r="B689" s="11" t="s">
        <v>66</v>
      </c>
      <c r="C689" s="11" t="s">
        <v>124</v>
      </c>
      <c r="D689" s="11" t="s">
        <v>272</v>
      </c>
      <c r="E689" s="11" t="s">
        <v>156</v>
      </c>
      <c r="F689" s="11" t="s">
        <v>56</v>
      </c>
      <c r="G689" s="11" t="s">
        <v>49</v>
      </c>
      <c r="H689" s="11" t="n">
        <v>25779.47</v>
      </c>
      <c r="I689" s="11" t="n">
        <v>587499</v>
      </c>
      <c r="J689" s="11" t="n">
        <v>17027</v>
      </c>
      <c r="K689" s="11" t="n">
        <v>1359</v>
      </c>
      <c r="L689" s="11" t="n">
        <v>1389363.43</v>
      </c>
    </row>
    <row r="690" customFormat="false" ht="15" hidden="false" customHeight="true" outlineLevel="0" collapsed="false">
      <c r="A690" s="11" t="n">
        <v>1716</v>
      </c>
      <c r="B690" s="11" t="s">
        <v>79</v>
      </c>
      <c r="C690" s="11" t="s">
        <v>100</v>
      </c>
      <c r="D690" s="11" t="s">
        <v>924</v>
      </c>
      <c r="E690" s="11" t="s">
        <v>462</v>
      </c>
      <c r="F690" s="11" t="s">
        <v>48</v>
      </c>
      <c r="G690" s="11" t="s">
        <v>226</v>
      </c>
      <c r="H690" s="11" t="n">
        <v>62647.27</v>
      </c>
      <c r="I690" s="11" t="n">
        <v>1867371</v>
      </c>
      <c r="J690" s="11" t="n">
        <v>43036</v>
      </c>
      <c r="K690" s="11" t="n">
        <v>1956</v>
      </c>
      <c r="L690" s="11" t="n">
        <v>1494060.03</v>
      </c>
    </row>
    <row r="691" customFormat="false" ht="15" hidden="false" customHeight="true" outlineLevel="0" collapsed="false">
      <c r="A691" s="11" t="n">
        <v>1410</v>
      </c>
      <c r="B691" s="11" t="s">
        <v>68</v>
      </c>
      <c r="C691" s="11" t="s">
        <v>115</v>
      </c>
      <c r="D691" s="11" t="s">
        <v>268</v>
      </c>
      <c r="E691" s="11" t="s">
        <v>925</v>
      </c>
      <c r="F691" s="11" t="s">
        <v>53</v>
      </c>
      <c r="G691" s="11" t="s">
        <v>99</v>
      </c>
      <c r="H691" s="11" t="n">
        <v>14553.45</v>
      </c>
      <c r="I691" s="11" t="n">
        <v>312762</v>
      </c>
      <c r="J691" s="11" t="n">
        <v>6911</v>
      </c>
      <c r="K691" s="11" t="n">
        <v>179</v>
      </c>
      <c r="L691" s="11" t="n">
        <v>198415.4</v>
      </c>
    </row>
    <row r="692" customFormat="false" ht="15" hidden="false" customHeight="true" outlineLevel="0" collapsed="false">
      <c r="A692" s="11" t="n">
        <v>1066</v>
      </c>
      <c r="B692" s="11" t="s">
        <v>66</v>
      </c>
      <c r="C692" s="11" t="s">
        <v>118</v>
      </c>
      <c r="D692" s="11" t="s">
        <v>926</v>
      </c>
      <c r="E692" s="11" t="s">
        <v>261</v>
      </c>
      <c r="F692" s="11" t="s">
        <v>69</v>
      </c>
      <c r="G692" s="11" t="s">
        <v>131</v>
      </c>
      <c r="H692" s="11" t="n">
        <v>13834.74</v>
      </c>
      <c r="I692" s="11" t="n">
        <v>278224</v>
      </c>
      <c r="J692" s="11" t="n">
        <v>9281</v>
      </c>
      <c r="K692" s="11" t="n">
        <v>591</v>
      </c>
      <c r="L692" s="11" t="n">
        <v>861697.68</v>
      </c>
    </row>
    <row r="693" customFormat="false" ht="15" hidden="false" customHeight="true" outlineLevel="0" collapsed="false">
      <c r="A693" s="11" t="n">
        <v>1032</v>
      </c>
      <c r="B693" s="11" t="s">
        <v>218</v>
      </c>
      <c r="C693" s="11" t="s">
        <v>115</v>
      </c>
      <c r="D693" s="11" t="s">
        <v>219</v>
      </c>
      <c r="E693" s="11" t="s">
        <v>220</v>
      </c>
      <c r="F693" s="11" t="s">
        <v>48</v>
      </c>
      <c r="G693" s="11" t="s">
        <v>199</v>
      </c>
      <c r="H693" s="11" t="n">
        <v>33886.18</v>
      </c>
      <c r="I693" s="11" t="n">
        <v>1228014</v>
      </c>
      <c r="J693" s="11" t="n">
        <v>36435</v>
      </c>
      <c r="K693" s="11" t="n">
        <v>633</v>
      </c>
      <c r="L693" s="11" t="n">
        <v>1103408.87</v>
      </c>
    </row>
    <row r="694" customFormat="false" ht="15" hidden="false" customHeight="true" outlineLevel="0" collapsed="false">
      <c r="A694" s="11" t="n">
        <v>1708</v>
      </c>
      <c r="B694" s="11" t="s">
        <v>68</v>
      </c>
      <c r="C694" s="11" t="s">
        <v>141</v>
      </c>
      <c r="D694" s="11" t="s">
        <v>314</v>
      </c>
      <c r="E694" s="11" t="s">
        <v>427</v>
      </c>
      <c r="F694" s="11" t="s">
        <v>56</v>
      </c>
      <c r="G694" s="11" t="s">
        <v>175</v>
      </c>
      <c r="H694" s="11" t="n">
        <v>1949.19</v>
      </c>
      <c r="I694" s="11" t="n">
        <v>47801</v>
      </c>
      <c r="J694" s="11" t="n">
        <v>783</v>
      </c>
      <c r="K694" s="11" t="n">
        <v>17</v>
      </c>
      <c r="L694" s="11" t="n">
        <v>6441.87</v>
      </c>
    </row>
    <row r="695" customFormat="false" ht="15" hidden="false" customHeight="true" outlineLevel="0" collapsed="false">
      <c r="A695" s="11" t="n">
        <v>1193</v>
      </c>
      <c r="B695" s="11" t="s">
        <v>73</v>
      </c>
      <c r="C695" s="11" t="s">
        <v>210</v>
      </c>
      <c r="D695" s="11" t="s">
        <v>220</v>
      </c>
      <c r="E695" s="11" t="s">
        <v>401</v>
      </c>
      <c r="F695" s="11" t="s">
        <v>53</v>
      </c>
      <c r="G695" s="11"/>
      <c r="H695" s="11" t="n">
        <v>52057.8</v>
      </c>
      <c r="I695" s="11" t="n">
        <v>2016518</v>
      </c>
      <c r="J695" s="11" t="n">
        <v>57240</v>
      </c>
      <c r="K695" s="11" t="n">
        <v>873</v>
      </c>
      <c r="L695" s="11" t="n">
        <v>1221488.99</v>
      </c>
    </row>
    <row r="696" customFormat="false" ht="15" hidden="false" customHeight="true" outlineLevel="0" collapsed="false">
      <c r="A696" s="11" t="n">
        <v>1388</v>
      </c>
      <c r="B696" s="11" t="s">
        <v>73</v>
      </c>
      <c r="C696" s="11" t="s">
        <v>124</v>
      </c>
      <c r="D696" s="11" t="s">
        <v>927</v>
      </c>
      <c r="E696" s="11" t="s">
        <v>187</v>
      </c>
      <c r="F696" s="11" t="s">
        <v>53</v>
      </c>
      <c r="G696" s="11" t="s">
        <v>131</v>
      </c>
      <c r="H696" s="11" t="n">
        <v>25399.59</v>
      </c>
      <c r="I696" s="11" t="n">
        <v>468477</v>
      </c>
      <c r="J696" s="11" t="n">
        <v>14268</v>
      </c>
      <c r="K696" s="11" t="n">
        <v>581</v>
      </c>
      <c r="L696" s="11" t="n">
        <v>553598.45</v>
      </c>
    </row>
    <row r="697" customFormat="false" ht="15" hidden="false" customHeight="true" outlineLevel="0" collapsed="false">
      <c r="A697" s="11" t="n">
        <v>1199</v>
      </c>
      <c r="B697" s="11" t="s">
        <v>180</v>
      </c>
      <c r="C697" s="11" t="s">
        <v>81</v>
      </c>
      <c r="D697" s="11" t="s">
        <v>928</v>
      </c>
      <c r="E697" s="11" t="s">
        <v>929</v>
      </c>
      <c r="F697" s="11" t="s">
        <v>69</v>
      </c>
      <c r="G697" s="11" t="s">
        <v>72</v>
      </c>
      <c r="H697" s="11" t="n">
        <v>1250.82</v>
      </c>
      <c r="I697" s="11" t="n">
        <v>35932</v>
      </c>
      <c r="J697" s="11" t="n">
        <v>1069</v>
      </c>
      <c r="K697" s="11" t="n">
        <v>69</v>
      </c>
      <c r="L697" s="11" t="n">
        <v>120515.28</v>
      </c>
    </row>
    <row r="698" customFormat="false" ht="15" hidden="false" customHeight="true" outlineLevel="0" collapsed="false">
      <c r="A698" s="11" t="n">
        <v>1764</v>
      </c>
      <c r="B698" s="11" t="s">
        <v>62</v>
      </c>
      <c r="C698" s="11" t="s">
        <v>92</v>
      </c>
      <c r="D698" s="11" t="s">
        <v>930</v>
      </c>
      <c r="E698" s="11" t="s">
        <v>931</v>
      </c>
      <c r="F698" s="11" t="s">
        <v>67</v>
      </c>
      <c r="G698" s="11"/>
      <c r="H698" s="11" t="n">
        <v>4056.55</v>
      </c>
      <c r="I698" s="11" t="n">
        <v>149600</v>
      </c>
      <c r="J698" s="11" t="n">
        <v>2284</v>
      </c>
      <c r="K698" s="11" t="n">
        <v>26</v>
      </c>
      <c r="L698" s="11" t="n">
        <v>28234.99</v>
      </c>
    </row>
    <row r="699" customFormat="false" ht="15" hidden="false" customHeight="true" outlineLevel="0" collapsed="false">
      <c r="A699" s="11" t="n">
        <v>1255</v>
      </c>
      <c r="B699" s="11" t="s">
        <v>78</v>
      </c>
      <c r="C699" s="11" t="s">
        <v>118</v>
      </c>
      <c r="D699" s="11" t="s">
        <v>932</v>
      </c>
      <c r="E699" s="11" t="s">
        <v>276</v>
      </c>
      <c r="F699" s="11" t="s">
        <v>48</v>
      </c>
      <c r="G699" s="11" t="s">
        <v>61</v>
      </c>
      <c r="H699" s="11" t="n">
        <v>60470.25</v>
      </c>
      <c r="I699" s="11" t="n">
        <v>1902226</v>
      </c>
      <c r="J699" s="11" t="n">
        <v>40267</v>
      </c>
      <c r="K699" s="11" t="n">
        <v>1494</v>
      </c>
      <c r="L699" s="11" t="n">
        <v>1658192.34</v>
      </c>
    </row>
    <row r="700" customFormat="false" ht="15" hidden="false" customHeight="true" outlineLevel="0" collapsed="false">
      <c r="A700" s="11" t="n">
        <v>1511</v>
      </c>
      <c r="B700" s="11" t="s">
        <v>66</v>
      </c>
      <c r="C700" s="11" t="s">
        <v>47</v>
      </c>
      <c r="D700" s="11" t="s">
        <v>181</v>
      </c>
      <c r="E700" s="11" t="s">
        <v>743</v>
      </c>
      <c r="F700" s="11" t="s">
        <v>48</v>
      </c>
      <c r="G700" s="11" t="s">
        <v>84</v>
      </c>
      <c r="H700" s="11" t="n">
        <v>7975.07</v>
      </c>
      <c r="I700" s="11" t="n">
        <v>216581</v>
      </c>
      <c r="J700" s="11" t="n">
        <v>5645</v>
      </c>
      <c r="K700" s="11" t="n">
        <v>244</v>
      </c>
      <c r="L700" s="11"/>
    </row>
    <row r="701" customFormat="false" ht="15" hidden="false" customHeight="true" outlineLevel="0" collapsed="false">
      <c r="A701" s="11" t="n">
        <v>1486</v>
      </c>
      <c r="B701" s="11" t="s">
        <v>55</v>
      </c>
      <c r="C701" s="11" t="s">
        <v>105</v>
      </c>
      <c r="D701" s="11" t="s">
        <v>686</v>
      </c>
      <c r="E701" s="11" t="s">
        <v>716</v>
      </c>
      <c r="F701" s="11" t="s">
        <v>48</v>
      </c>
      <c r="G701" s="11" t="s">
        <v>131</v>
      </c>
      <c r="H701" s="11" t="n">
        <v>37562.34</v>
      </c>
      <c r="I701" s="11" t="n">
        <v>1418775</v>
      </c>
      <c r="J701" s="11" t="n">
        <v>9975</v>
      </c>
      <c r="K701" s="11" t="n">
        <v>392</v>
      </c>
      <c r="L701" s="11" t="n">
        <v>666569.29</v>
      </c>
    </row>
    <row r="702" customFormat="false" ht="15" hidden="false" customHeight="true" outlineLevel="0" collapsed="false">
      <c r="A702" s="11" t="n">
        <v>1561</v>
      </c>
      <c r="B702" s="11" t="s">
        <v>55</v>
      </c>
      <c r="C702" s="11" t="s">
        <v>118</v>
      </c>
      <c r="D702" s="11" t="s">
        <v>933</v>
      </c>
      <c r="E702" s="11" t="s">
        <v>878</v>
      </c>
      <c r="F702" s="11" t="s">
        <v>65</v>
      </c>
      <c r="G702" s="11" t="s">
        <v>238</v>
      </c>
      <c r="H702" s="11" t="n">
        <v>31856.75</v>
      </c>
      <c r="I702" s="11" t="n">
        <v>970551</v>
      </c>
      <c r="J702" s="11" t="n">
        <v>20748</v>
      </c>
      <c r="K702" s="11" t="n">
        <v>1502</v>
      </c>
      <c r="L702" s="11" t="n">
        <v>1794920.25</v>
      </c>
    </row>
    <row r="703" customFormat="false" ht="15" hidden="false" customHeight="true" outlineLevel="0" collapsed="false">
      <c r="A703" s="11" t="n">
        <v>1182</v>
      </c>
      <c r="B703" s="11" t="s">
        <v>316</v>
      </c>
      <c r="C703" s="11" t="s">
        <v>121</v>
      </c>
      <c r="D703" s="11" t="s">
        <v>276</v>
      </c>
      <c r="E703" s="11" t="s">
        <v>787</v>
      </c>
      <c r="F703" s="11" t="s">
        <v>67</v>
      </c>
      <c r="G703" s="11" t="s">
        <v>226</v>
      </c>
      <c r="H703" s="11" t="n">
        <v>54565.11</v>
      </c>
      <c r="I703" s="11" t="n">
        <v>1980148</v>
      </c>
      <c r="J703" s="11" t="n">
        <v>37167</v>
      </c>
      <c r="K703" s="11" t="n">
        <v>939</v>
      </c>
      <c r="L703" s="11" t="n">
        <v>740035.65</v>
      </c>
    </row>
    <row r="704" customFormat="false" ht="15" hidden="false" customHeight="true" outlineLevel="0" collapsed="false">
      <c r="A704" s="11" t="n">
        <v>1660</v>
      </c>
      <c r="B704" s="11" t="s">
        <v>52</v>
      </c>
      <c r="C704" s="11" t="s">
        <v>138</v>
      </c>
      <c r="D704" s="11" t="s">
        <v>690</v>
      </c>
      <c r="E704" s="11" t="s">
        <v>903</v>
      </c>
      <c r="F704" s="11" t="s">
        <v>56</v>
      </c>
      <c r="G704" s="11" t="s">
        <v>95</v>
      </c>
      <c r="H704" s="11" t="n">
        <v>40608.5</v>
      </c>
      <c r="I704" s="11" t="n">
        <v>639563</v>
      </c>
      <c r="J704" s="11" t="n">
        <v>7113</v>
      </c>
      <c r="K704" s="11" t="n">
        <v>272</v>
      </c>
      <c r="L704" s="11" t="n">
        <v>242383.82</v>
      </c>
    </row>
    <row r="705" customFormat="false" ht="15" hidden="false" customHeight="true" outlineLevel="0" collapsed="false">
      <c r="A705" s="11" t="n">
        <v>1265</v>
      </c>
      <c r="B705" s="11" t="s">
        <v>79</v>
      </c>
      <c r="C705" s="11" t="s">
        <v>81</v>
      </c>
      <c r="D705" s="11" t="s">
        <v>934</v>
      </c>
      <c r="E705" s="11" t="s">
        <v>717</v>
      </c>
      <c r="F705" s="11" t="s">
        <v>67</v>
      </c>
      <c r="G705" s="11" t="s">
        <v>147</v>
      </c>
      <c r="H705" s="11" t="n">
        <v>7468.97</v>
      </c>
      <c r="I705" s="11" t="n">
        <v>128764</v>
      </c>
      <c r="J705" s="11" t="n">
        <v>3238</v>
      </c>
      <c r="K705" s="11" t="n">
        <v>128</v>
      </c>
      <c r="L705" s="11" t="n">
        <v>109445.94</v>
      </c>
    </row>
    <row r="706" customFormat="false" ht="15" hidden="false" customHeight="true" outlineLevel="0" collapsed="false">
      <c r="A706" s="11" t="n">
        <v>1012</v>
      </c>
      <c r="B706" s="11" t="s">
        <v>73</v>
      </c>
      <c r="C706" s="11" t="s">
        <v>71</v>
      </c>
      <c r="D706" s="11" t="s">
        <v>624</v>
      </c>
      <c r="E706" s="11" t="s">
        <v>625</v>
      </c>
      <c r="F706" s="11" t="s">
        <v>60</v>
      </c>
      <c r="G706" s="11" t="s">
        <v>84</v>
      </c>
      <c r="H706" s="11" t="n">
        <v>8112.08</v>
      </c>
      <c r="I706" s="11" t="n">
        <v>200859</v>
      </c>
      <c r="J706" s="11" t="n">
        <v>6587</v>
      </c>
      <c r="K706" s="11" t="n">
        <v>427</v>
      </c>
      <c r="L706" s="11" t="n">
        <v>326062.06</v>
      </c>
    </row>
    <row r="707" customFormat="false" ht="15" hidden="false" customHeight="true" outlineLevel="0" collapsed="false">
      <c r="A707" s="11" t="n">
        <v>1773</v>
      </c>
      <c r="B707" s="11" t="s">
        <v>46</v>
      </c>
      <c r="C707" s="11" t="s">
        <v>192</v>
      </c>
      <c r="D707" s="11" t="s">
        <v>861</v>
      </c>
      <c r="E707" s="11" t="s">
        <v>862</v>
      </c>
      <c r="F707" s="11" t="s">
        <v>51</v>
      </c>
      <c r="G707" s="11" t="s">
        <v>61</v>
      </c>
      <c r="H707" s="11" t="n">
        <v>49976.18</v>
      </c>
      <c r="I707" s="11" t="n">
        <v>1330871</v>
      </c>
      <c r="J707" s="11" t="n">
        <v>41884</v>
      </c>
      <c r="K707" s="11" t="n">
        <v>1777</v>
      </c>
      <c r="L707" s="11" t="n">
        <v>1693321.14</v>
      </c>
    </row>
    <row r="708" customFormat="false" ht="15" hidden="false" customHeight="true" outlineLevel="0" collapsed="false">
      <c r="A708" s="11" t="n">
        <v>1006</v>
      </c>
      <c r="B708" s="11" t="s">
        <v>66</v>
      </c>
      <c r="C708" s="11" t="s">
        <v>81</v>
      </c>
      <c r="D708" s="11" t="s">
        <v>918</v>
      </c>
      <c r="E708" s="11" t="s">
        <v>216</v>
      </c>
      <c r="F708" s="11" t="s">
        <v>69</v>
      </c>
      <c r="G708" s="11" t="s">
        <v>131</v>
      </c>
      <c r="H708" s="11" t="n">
        <v>6256.14</v>
      </c>
      <c r="I708" s="11" t="n">
        <v>214053</v>
      </c>
      <c r="J708" s="11" t="n">
        <v>3254</v>
      </c>
      <c r="K708" s="11" t="n">
        <v>99</v>
      </c>
      <c r="L708" s="11"/>
    </row>
    <row r="709" customFormat="false" ht="15" hidden="false" customHeight="true" outlineLevel="0" collapsed="false">
      <c r="A709" s="11" t="n">
        <v>1711</v>
      </c>
      <c r="B709" s="11" t="s">
        <v>46</v>
      </c>
      <c r="C709" s="11" t="s">
        <v>63</v>
      </c>
      <c r="D709" s="11" t="s">
        <v>452</v>
      </c>
      <c r="E709" s="11" t="s">
        <v>735</v>
      </c>
      <c r="F709" s="11" t="s">
        <v>67</v>
      </c>
      <c r="G709" s="11" t="s">
        <v>84</v>
      </c>
      <c r="H709" s="11" t="n">
        <v>20648.43</v>
      </c>
      <c r="I709" s="11" t="n">
        <v>325921</v>
      </c>
      <c r="J709" s="11" t="n">
        <v>10156</v>
      </c>
      <c r="K709" s="11" t="n">
        <v>760</v>
      </c>
      <c r="L709" s="11" t="n">
        <v>277767.02</v>
      </c>
    </row>
    <row r="710" customFormat="false" ht="15" hidden="false" customHeight="true" outlineLevel="0" collapsed="false">
      <c r="A710" s="11" t="n">
        <v>1570</v>
      </c>
      <c r="B710" s="11" t="s">
        <v>55</v>
      </c>
      <c r="C710" s="11" t="s">
        <v>185</v>
      </c>
      <c r="D710" s="11" t="s">
        <v>935</v>
      </c>
      <c r="E710" s="11" t="s">
        <v>936</v>
      </c>
      <c r="F710" s="11" t="s">
        <v>60</v>
      </c>
      <c r="G710" s="11" t="s">
        <v>49</v>
      </c>
      <c r="H710" s="11" t="n">
        <v>30039.42</v>
      </c>
      <c r="I710" s="11" t="n">
        <v>990715</v>
      </c>
      <c r="J710" s="11" t="n">
        <v>27809</v>
      </c>
      <c r="K710" s="11" t="n">
        <v>784</v>
      </c>
      <c r="L710" s="11" t="n">
        <v>1366074.73</v>
      </c>
    </row>
    <row r="711" customFormat="false" ht="15" hidden="false" customHeight="true" outlineLevel="0" collapsed="false">
      <c r="A711" s="11" t="n">
        <v>1128</v>
      </c>
      <c r="B711" s="11" t="s">
        <v>180</v>
      </c>
      <c r="C711" s="11" t="s">
        <v>192</v>
      </c>
      <c r="D711" s="11" t="s">
        <v>537</v>
      </c>
      <c r="E711" s="11" t="s">
        <v>636</v>
      </c>
      <c r="F711" s="11" t="s">
        <v>60</v>
      </c>
      <c r="G711" s="11" t="s">
        <v>108</v>
      </c>
      <c r="H711" s="11" t="n">
        <v>47296.22</v>
      </c>
      <c r="I711" s="11" t="n">
        <v>1683195</v>
      </c>
      <c r="J711" s="11" t="n">
        <v>41290</v>
      </c>
      <c r="K711" s="11" t="n">
        <v>2130</v>
      </c>
      <c r="L711" s="11" t="n">
        <v>1673394.38</v>
      </c>
    </row>
    <row r="712" customFormat="false" ht="15" hidden="false" customHeight="true" outlineLevel="0" collapsed="false">
      <c r="A712" s="11" t="n">
        <v>1542</v>
      </c>
      <c r="B712" s="11" t="s">
        <v>66</v>
      </c>
      <c r="C712" s="11" t="s">
        <v>63</v>
      </c>
      <c r="D712" s="11" t="s">
        <v>669</v>
      </c>
      <c r="E712" s="11" t="s">
        <v>937</v>
      </c>
      <c r="F712" s="11" t="s">
        <v>67</v>
      </c>
      <c r="G712" s="11" t="s">
        <v>84</v>
      </c>
      <c r="H712" s="11" t="n">
        <v>26185.03</v>
      </c>
      <c r="I712" s="11" t="n">
        <v>934641</v>
      </c>
      <c r="J712" s="11" t="n">
        <v>13116</v>
      </c>
      <c r="K712" s="11" t="n">
        <v>437</v>
      </c>
      <c r="L712" s="11" t="n">
        <v>481073.65</v>
      </c>
    </row>
    <row r="713" customFormat="false" ht="15" hidden="false" customHeight="true" outlineLevel="0" collapsed="false">
      <c r="A713" s="11" t="n">
        <v>1259</v>
      </c>
      <c r="B713" s="11" t="s">
        <v>46</v>
      </c>
      <c r="C713" s="11" t="s">
        <v>155</v>
      </c>
      <c r="D713" s="11" t="s">
        <v>381</v>
      </c>
      <c r="E713" s="11" t="s">
        <v>803</v>
      </c>
      <c r="F713" s="11" t="s">
        <v>60</v>
      </c>
      <c r="G713" s="11" t="s">
        <v>226</v>
      </c>
      <c r="H713" s="11" t="n">
        <v>26863.23</v>
      </c>
      <c r="I713" s="11" t="n">
        <v>1073477</v>
      </c>
      <c r="J713" s="11" t="n">
        <v>19634</v>
      </c>
      <c r="K713" s="11" t="n">
        <v>680</v>
      </c>
      <c r="L713" s="11" t="n">
        <v>548742.83</v>
      </c>
    </row>
    <row r="714" customFormat="false" ht="15" hidden="false" customHeight="true" outlineLevel="0" collapsed="false">
      <c r="A714" s="11" t="n">
        <v>1402</v>
      </c>
      <c r="B714" s="11" t="s">
        <v>62</v>
      </c>
      <c r="C714" s="11" t="s">
        <v>50</v>
      </c>
      <c r="D714" s="11" t="s">
        <v>938</v>
      </c>
      <c r="E714" s="11" t="s">
        <v>755</v>
      </c>
      <c r="F714" s="11" t="s">
        <v>48</v>
      </c>
      <c r="G714" s="11" t="s">
        <v>61</v>
      </c>
      <c r="H714" s="11" t="n">
        <v>14095.12</v>
      </c>
      <c r="I714" s="11" t="n">
        <v>348832</v>
      </c>
      <c r="J714" s="11" t="n">
        <v>5093</v>
      </c>
      <c r="K714" s="11" t="n">
        <v>198</v>
      </c>
      <c r="L714" s="11" t="n">
        <v>162382.93</v>
      </c>
    </row>
    <row r="715" customFormat="false" ht="15" hidden="false" customHeight="true" outlineLevel="0" collapsed="false">
      <c r="A715" s="11" t="n">
        <v>1757</v>
      </c>
      <c r="B715" s="11" t="s">
        <v>80</v>
      </c>
      <c r="C715" s="11" t="s">
        <v>100</v>
      </c>
      <c r="D715" s="11" t="s">
        <v>609</v>
      </c>
      <c r="E715" s="11" t="s">
        <v>939</v>
      </c>
      <c r="F715" s="11" t="s">
        <v>65</v>
      </c>
      <c r="G715" s="11" t="s">
        <v>163</v>
      </c>
      <c r="H715" s="11" t="n">
        <v>57451.12</v>
      </c>
      <c r="I715" s="11" t="n">
        <v>1362328</v>
      </c>
      <c r="J715" s="11" t="n">
        <v>19332</v>
      </c>
      <c r="K715" s="11" t="n">
        <v>1310</v>
      </c>
      <c r="L715" s="11" t="n">
        <v>1441817.51</v>
      </c>
    </row>
    <row r="716" customFormat="false" ht="15" hidden="false" customHeight="true" outlineLevel="0" collapsed="false">
      <c r="A716" s="11" t="n">
        <v>1049</v>
      </c>
      <c r="B716" s="11" t="s">
        <v>342</v>
      </c>
      <c r="C716" s="11" t="s">
        <v>85</v>
      </c>
      <c r="D716" s="11" t="s">
        <v>940</v>
      </c>
      <c r="E716" s="11" t="s">
        <v>398</v>
      </c>
      <c r="F716" s="11" t="s">
        <v>67</v>
      </c>
      <c r="G716" s="11" t="s">
        <v>172</v>
      </c>
      <c r="H716" s="11" t="n">
        <v>65730.04</v>
      </c>
      <c r="I716" s="11" t="n">
        <v>1468027</v>
      </c>
      <c r="J716" s="11" t="n">
        <v>23848</v>
      </c>
      <c r="K716" s="11" t="n">
        <v>481</v>
      </c>
      <c r="L716" s="11" t="n">
        <v>538811.95</v>
      </c>
    </row>
    <row r="717" customFormat="false" ht="15" hidden="false" customHeight="true" outlineLevel="0" collapsed="false">
      <c r="A717" s="11" t="n">
        <v>1275</v>
      </c>
      <c r="B717" s="11" t="s">
        <v>73</v>
      </c>
      <c r="C717" s="11" t="s">
        <v>118</v>
      </c>
      <c r="D717" s="11" t="s">
        <v>941</v>
      </c>
      <c r="E717" s="11" t="s">
        <v>145</v>
      </c>
      <c r="F717" s="11" t="s">
        <v>60</v>
      </c>
      <c r="G717" s="11" t="s">
        <v>91</v>
      </c>
      <c r="H717" s="11" t="n">
        <v>75739.74</v>
      </c>
      <c r="I717" s="11" t="n">
        <v>2219050</v>
      </c>
      <c r="J717" s="11" t="n">
        <v>46788</v>
      </c>
      <c r="K717" s="11" t="n">
        <v>2568</v>
      </c>
      <c r="L717" s="11"/>
    </row>
    <row r="718" customFormat="false" ht="15" hidden="false" customHeight="true" outlineLevel="0" collapsed="false">
      <c r="A718" s="11" t="n">
        <v>1063</v>
      </c>
      <c r="B718" s="11" t="s">
        <v>382</v>
      </c>
      <c r="C718" s="11" t="s">
        <v>155</v>
      </c>
      <c r="D718" s="11" t="s">
        <v>684</v>
      </c>
      <c r="E718" s="11" t="s">
        <v>412</v>
      </c>
      <c r="F718" s="11" t="s">
        <v>53</v>
      </c>
      <c r="G718" s="11" t="s">
        <v>103</v>
      </c>
      <c r="H718" s="11" t="n">
        <v>23616.4</v>
      </c>
      <c r="I718" s="11" t="n">
        <v>518715</v>
      </c>
      <c r="J718" s="11" t="n">
        <v>6112</v>
      </c>
      <c r="K718" s="11" t="n">
        <v>244</v>
      </c>
      <c r="L718" s="11" t="n">
        <v>283869.67</v>
      </c>
    </row>
    <row r="719" customFormat="false" ht="15" hidden="false" customHeight="true" outlineLevel="0" collapsed="false">
      <c r="A719" s="11" t="n">
        <v>1067</v>
      </c>
      <c r="B719" s="11" t="s">
        <v>62</v>
      </c>
      <c r="C719" s="11" t="s">
        <v>141</v>
      </c>
      <c r="D719" s="11" t="s">
        <v>130</v>
      </c>
      <c r="E719" s="11" t="s">
        <v>733</v>
      </c>
      <c r="F719" s="11" t="s">
        <v>48</v>
      </c>
      <c r="G719" s="11" t="s">
        <v>99</v>
      </c>
      <c r="H719" s="11" t="n">
        <v>1296.12</v>
      </c>
      <c r="I719" s="11" t="n">
        <v>20049</v>
      </c>
      <c r="J719" s="11" t="n">
        <v>654</v>
      </c>
      <c r="K719" s="11" t="n">
        <v>46</v>
      </c>
      <c r="L719" s="11" t="n">
        <v>54503.14</v>
      </c>
    </row>
    <row r="720" customFormat="false" ht="15" hidden="false" customHeight="true" outlineLevel="0" collapsed="false">
      <c r="A720" s="11" t="n">
        <v>1129</v>
      </c>
      <c r="B720" s="11" t="s">
        <v>52</v>
      </c>
      <c r="C720" s="11" t="s">
        <v>149</v>
      </c>
      <c r="D720" s="11" t="s">
        <v>942</v>
      </c>
      <c r="E720" s="11" t="s">
        <v>824</v>
      </c>
      <c r="F720" s="11" t="s">
        <v>48</v>
      </c>
      <c r="G720" s="11" t="s">
        <v>131</v>
      </c>
      <c r="H720" s="11" t="n">
        <v>22060.68</v>
      </c>
      <c r="I720" s="11" t="n">
        <v>844961</v>
      </c>
      <c r="J720" s="11" t="n">
        <v>9289</v>
      </c>
      <c r="K720" s="11" t="n">
        <v>741</v>
      </c>
      <c r="L720" s="11" t="n">
        <v>452672.79</v>
      </c>
    </row>
    <row r="721" customFormat="false" ht="15" hidden="false" customHeight="true" outlineLevel="0" collapsed="false">
      <c r="A721" s="11" t="n">
        <v>1190</v>
      </c>
      <c r="B721" s="11" t="s">
        <v>70</v>
      </c>
      <c r="C721" s="11" t="s">
        <v>96</v>
      </c>
      <c r="D721" s="11" t="s">
        <v>903</v>
      </c>
      <c r="E721" s="11" t="s">
        <v>249</v>
      </c>
      <c r="F721" s="11" t="s">
        <v>56</v>
      </c>
      <c r="G721" s="11" t="s">
        <v>49</v>
      </c>
      <c r="H721" s="11" t="n">
        <v>5127.85</v>
      </c>
      <c r="I721" s="11" t="n">
        <v>98580</v>
      </c>
      <c r="J721" s="11" t="n">
        <v>1577</v>
      </c>
      <c r="K721" s="11" t="n">
        <v>87</v>
      </c>
      <c r="L721" s="11" t="n">
        <v>35163.4</v>
      </c>
    </row>
    <row r="722" customFormat="false" ht="15" hidden="false" customHeight="true" outlineLevel="0" collapsed="false">
      <c r="A722" s="11" t="n">
        <v>1539</v>
      </c>
      <c r="B722" s="11" t="s">
        <v>229</v>
      </c>
      <c r="C722" s="11" t="s">
        <v>124</v>
      </c>
      <c r="D722" s="11" t="s">
        <v>851</v>
      </c>
      <c r="E722" s="11" t="s">
        <v>711</v>
      </c>
      <c r="F722" s="11" t="s">
        <v>53</v>
      </c>
      <c r="G722" s="11" t="s">
        <v>175</v>
      </c>
      <c r="H722" s="11" t="n">
        <v>44374.64</v>
      </c>
      <c r="I722" s="11" t="n">
        <v>1114424</v>
      </c>
      <c r="J722" s="11" t="n">
        <v>18707</v>
      </c>
      <c r="K722" s="11" t="n">
        <v>475</v>
      </c>
      <c r="L722" s="11" t="n">
        <v>733827.29</v>
      </c>
    </row>
    <row r="723" customFormat="false" ht="15" hidden="false" customHeight="true" outlineLevel="0" collapsed="false">
      <c r="A723" s="11" t="n">
        <v>1769</v>
      </c>
      <c r="B723" s="11" t="s">
        <v>184</v>
      </c>
      <c r="C723" s="11" t="s">
        <v>71</v>
      </c>
      <c r="D723" s="11" t="s">
        <v>896</v>
      </c>
      <c r="E723" s="11" t="s">
        <v>943</v>
      </c>
      <c r="F723" s="11" t="s">
        <v>48</v>
      </c>
      <c r="G723" s="11" t="s">
        <v>172</v>
      </c>
      <c r="H723" s="11" t="n">
        <v>56471.81</v>
      </c>
      <c r="I723" s="11" t="n">
        <v>1193879</v>
      </c>
      <c r="J723" s="11" t="n">
        <v>6282</v>
      </c>
      <c r="K723" s="11" t="n">
        <v>438</v>
      </c>
      <c r="L723" s="11" t="n">
        <v>640008.65</v>
      </c>
    </row>
    <row r="724" customFormat="false" ht="15" hidden="false" customHeight="true" outlineLevel="0" collapsed="false">
      <c r="A724" s="11" t="n">
        <v>1640</v>
      </c>
      <c r="B724" s="11" t="s">
        <v>184</v>
      </c>
      <c r="C724" s="11" t="s">
        <v>85</v>
      </c>
      <c r="D724" s="11" t="s">
        <v>668</v>
      </c>
      <c r="E724" s="11" t="s">
        <v>590</v>
      </c>
      <c r="F724" s="11" t="s">
        <v>48</v>
      </c>
      <c r="G724" s="11" t="s">
        <v>57</v>
      </c>
      <c r="H724" s="11" t="n">
        <v>73889.18</v>
      </c>
      <c r="I724" s="11" t="n">
        <v>2782485</v>
      </c>
      <c r="J724" s="11" t="n">
        <v>84029</v>
      </c>
      <c r="K724" s="11" t="n">
        <v>5814</v>
      </c>
      <c r="L724" s="11" t="n">
        <v>8636562.03</v>
      </c>
    </row>
    <row r="725" customFormat="false" ht="15" hidden="false" customHeight="true" outlineLevel="0" collapsed="false">
      <c r="A725" s="11" t="n">
        <v>1018</v>
      </c>
      <c r="B725" s="11" t="s">
        <v>78</v>
      </c>
      <c r="C725" s="11" t="s">
        <v>105</v>
      </c>
      <c r="D725" s="11" t="s">
        <v>257</v>
      </c>
      <c r="E725" s="11" t="s">
        <v>213</v>
      </c>
      <c r="F725" s="11" t="s">
        <v>67</v>
      </c>
      <c r="G725" s="11" t="s">
        <v>103</v>
      </c>
      <c r="H725" s="11" t="n">
        <v>45552.68</v>
      </c>
      <c r="I725" s="11" t="n">
        <v>922528</v>
      </c>
      <c r="J725" s="11" t="n">
        <v>11518</v>
      </c>
      <c r="K725" s="11" t="n">
        <v>198</v>
      </c>
      <c r="L725" s="11" t="n">
        <v>293271.37</v>
      </c>
    </row>
    <row r="726" customFormat="false" ht="15" hidden="false" customHeight="true" outlineLevel="0" collapsed="false">
      <c r="A726" s="11" t="n">
        <v>1364</v>
      </c>
      <c r="B726" s="11" t="s">
        <v>58</v>
      </c>
      <c r="C726" s="11" t="s">
        <v>118</v>
      </c>
      <c r="D726" s="11" t="s">
        <v>597</v>
      </c>
      <c r="E726" s="11" t="s">
        <v>944</v>
      </c>
      <c r="F726" s="11" t="s">
        <v>69</v>
      </c>
      <c r="G726" s="11" t="s">
        <v>209</v>
      </c>
      <c r="H726" s="11" t="n">
        <v>54110.94</v>
      </c>
      <c r="I726" s="11" t="n">
        <v>1881734</v>
      </c>
      <c r="J726" s="11" t="n">
        <v>17091</v>
      </c>
      <c r="K726" s="11" t="n">
        <v>650</v>
      </c>
      <c r="L726" s="11" t="n">
        <v>819669.24</v>
      </c>
    </row>
    <row r="727" customFormat="false" ht="15" hidden="false" customHeight="true" outlineLevel="0" collapsed="false">
      <c r="A727" s="11" t="n">
        <v>1633</v>
      </c>
      <c r="B727" s="11" t="s">
        <v>68</v>
      </c>
      <c r="C727" s="11" t="s">
        <v>210</v>
      </c>
      <c r="D727" s="11" t="s">
        <v>540</v>
      </c>
      <c r="E727" s="11" t="s">
        <v>217</v>
      </c>
      <c r="F727" s="11" t="s">
        <v>65</v>
      </c>
      <c r="G727" s="11" t="s">
        <v>103</v>
      </c>
      <c r="H727" s="11" t="n">
        <v>84103.93</v>
      </c>
      <c r="I727" s="11" t="n">
        <v>1940118</v>
      </c>
      <c r="J727" s="11" t="n">
        <v>26753</v>
      </c>
      <c r="K727" s="11" t="n">
        <v>1942</v>
      </c>
      <c r="L727" s="11" t="n">
        <v>1262611.77</v>
      </c>
    </row>
    <row r="728" customFormat="false" ht="15" hidden="false" customHeight="true" outlineLevel="0" collapsed="false">
      <c r="A728" s="11" t="n">
        <v>1472</v>
      </c>
      <c r="B728" s="11" t="s">
        <v>62</v>
      </c>
      <c r="C728" s="11" t="s">
        <v>71</v>
      </c>
      <c r="D728" s="11" t="s">
        <v>396</v>
      </c>
      <c r="E728" s="11" t="s">
        <v>659</v>
      </c>
      <c r="F728" s="11" t="s">
        <v>60</v>
      </c>
      <c r="G728" s="11" t="s">
        <v>238</v>
      </c>
      <c r="H728" s="11" t="n">
        <v>21471.17</v>
      </c>
      <c r="I728" s="11" t="n">
        <v>690651</v>
      </c>
      <c r="J728" s="11" t="n">
        <v>18230</v>
      </c>
      <c r="K728" s="11" t="n">
        <v>1021</v>
      </c>
      <c r="L728" s="11" t="n">
        <v>568566.01</v>
      </c>
    </row>
    <row r="729" customFormat="false" ht="15" hidden="false" customHeight="true" outlineLevel="0" collapsed="false">
      <c r="A729" s="11" t="n">
        <v>1572</v>
      </c>
      <c r="B729" s="11" t="s">
        <v>76</v>
      </c>
      <c r="C729" s="11" t="s">
        <v>85</v>
      </c>
      <c r="D729" s="11" t="s">
        <v>321</v>
      </c>
      <c r="E729" s="11" t="s">
        <v>945</v>
      </c>
      <c r="F729" s="11" t="s">
        <v>51</v>
      </c>
      <c r="G729" s="11" t="s">
        <v>49</v>
      </c>
      <c r="H729" s="11" t="n">
        <v>38602.76</v>
      </c>
      <c r="I729" s="11" t="n">
        <v>1138366</v>
      </c>
      <c r="J729" s="11" t="n">
        <v>8408</v>
      </c>
      <c r="K729" s="11" t="n">
        <v>612</v>
      </c>
      <c r="L729" s="11" t="n">
        <v>703554.84</v>
      </c>
    </row>
    <row r="730" customFormat="false" ht="15" hidden="false" customHeight="true" outlineLevel="0" collapsed="false">
      <c r="A730" s="11" t="n">
        <v>1629</v>
      </c>
      <c r="B730" s="11" t="s">
        <v>58</v>
      </c>
      <c r="C730" s="11" t="s">
        <v>105</v>
      </c>
      <c r="D730" s="11" t="s">
        <v>136</v>
      </c>
      <c r="E730" s="11" t="s">
        <v>608</v>
      </c>
      <c r="F730" s="11" t="s">
        <v>69</v>
      </c>
      <c r="G730" s="11" t="s">
        <v>84</v>
      </c>
      <c r="H730" s="11" t="n">
        <v>27593.3</v>
      </c>
      <c r="I730" s="11" t="n">
        <v>575815</v>
      </c>
      <c r="J730" s="11" t="n">
        <v>18791</v>
      </c>
      <c r="K730" s="11" t="n">
        <v>361</v>
      </c>
      <c r="L730" s="11" t="n">
        <v>444147.88</v>
      </c>
    </row>
    <row r="731" customFormat="false" ht="15" hidden="false" customHeight="true" outlineLevel="0" collapsed="false">
      <c r="A731" s="11" t="n">
        <v>1617</v>
      </c>
      <c r="B731" s="11" t="s">
        <v>62</v>
      </c>
      <c r="C731" s="11" t="s">
        <v>124</v>
      </c>
      <c r="D731" s="11" t="s">
        <v>724</v>
      </c>
      <c r="E731" s="11" t="s">
        <v>870</v>
      </c>
      <c r="F731" s="11" t="s">
        <v>48</v>
      </c>
      <c r="G731" s="11" t="s">
        <v>72</v>
      </c>
      <c r="H731" s="11" t="n">
        <v>43712.89</v>
      </c>
      <c r="I731" s="11" t="n">
        <v>1419335</v>
      </c>
      <c r="J731" s="11" t="n">
        <v>45965</v>
      </c>
      <c r="K731" s="11" t="n">
        <v>2610</v>
      </c>
      <c r="L731" s="11" t="n">
        <v>4059732.69</v>
      </c>
    </row>
    <row r="732" customFormat="false" ht="15" hidden="false" customHeight="true" outlineLevel="0" collapsed="false">
      <c r="A732" s="11" t="n">
        <v>1421</v>
      </c>
      <c r="B732" s="11" t="s">
        <v>76</v>
      </c>
      <c r="C732" s="11" t="s">
        <v>138</v>
      </c>
      <c r="D732" s="11" t="s">
        <v>946</v>
      </c>
      <c r="E732" s="11" t="s">
        <v>880</v>
      </c>
      <c r="F732" s="11" t="s">
        <v>60</v>
      </c>
      <c r="G732" s="11" t="s">
        <v>61</v>
      </c>
      <c r="H732" s="11" t="n">
        <v>44839.82</v>
      </c>
      <c r="I732" s="11" t="n">
        <v>819217</v>
      </c>
      <c r="J732" s="11" t="n">
        <v>8756</v>
      </c>
      <c r="K732" s="11" t="n">
        <v>413</v>
      </c>
      <c r="L732" s="11" t="n">
        <v>560363.83</v>
      </c>
    </row>
    <row r="733" customFormat="false" ht="15" hidden="false" customHeight="true" outlineLevel="0" collapsed="false">
      <c r="A733" s="11" t="n">
        <v>1247</v>
      </c>
      <c r="B733" s="11" t="s">
        <v>78</v>
      </c>
      <c r="C733" s="11" t="s">
        <v>96</v>
      </c>
      <c r="D733" s="11" t="s">
        <v>947</v>
      </c>
      <c r="E733" s="11" t="s">
        <v>260</v>
      </c>
      <c r="F733" s="11" t="s">
        <v>48</v>
      </c>
      <c r="G733" s="11" t="s">
        <v>147</v>
      </c>
      <c r="H733" s="11" t="n">
        <v>4059.74</v>
      </c>
      <c r="I733" s="11" t="n">
        <v>86258</v>
      </c>
      <c r="J733" s="11" t="n">
        <v>2281</v>
      </c>
      <c r="K733" s="11" t="n">
        <v>125</v>
      </c>
      <c r="L733" s="11" t="n">
        <v>193902.37</v>
      </c>
    </row>
    <row r="734" customFormat="false" ht="15" hidden="false" customHeight="true" outlineLevel="0" collapsed="false">
      <c r="A734" s="11" t="n">
        <v>1213</v>
      </c>
      <c r="B734" s="11" t="s">
        <v>46</v>
      </c>
      <c r="C734" s="11" t="s">
        <v>92</v>
      </c>
      <c r="D734" s="11" t="s">
        <v>764</v>
      </c>
      <c r="E734" s="11" t="s">
        <v>855</v>
      </c>
      <c r="F734" s="11" t="s">
        <v>53</v>
      </c>
      <c r="G734" s="11" t="s">
        <v>49</v>
      </c>
      <c r="H734" s="11" t="n">
        <v>6937.76</v>
      </c>
      <c r="I734" s="11" t="n">
        <v>166107</v>
      </c>
      <c r="J734" s="11" t="n">
        <v>3336</v>
      </c>
      <c r="K734" s="11" t="n">
        <v>101</v>
      </c>
      <c r="L734" s="11" t="n">
        <v>135796.93</v>
      </c>
    </row>
    <row r="735" customFormat="false" ht="15" hidden="false" customHeight="true" outlineLevel="0" collapsed="false">
      <c r="A735" s="11" t="n">
        <v>1417</v>
      </c>
      <c r="B735" s="11" t="s">
        <v>76</v>
      </c>
      <c r="C735" s="11" t="s">
        <v>328</v>
      </c>
      <c r="D735" s="11" t="s">
        <v>475</v>
      </c>
      <c r="E735" s="11" t="s">
        <v>225</v>
      </c>
      <c r="F735" s="11" t="s">
        <v>56</v>
      </c>
      <c r="G735" s="11" t="s">
        <v>72</v>
      </c>
      <c r="H735" s="11" t="n">
        <v>42044.09</v>
      </c>
      <c r="I735" s="11" t="n">
        <v>1218700</v>
      </c>
      <c r="J735" s="11" t="n">
        <v>8089</v>
      </c>
      <c r="K735" s="11" t="n">
        <v>275</v>
      </c>
      <c r="L735" s="11" t="n">
        <v>485633.67</v>
      </c>
    </row>
    <row r="736" customFormat="false" ht="15" hidden="false" customHeight="true" outlineLevel="0" collapsed="false">
      <c r="A736" s="11" t="n">
        <v>1055</v>
      </c>
      <c r="B736" s="11" t="s">
        <v>262</v>
      </c>
      <c r="C736" s="11" t="s">
        <v>50</v>
      </c>
      <c r="D736" s="11" t="s">
        <v>87</v>
      </c>
      <c r="E736" s="11" t="s">
        <v>505</v>
      </c>
      <c r="F736" s="11" t="s">
        <v>65</v>
      </c>
      <c r="G736" s="11" t="s">
        <v>112</v>
      </c>
      <c r="H736" s="11" t="n">
        <v>67669.87</v>
      </c>
      <c r="I736" s="11" t="n">
        <v>2553501</v>
      </c>
      <c r="J736" s="11" t="n">
        <v>35916</v>
      </c>
      <c r="K736" s="11" t="n">
        <v>1385</v>
      </c>
      <c r="L736" s="11" t="n">
        <v>765457.19</v>
      </c>
    </row>
    <row r="737" customFormat="false" ht="15" hidden="false" customHeight="true" outlineLevel="0" collapsed="false">
      <c r="A737" s="11" t="n">
        <v>1482</v>
      </c>
      <c r="B737" s="11" t="s">
        <v>58</v>
      </c>
      <c r="C737" s="11" t="s">
        <v>134</v>
      </c>
      <c r="D737" s="11" t="s">
        <v>824</v>
      </c>
      <c r="E737" s="11" t="s">
        <v>674</v>
      </c>
      <c r="F737" s="11" t="s">
        <v>56</v>
      </c>
      <c r="G737" s="11" t="s">
        <v>147</v>
      </c>
      <c r="H737" s="11" t="n">
        <v>59500.74</v>
      </c>
      <c r="I737" s="11" t="n">
        <v>2274562</v>
      </c>
      <c r="J737" s="11" t="n">
        <v>40462</v>
      </c>
      <c r="K737" s="11" t="n">
        <v>2150</v>
      </c>
      <c r="L737" s="11" t="n">
        <v>1035991.2</v>
      </c>
    </row>
    <row r="738" customFormat="false" ht="15" hidden="false" customHeight="true" outlineLevel="0" collapsed="false">
      <c r="A738" s="11" t="n">
        <v>1641</v>
      </c>
      <c r="B738" s="11" t="s">
        <v>80</v>
      </c>
      <c r="C738" s="11" t="s">
        <v>121</v>
      </c>
      <c r="D738" s="11" t="s">
        <v>224</v>
      </c>
      <c r="E738" s="11" t="s">
        <v>886</v>
      </c>
      <c r="F738" s="11" t="s">
        <v>53</v>
      </c>
      <c r="G738" s="11" t="s">
        <v>199</v>
      </c>
      <c r="H738" s="11" t="n">
        <v>35193.34</v>
      </c>
      <c r="I738" s="11" t="n">
        <v>743188</v>
      </c>
      <c r="J738" s="11" t="n">
        <v>21491</v>
      </c>
      <c r="K738" s="11" t="n">
        <v>489</v>
      </c>
      <c r="L738" s="11" t="n">
        <v>835057.22</v>
      </c>
    </row>
    <row r="739" customFormat="false" ht="15" hidden="false" customHeight="true" outlineLevel="0" collapsed="false">
      <c r="A739" s="11" t="n">
        <v>1041</v>
      </c>
      <c r="B739" s="11" t="s">
        <v>184</v>
      </c>
      <c r="C739" s="11" t="s">
        <v>118</v>
      </c>
      <c r="D739" s="11" t="s">
        <v>319</v>
      </c>
      <c r="E739" s="11" t="s">
        <v>454</v>
      </c>
      <c r="F739" s="11" t="s">
        <v>60</v>
      </c>
      <c r="G739" s="11"/>
      <c r="H739" s="11" t="n">
        <v>11810.54</v>
      </c>
      <c r="I739" s="11" t="n">
        <v>244751</v>
      </c>
      <c r="J739" s="11" t="n">
        <v>6174</v>
      </c>
      <c r="K739" s="11" t="n">
        <v>433</v>
      </c>
      <c r="L739" s="11"/>
    </row>
    <row r="740" customFormat="false" ht="15" hidden="false" customHeight="true" outlineLevel="0" collapsed="false">
      <c r="A740" s="11" t="n">
        <v>1732</v>
      </c>
      <c r="B740" s="11" t="s">
        <v>73</v>
      </c>
      <c r="C740" s="11" t="s">
        <v>134</v>
      </c>
      <c r="D740" s="11" t="s">
        <v>233</v>
      </c>
      <c r="E740" s="11" t="s">
        <v>948</v>
      </c>
      <c r="F740" s="11" t="s">
        <v>69</v>
      </c>
      <c r="G740" s="11" t="s">
        <v>103</v>
      </c>
      <c r="H740" s="11" t="n">
        <v>22633.69</v>
      </c>
      <c r="I740" s="11" t="n">
        <v>654262</v>
      </c>
      <c r="J740" s="11" t="n">
        <v>13298</v>
      </c>
      <c r="K740" s="11" t="n">
        <v>281</v>
      </c>
      <c r="L740" s="11" t="n">
        <v>180486.18</v>
      </c>
    </row>
    <row r="741" customFormat="false" ht="15" hidden="false" customHeight="true" outlineLevel="0" collapsed="false">
      <c r="A741" s="11" t="n">
        <v>1566</v>
      </c>
      <c r="B741" s="11" t="s">
        <v>58</v>
      </c>
      <c r="C741" s="11" t="s">
        <v>85</v>
      </c>
      <c r="D741" s="11" t="s">
        <v>303</v>
      </c>
      <c r="E741" s="11" t="s">
        <v>734</v>
      </c>
      <c r="F741" s="11" t="s">
        <v>65</v>
      </c>
      <c r="G741" s="11" t="s">
        <v>54</v>
      </c>
      <c r="H741" s="11" t="n">
        <v>66939.74</v>
      </c>
      <c r="I741" s="11" t="n">
        <v>2506291</v>
      </c>
      <c r="J741" s="11" t="n">
        <v>77100</v>
      </c>
      <c r="K741" s="11" t="n">
        <v>3164</v>
      </c>
      <c r="L741" s="11" t="n">
        <v>2496213.84</v>
      </c>
    </row>
    <row r="742" customFormat="false" ht="15" hidden="false" customHeight="true" outlineLevel="0" collapsed="false">
      <c r="A742" s="11" t="n">
        <v>1043</v>
      </c>
      <c r="B742" s="11" t="s">
        <v>78</v>
      </c>
      <c r="C742" s="11" t="s">
        <v>81</v>
      </c>
      <c r="D742" s="11" t="s">
        <v>777</v>
      </c>
      <c r="E742" s="11" t="s">
        <v>177</v>
      </c>
      <c r="F742" s="11" t="s">
        <v>60</v>
      </c>
      <c r="G742" s="11" t="s">
        <v>72</v>
      </c>
      <c r="H742" s="11" t="n">
        <v>7085.57</v>
      </c>
      <c r="I742" s="11" t="n">
        <v>188117</v>
      </c>
      <c r="J742" s="11" t="n">
        <v>1246</v>
      </c>
      <c r="K742" s="11" t="n">
        <v>57</v>
      </c>
      <c r="L742" s="11" t="n">
        <v>71410.69</v>
      </c>
    </row>
    <row r="743" customFormat="false" ht="15" hidden="false" customHeight="true" outlineLevel="0" collapsed="false">
      <c r="A743" s="11" t="n">
        <v>1385</v>
      </c>
      <c r="B743" s="11" t="s">
        <v>70</v>
      </c>
      <c r="C743" s="11" t="s">
        <v>96</v>
      </c>
      <c r="D743" s="11" t="s">
        <v>394</v>
      </c>
      <c r="E743" s="11" t="s">
        <v>315</v>
      </c>
      <c r="F743" s="11" t="s">
        <v>53</v>
      </c>
      <c r="G743" s="11" t="s">
        <v>61</v>
      </c>
      <c r="H743" s="11" t="n">
        <v>2396.39</v>
      </c>
      <c r="I743" s="11" t="n">
        <v>72236</v>
      </c>
      <c r="J743" s="11" t="n">
        <v>579</v>
      </c>
      <c r="K743" s="11" t="n">
        <v>22</v>
      </c>
      <c r="L743" s="11" t="n">
        <v>39401.17</v>
      </c>
    </row>
    <row r="744" customFormat="false" ht="15" hidden="false" customHeight="true" outlineLevel="0" collapsed="false">
      <c r="A744" s="11" t="n">
        <v>1801</v>
      </c>
      <c r="B744" s="11" t="s">
        <v>70</v>
      </c>
      <c r="C744" s="11" t="s">
        <v>115</v>
      </c>
      <c r="D744" s="11" t="s">
        <v>555</v>
      </c>
      <c r="E744" s="11" t="s">
        <v>465</v>
      </c>
      <c r="F744" s="11" t="s">
        <v>67</v>
      </c>
      <c r="G744" s="11" t="s">
        <v>99</v>
      </c>
      <c r="H744" s="11" t="n">
        <v>17030.5</v>
      </c>
      <c r="I744" s="11" t="n">
        <v>427316</v>
      </c>
      <c r="J744" s="11" t="n">
        <v>14068</v>
      </c>
      <c r="K744" s="11" t="n">
        <v>447</v>
      </c>
      <c r="L744" s="11" t="n">
        <v>725502.54</v>
      </c>
    </row>
    <row r="745" customFormat="false" ht="15" hidden="false" customHeight="true" outlineLevel="0" collapsed="false">
      <c r="A745" s="11" t="n">
        <v>1175</v>
      </c>
      <c r="B745" s="11" t="s">
        <v>70</v>
      </c>
      <c r="C745" s="11" t="s">
        <v>63</v>
      </c>
      <c r="D745" s="11" t="s">
        <v>325</v>
      </c>
      <c r="E745" s="11" t="s">
        <v>277</v>
      </c>
      <c r="F745" s="11" t="s">
        <v>56</v>
      </c>
      <c r="G745" s="11" t="s">
        <v>137</v>
      </c>
      <c r="H745" s="11" t="n">
        <v>49484.32</v>
      </c>
      <c r="I745" s="11" t="n">
        <v>1280893</v>
      </c>
      <c r="J745" s="11" t="n">
        <v>44726</v>
      </c>
      <c r="K745" s="11" t="n">
        <v>2410</v>
      </c>
      <c r="L745" s="11" t="n">
        <v>3758290.82</v>
      </c>
    </row>
    <row r="746" customFormat="false" ht="15" hidden="false" customHeight="true" outlineLevel="0" collapsed="false">
      <c r="A746" s="11" t="n">
        <v>1318</v>
      </c>
      <c r="B746" s="11" t="s">
        <v>342</v>
      </c>
      <c r="C746" s="11" t="s">
        <v>105</v>
      </c>
      <c r="D746" s="11" t="s">
        <v>610</v>
      </c>
      <c r="E746" s="11" t="s">
        <v>949</v>
      </c>
      <c r="F746" s="11" t="s">
        <v>67</v>
      </c>
      <c r="G746" s="11" t="s">
        <v>131</v>
      </c>
      <c r="H746" s="11" t="n">
        <v>30539.26</v>
      </c>
      <c r="I746" s="11" t="n">
        <v>604603</v>
      </c>
      <c r="J746" s="11" t="n">
        <v>20918</v>
      </c>
      <c r="K746" s="11" t="n">
        <v>1639</v>
      </c>
      <c r="L746" s="11" t="n">
        <v>2044546.56</v>
      </c>
    </row>
    <row r="747" customFormat="false" ht="15" hidden="false" customHeight="true" outlineLevel="0" collapsed="false">
      <c r="A747" s="11" t="n">
        <v>1375</v>
      </c>
      <c r="B747" s="11" t="s">
        <v>447</v>
      </c>
      <c r="C747" s="11" t="s">
        <v>328</v>
      </c>
      <c r="D747" s="11" t="s">
        <v>789</v>
      </c>
      <c r="E747" s="11" t="s">
        <v>889</v>
      </c>
      <c r="F747" s="11" t="s">
        <v>60</v>
      </c>
      <c r="G747" s="11" t="s">
        <v>72</v>
      </c>
      <c r="H747" s="11" t="n">
        <v>13832.48</v>
      </c>
      <c r="I747" s="11" t="n">
        <v>541212</v>
      </c>
      <c r="J747" s="11" t="n">
        <v>16758</v>
      </c>
      <c r="K747" s="11" t="n">
        <v>272</v>
      </c>
      <c r="L747" s="11" t="n">
        <v>431365.2</v>
      </c>
    </row>
    <row r="748" customFormat="false" ht="15" hidden="false" customHeight="true" outlineLevel="0" collapsed="false">
      <c r="A748" s="11" t="n">
        <v>1776</v>
      </c>
      <c r="B748" s="11" t="s">
        <v>70</v>
      </c>
      <c r="C748" s="11" t="s">
        <v>92</v>
      </c>
      <c r="D748" s="11" t="s">
        <v>498</v>
      </c>
      <c r="E748" s="11" t="s">
        <v>499</v>
      </c>
      <c r="F748" s="11" t="s">
        <v>56</v>
      </c>
      <c r="G748" s="11" t="s">
        <v>99</v>
      </c>
      <c r="H748" s="11" t="n">
        <v>5999.9</v>
      </c>
      <c r="I748" s="11" t="n">
        <v>199714</v>
      </c>
      <c r="J748" s="11" t="n">
        <v>4804</v>
      </c>
      <c r="K748" s="11" t="n">
        <v>96</v>
      </c>
      <c r="L748" s="11" t="n">
        <v>139685.54</v>
      </c>
    </row>
    <row r="749" customFormat="false" ht="15" hidden="false" customHeight="true" outlineLevel="0" collapsed="false">
      <c r="A749" s="11" t="n">
        <v>1774</v>
      </c>
      <c r="B749" s="11" t="s">
        <v>382</v>
      </c>
      <c r="C749" s="11" t="s">
        <v>185</v>
      </c>
      <c r="D749" s="11" t="s">
        <v>652</v>
      </c>
      <c r="E749" s="11" t="s">
        <v>146</v>
      </c>
      <c r="F749" s="11" t="s">
        <v>67</v>
      </c>
      <c r="G749" s="11" t="s">
        <v>84</v>
      </c>
      <c r="H749" s="11" t="n">
        <v>32809.62</v>
      </c>
      <c r="I749" s="11" t="n">
        <v>1258230</v>
      </c>
      <c r="J749" s="11" t="n">
        <v>39079</v>
      </c>
      <c r="K749" s="11" t="n">
        <v>1702</v>
      </c>
      <c r="L749" s="11" t="n">
        <v>1465591.4</v>
      </c>
    </row>
    <row r="750" customFormat="false" ht="15" hidden="false" customHeight="true" outlineLevel="0" collapsed="false">
      <c r="A750" s="11" t="n">
        <v>1379</v>
      </c>
      <c r="B750" s="11" t="s">
        <v>70</v>
      </c>
      <c r="C750" s="11" t="s">
        <v>141</v>
      </c>
      <c r="D750" s="11" t="s">
        <v>941</v>
      </c>
      <c r="E750" s="11" t="s">
        <v>950</v>
      </c>
      <c r="F750" s="11" t="s">
        <v>67</v>
      </c>
      <c r="G750" s="11" t="s">
        <v>172</v>
      </c>
      <c r="H750" s="11" t="n">
        <v>4184.99</v>
      </c>
      <c r="I750" s="11" t="n">
        <v>132900</v>
      </c>
      <c r="J750" s="11" t="n">
        <v>3151</v>
      </c>
      <c r="K750" s="11" t="n">
        <v>89</v>
      </c>
      <c r="L750" s="11" t="n">
        <v>155905.17</v>
      </c>
    </row>
    <row r="751" customFormat="false" ht="15" hidden="false" customHeight="true" outlineLevel="0" collapsed="false">
      <c r="A751" s="11" t="n">
        <v>1330</v>
      </c>
      <c r="B751" s="11" t="s">
        <v>58</v>
      </c>
      <c r="C751" s="11" t="s">
        <v>118</v>
      </c>
      <c r="D751" s="11" t="s">
        <v>307</v>
      </c>
      <c r="E751" s="11" t="s">
        <v>740</v>
      </c>
      <c r="F751" s="11" t="s">
        <v>56</v>
      </c>
      <c r="G751" s="11" t="s">
        <v>183</v>
      </c>
      <c r="H751" s="11" t="n">
        <v>25874.74</v>
      </c>
      <c r="I751" s="11" t="n">
        <v>628692</v>
      </c>
      <c r="J751" s="11" t="n">
        <v>8578</v>
      </c>
      <c r="K751" s="11" t="n">
        <v>593</v>
      </c>
      <c r="L751" s="11" t="n">
        <v>335098.72</v>
      </c>
    </row>
    <row r="752" customFormat="false" ht="15" hidden="false" customHeight="true" outlineLevel="0" collapsed="false">
      <c r="A752" s="11" t="n">
        <v>1234</v>
      </c>
      <c r="B752" s="11" t="s">
        <v>66</v>
      </c>
      <c r="C752" s="11" t="s">
        <v>235</v>
      </c>
      <c r="D752" s="11" t="s">
        <v>320</v>
      </c>
      <c r="E752" s="11" t="s">
        <v>844</v>
      </c>
      <c r="F752" s="11" t="s">
        <v>51</v>
      </c>
      <c r="G752" s="11" t="s">
        <v>99</v>
      </c>
      <c r="H752" s="11" t="n">
        <v>63897.7</v>
      </c>
      <c r="I752" s="11" t="n">
        <v>2168485</v>
      </c>
      <c r="J752" s="11" t="n">
        <v>73375</v>
      </c>
      <c r="K752" s="11" t="n">
        <v>3090</v>
      </c>
      <c r="L752" s="11" t="n">
        <v>3145757.94</v>
      </c>
    </row>
    <row r="753" customFormat="false" ht="15" hidden="false" customHeight="true" outlineLevel="0" collapsed="false">
      <c r="A753" s="11" t="n">
        <v>1524</v>
      </c>
      <c r="B753" s="11" t="s">
        <v>144</v>
      </c>
      <c r="C753" s="11" t="s">
        <v>121</v>
      </c>
      <c r="D753" s="11" t="s">
        <v>674</v>
      </c>
      <c r="E753" s="11" t="s">
        <v>538</v>
      </c>
      <c r="F753" s="11" t="s">
        <v>69</v>
      </c>
      <c r="G753" s="11" t="s">
        <v>49</v>
      </c>
      <c r="H753" s="11" t="n">
        <v>57879.29</v>
      </c>
      <c r="I753" s="11" t="n">
        <v>978612</v>
      </c>
      <c r="J753" s="11" t="n">
        <v>25072</v>
      </c>
      <c r="K753" s="11" t="n">
        <v>909</v>
      </c>
      <c r="L753" s="11" t="n">
        <v>731470.62</v>
      </c>
    </row>
    <row r="754" customFormat="false" ht="15" hidden="false" customHeight="true" outlineLevel="0" collapsed="false">
      <c r="A754" s="11" t="n">
        <v>1276</v>
      </c>
      <c r="B754" s="11" t="s">
        <v>68</v>
      </c>
      <c r="C754" s="11" t="s">
        <v>124</v>
      </c>
      <c r="D754" s="11" t="s">
        <v>675</v>
      </c>
      <c r="E754" s="11" t="s">
        <v>951</v>
      </c>
      <c r="F754" s="11" t="s">
        <v>69</v>
      </c>
      <c r="G754" s="11" t="s">
        <v>91</v>
      </c>
      <c r="H754" s="11" t="n">
        <v>28698.07</v>
      </c>
      <c r="I754" s="11" t="n">
        <v>648973</v>
      </c>
      <c r="J754" s="11" t="n">
        <v>19357</v>
      </c>
      <c r="K754" s="11" t="n">
        <v>818</v>
      </c>
      <c r="L754" s="11" t="n">
        <v>787382.39</v>
      </c>
    </row>
    <row r="755" customFormat="false" ht="15" hidden="false" customHeight="true" outlineLevel="0" collapsed="false">
      <c r="A755" s="11" t="n">
        <v>1153</v>
      </c>
      <c r="B755" s="11" t="s">
        <v>352</v>
      </c>
      <c r="C755" s="11" t="s">
        <v>124</v>
      </c>
      <c r="D755" s="11" t="s">
        <v>949</v>
      </c>
      <c r="E755" s="11" t="s">
        <v>626</v>
      </c>
      <c r="F755" s="11" t="s">
        <v>48</v>
      </c>
      <c r="G755" s="11"/>
      <c r="H755" s="11" t="n">
        <v>56420.32</v>
      </c>
      <c r="I755" s="11" t="n">
        <v>2055794</v>
      </c>
      <c r="J755" s="11" t="n">
        <v>44376</v>
      </c>
      <c r="K755" s="11" t="n">
        <v>3282</v>
      </c>
      <c r="L755" s="11" t="n">
        <v>4673454.61</v>
      </c>
    </row>
    <row r="756" customFormat="false" ht="15" hidden="false" customHeight="true" outlineLevel="0" collapsed="false">
      <c r="A756" s="11" t="n">
        <v>1423</v>
      </c>
      <c r="B756" s="11" t="s">
        <v>76</v>
      </c>
      <c r="C756" s="11" t="s">
        <v>155</v>
      </c>
      <c r="D756" s="11" t="s">
        <v>719</v>
      </c>
      <c r="E756" s="11" t="s">
        <v>668</v>
      </c>
      <c r="F756" s="11" t="s">
        <v>51</v>
      </c>
      <c r="G756" s="11" t="s">
        <v>72</v>
      </c>
      <c r="H756" s="11" t="n">
        <v>45070.96</v>
      </c>
      <c r="I756" s="11" t="n">
        <v>1714031</v>
      </c>
      <c r="J756" s="11" t="n">
        <v>38599</v>
      </c>
      <c r="K756" s="11" t="n">
        <v>484</v>
      </c>
      <c r="L756" s="11" t="n">
        <v>323463.55</v>
      </c>
    </row>
    <row r="757" customFormat="false" ht="15" hidden="false" customHeight="true" outlineLevel="0" collapsed="false">
      <c r="A757" s="11" t="n">
        <v>1242</v>
      </c>
      <c r="B757" s="11" t="s">
        <v>46</v>
      </c>
      <c r="C757" s="11" t="s">
        <v>235</v>
      </c>
      <c r="D757" s="11" t="s">
        <v>322</v>
      </c>
      <c r="E757" s="11" t="s">
        <v>893</v>
      </c>
      <c r="F757" s="11" t="s">
        <v>67</v>
      </c>
      <c r="G757" s="11" t="s">
        <v>49</v>
      </c>
      <c r="H757" s="11" t="n">
        <v>70778.04</v>
      </c>
      <c r="I757" s="11" t="n">
        <v>2195146</v>
      </c>
      <c r="J757" s="11" t="n">
        <v>72125</v>
      </c>
      <c r="K757" s="11" t="n">
        <v>2850</v>
      </c>
      <c r="L757" s="11" t="n">
        <v>3527871.65</v>
      </c>
    </row>
    <row r="758" customFormat="false" ht="15" hidden="false" customHeight="true" outlineLevel="0" collapsed="false">
      <c r="A758" s="11" t="n">
        <v>1126</v>
      </c>
      <c r="B758" s="11" t="s">
        <v>164</v>
      </c>
      <c r="C758" s="11" t="s">
        <v>235</v>
      </c>
      <c r="D758" s="11" t="s">
        <v>513</v>
      </c>
      <c r="E758" s="11" t="s">
        <v>952</v>
      </c>
      <c r="F758" s="11" t="s">
        <v>60</v>
      </c>
      <c r="G758" s="11" t="s">
        <v>131</v>
      </c>
      <c r="H758" s="11" t="n">
        <v>34774</v>
      </c>
      <c r="I758" s="11" t="n">
        <v>602515</v>
      </c>
      <c r="J758" s="11" t="n">
        <v>13822</v>
      </c>
      <c r="K758" s="11" t="n">
        <v>452</v>
      </c>
      <c r="L758" s="11" t="n">
        <v>410684.93</v>
      </c>
    </row>
    <row r="759" customFormat="false" ht="15" hidden="false" customHeight="true" outlineLevel="0" collapsed="false">
      <c r="A759" s="11" t="n">
        <v>1577</v>
      </c>
      <c r="B759" s="11" t="s">
        <v>218</v>
      </c>
      <c r="C759" s="11" t="s">
        <v>134</v>
      </c>
      <c r="D759" s="11" t="s">
        <v>356</v>
      </c>
      <c r="E759" s="11" t="s">
        <v>203</v>
      </c>
      <c r="F759" s="11" t="s">
        <v>67</v>
      </c>
      <c r="G759" s="11" t="s">
        <v>99</v>
      </c>
      <c r="H759" s="11" t="n">
        <v>55375.62</v>
      </c>
      <c r="I759" s="11" t="n">
        <v>1285662</v>
      </c>
      <c r="J759" s="11" t="n">
        <v>37245</v>
      </c>
      <c r="K759" s="11" t="n">
        <v>2920</v>
      </c>
      <c r="L759" s="11" t="n">
        <v>1999591.23</v>
      </c>
    </row>
    <row r="760" customFormat="false" ht="15" hidden="false" customHeight="true" outlineLevel="0" collapsed="false">
      <c r="A760" s="11" t="n">
        <v>1810</v>
      </c>
      <c r="B760" s="11" t="s">
        <v>70</v>
      </c>
      <c r="C760" s="11" t="s">
        <v>100</v>
      </c>
      <c r="D760" s="11" t="s">
        <v>608</v>
      </c>
      <c r="E760" s="11" t="s">
        <v>345</v>
      </c>
      <c r="F760" s="11" t="s">
        <v>69</v>
      </c>
      <c r="G760" s="11"/>
      <c r="H760" s="11" t="n">
        <v>72726.49</v>
      </c>
      <c r="I760" s="11" t="n">
        <v>1854027</v>
      </c>
      <c r="J760" s="11" t="n">
        <v>28253</v>
      </c>
      <c r="K760" s="11" t="n">
        <v>1233</v>
      </c>
      <c r="L760" s="11" t="n">
        <v>766542.79</v>
      </c>
    </row>
    <row r="761" customFormat="false" ht="15" hidden="false" customHeight="true" outlineLevel="0" collapsed="false">
      <c r="A761" s="11" t="n">
        <v>1415</v>
      </c>
      <c r="B761" s="11" t="s">
        <v>615</v>
      </c>
      <c r="C761" s="11" t="s">
        <v>105</v>
      </c>
      <c r="D761" s="11" t="s">
        <v>894</v>
      </c>
      <c r="E761" s="11" t="s">
        <v>458</v>
      </c>
      <c r="F761" s="11" t="s">
        <v>53</v>
      </c>
      <c r="G761" s="11" t="s">
        <v>84</v>
      </c>
      <c r="H761" s="11" t="n">
        <v>40448.88</v>
      </c>
      <c r="I761" s="11" t="n">
        <v>1065905</v>
      </c>
      <c r="J761" s="11" t="n">
        <v>15824</v>
      </c>
      <c r="K761" s="11" t="n">
        <v>371</v>
      </c>
      <c r="L761" s="11" t="n">
        <v>185091.9</v>
      </c>
    </row>
    <row r="762" customFormat="false" ht="15" hidden="false" customHeight="true" outlineLevel="0" collapsed="false">
      <c r="A762" s="11" t="n">
        <v>1820</v>
      </c>
      <c r="B762" s="11" t="s">
        <v>70</v>
      </c>
      <c r="C762" s="11" t="s">
        <v>328</v>
      </c>
      <c r="D762" s="11" t="s">
        <v>130</v>
      </c>
      <c r="E762" s="11" t="s">
        <v>586</v>
      </c>
      <c r="F762" s="11" t="s">
        <v>51</v>
      </c>
      <c r="G762" s="11" t="s">
        <v>91</v>
      </c>
      <c r="H762" s="11" t="n">
        <v>33889.6</v>
      </c>
      <c r="I762" s="11" t="n">
        <v>576256</v>
      </c>
      <c r="J762" s="11" t="n">
        <v>16022</v>
      </c>
      <c r="K762" s="11" t="n">
        <v>677</v>
      </c>
      <c r="L762" s="11" t="n">
        <v>905786.37</v>
      </c>
    </row>
    <row r="763" customFormat="false" ht="15" hidden="false" customHeight="true" outlineLevel="0" collapsed="false">
      <c r="A763" s="11" t="n">
        <v>1543</v>
      </c>
      <c r="B763" s="11" t="s">
        <v>184</v>
      </c>
      <c r="C763" s="11" t="s">
        <v>47</v>
      </c>
      <c r="D763" s="11" t="s">
        <v>922</v>
      </c>
      <c r="E763" s="11" t="s">
        <v>953</v>
      </c>
      <c r="F763" s="11" t="s">
        <v>65</v>
      </c>
      <c r="G763" s="11" t="s">
        <v>226</v>
      </c>
      <c r="H763" s="11" t="n">
        <v>1216.33</v>
      </c>
      <c r="I763" s="11" t="n">
        <v>35808</v>
      </c>
      <c r="J763" s="11" t="n">
        <v>926</v>
      </c>
      <c r="K763" s="11" t="n">
        <v>37</v>
      </c>
      <c r="L763" s="11" t="n">
        <v>24018.4</v>
      </c>
    </row>
    <row r="764" customFormat="false" ht="15" hidden="false" customHeight="true" outlineLevel="0" collapsed="false">
      <c r="A764" s="11" t="n">
        <v>1282</v>
      </c>
      <c r="B764" s="11" t="s">
        <v>152</v>
      </c>
      <c r="C764" s="11" t="s">
        <v>235</v>
      </c>
      <c r="D764" s="11" t="s">
        <v>142</v>
      </c>
      <c r="E764" s="11" t="s">
        <v>120</v>
      </c>
      <c r="F764" s="11" t="s">
        <v>51</v>
      </c>
      <c r="G764" s="11" t="s">
        <v>131</v>
      </c>
      <c r="H764" s="11" t="n">
        <v>70158.56</v>
      </c>
      <c r="I764" s="11" t="n">
        <v>1629798</v>
      </c>
      <c r="J764" s="11" t="n">
        <v>28379</v>
      </c>
      <c r="K764" s="11" t="n">
        <v>700</v>
      </c>
      <c r="L764" s="11" t="n">
        <v>457186.75</v>
      </c>
    </row>
    <row r="765" customFormat="false" ht="15" hidden="false" customHeight="true" outlineLevel="0" collapsed="false">
      <c r="A765" s="11" t="n">
        <v>1529</v>
      </c>
      <c r="B765" s="11" t="s">
        <v>52</v>
      </c>
      <c r="C765" s="11" t="s">
        <v>141</v>
      </c>
      <c r="D765" s="11" t="s">
        <v>182</v>
      </c>
      <c r="E765" s="11" t="s">
        <v>765</v>
      </c>
      <c r="F765" s="11" t="s">
        <v>48</v>
      </c>
      <c r="G765" s="11" t="s">
        <v>163</v>
      </c>
      <c r="H765" s="11" t="n">
        <v>5818.05</v>
      </c>
      <c r="I765" s="11" t="n">
        <v>191530</v>
      </c>
      <c r="J765" s="11" t="n">
        <v>2185</v>
      </c>
      <c r="K765" s="11" t="n">
        <v>108</v>
      </c>
      <c r="L765" s="11" t="n">
        <v>88156.49</v>
      </c>
    </row>
    <row r="766" customFormat="false" ht="15" hidden="false" customHeight="true" outlineLevel="0" collapsed="false">
      <c r="A766" s="11" t="n">
        <v>1742</v>
      </c>
      <c r="B766" s="11" t="s">
        <v>66</v>
      </c>
      <c r="C766" s="11" t="s">
        <v>149</v>
      </c>
      <c r="D766" s="11" t="s">
        <v>954</v>
      </c>
      <c r="E766" s="11" t="s">
        <v>360</v>
      </c>
      <c r="F766" s="11" t="s">
        <v>53</v>
      </c>
      <c r="G766" s="11"/>
      <c r="H766" s="11" t="n">
        <v>47118.23</v>
      </c>
      <c r="I766" s="11" t="n">
        <v>1489686</v>
      </c>
      <c r="J766" s="11" t="n">
        <v>14809</v>
      </c>
      <c r="K766" s="11" t="n">
        <v>383</v>
      </c>
      <c r="L766" s="11" t="n">
        <v>528211.31</v>
      </c>
    </row>
    <row r="767" customFormat="false" ht="15" hidden="false" customHeight="true" outlineLevel="0" collapsed="false">
      <c r="A767" s="11" t="n">
        <v>1371</v>
      </c>
      <c r="B767" s="11" t="s">
        <v>184</v>
      </c>
      <c r="C767" s="11" t="s">
        <v>118</v>
      </c>
      <c r="D767" s="11" t="s">
        <v>955</v>
      </c>
      <c r="E767" s="11" t="s">
        <v>454</v>
      </c>
      <c r="F767" s="11" t="s">
        <v>56</v>
      </c>
      <c r="G767" s="11" t="s">
        <v>72</v>
      </c>
      <c r="H767" s="11" t="n">
        <v>63457.28</v>
      </c>
      <c r="I767" s="11" t="n">
        <v>1191830</v>
      </c>
      <c r="J767" s="11" t="n">
        <v>36459</v>
      </c>
      <c r="K767" s="11" t="n">
        <v>2042</v>
      </c>
      <c r="L767" s="11" t="n">
        <v>3078150.14</v>
      </c>
    </row>
    <row r="768" customFormat="false" ht="15" hidden="false" customHeight="true" outlineLevel="0" collapsed="false">
      <c r="A768" s="11" t="n">
        <v>1091</v>
      </c>
      <c r="B768" s="11" t="s">
        <v>191</v>
      </c>
      <c r="C768" s="11" t="s">
        <v>115</v>
      </c>
      <c r="D768" s="11" t="s">
        <v>693</v>
      </c>
      <c r="E768" s="11" t="s">
        <v>336</v>
      </c>
      <c r="F768" s="11" t="s">
        <v>48</v>
      </c>
      <c r="G768" s="11" t="s">
        <v>99</v>
      </c>
      <c r="H768" s="11" t="n">
        <v>15685.6</v>
      </c>
      <c r="I768" s="11" t="n">
        <v>607247</v>
      </c>
      <c r="J768" s="11" t="n">
        <v>17082</v>
      </c>
      <c r="K768" s="11" t="n">
        <v>487</v>
      </c>
      <c r="L768" s="11" t="n">
        <v>319312.34</v>
      </c>
    </row>
    <row r="769" customFormat="false" ht="15" hidden="false" customHeight="true" outlineLevel="0" collapsed="false">
      <c r="A769" s="11" t="n">
        <v>1350</v>
      </c>
      <c r="B769" s="11" t="s">
        <v>46</v>
      </c>
      <c r="C769" s="11" t="s">
        <v>138</v>
      </c>
      <c r="D769" s="11" t="s">
        <v>496</v>
      </c>
      <c r="E769" s="11" t="s">
        <v>291</v>
      </c>
      <c r="F769" s="11" t="s">
        <v>69</v>
      </c>
      <c r="G769" s="11" t="s">
        <v>112</v>
      </c>
      <c r="H769" s="11" t="n">
        <v>22879.71</v>
      </c>
      <c r="I769" s="11" t="n">
        <v>523121</v>
      </c>
      <c r="J769" s="11" t="n">
        <v>8521</v>
      </c>
      <c r="K769" s="11" t="n">
        <v>359</v>
      </c>
      <c r="L769" s="11" t="n">
        <v>142755.17</v>
      </c>
    </row>
    <row r="770" customFormat="false" ht="15" hidden="false" customHeight="true" outlineLevel="0" collapsed="false">
      <c r="A770" s="11" t="n">
        <v>1652</v>
      </c>
      <c r="B770" s="11" t="s">
        <v>279</v>
      </c>
      <c r="C770" s="11" t="s">
        <v>59</v>
      </c>
      <c r="D770" s="11" t="s">
        <v>893</v>
      </c>
      <c r="E770" s="11" t="s">
        <v>834</v>
      </c>
      <c r="F770" s="11" t="s">
        <v>69</v>
      </c>
      <c r="G770" s="11" t="s">
        <v>84</v>
      </c>
      <c r="H770" s="11" t="n">
        <v>57428.59</v>
      </c>
      <c r="I770" s="11" t="n">
        <v>2290904</v>
      </c>
      <c r="J770" s="11" t="n">
        <v>77418</v>
      </c>
      <c r="K770" s="11" t="n">
        <v>5505</v>
      </c>
      <c r="L770" s="11" t="n">
        <v>4537504.6</v>
      </c>
    </row>
    <row r="771" customFormat="false" ht="15" hidden="false" customHeight="true" outlineLevel="0" collapsed="false">
      <c r="A771" s="11" t="n">
        <v>1354</v>
      </c>
      <c r="B771" s="11" t="s">
        <v>52</v>
      </c>
      <c r="C771" s="11" t="s">
        <v>124</v>
      </c>
      <c r="D771" s="11" t="s">
        <v>703</v>
      </c>
      <c r="E771" s="11" t="s">
        <v>956</v>
      </c>
      <c r="F771" s="11" t="s">
        <v>48</v>
      </c>
      <c r="G771" s="11" t="s">
        <v>175</v>
      </c>
      <c r="H771" s="11" t="n">
        <v>41043.1</v>
      </c>
      <c r="I771" s="11" t="n">
        <v>1615156</v>
      </c>
      <c r="J771" s="11" t="n">
        <v>11725</v>
      </c>
      <c r="K771" s="11" t="n">
        <v>815</v>
      </c>
      <c r="L771" s="11" t="n">
        <v>538239.16</v>
      </c>
    </row>
    <row r="772" customFormat="false" ht="15" hidden="false" customHeight="true" outlineLevel="0" collapsed="false">
      <c r="A772" s="11" t="n">
        <v>1387</v>
      </c>
      <c r="B772" s="11" t="s">
        <v>144</v>
      </c>
      <c r="C772" s="11" t="s">
        <v>85</v>
      </c>
      <c r="D772" s="11" t="s">
        <v>452</v>
      </c>
      <c r="E772" s="11" t="s">
        <v>957</v>
      </c>
      <c r="F772" s="11" t="s">
        <v>51</v>
      </c>
      <c r="G772" s="11" t="s">
        <v>54</v>
      </c>
      <c r="H772" s="11" t="n">
        <v>78226.18</v>
      </c>
      <c r="I772" s="11" t="n">
        <v>2702034</v>
      </c>
      <c r="J772" s="11" t="n">
        <v>62929</v>
      </c>
      <c r="K772" s="11" t="n">
        <v>4410</v>
      </c>
      <c r="L772" s="11" t="n">
        <v>2194895.18</v>
      </c>
    </row>
    <row r="773" customFormat="false" ht="15" hidden="false" customHeight="true" outlineLevel="0" collapsed="false">
      <c r="A773" s="11" t="n">
        <v>1252</v>
      </c>
      <c r="B773" s="11" t="s">
        <v>62</v>
      </c>
      <c r="C773" s="11" t="s">
        <v>50</v>
      </c>
      <c r="D773" s="11" t="s">
        <v>958</v>
      </c>
      <c r="E773" s="11" t="s">
        <v>959</v>
      </c>
      <c r="F773" s="11" t="s">
        <v>69</v>
      </c>
      <c r="G773" s="11"/>
      <c r="H773" s="11" t="n">
        <v>43268.95</v>
      </c>
      <c r="I773" s="11" t="n">
        <v>1293971</v>
      </c>
      <c r="J773" s="11" t="n">
        <v>20887</v>
      </c>
      <c r="K773" s="11" t="n">
        <v>339</v>
      </c>
      <c r="L773" s="11" t="n">
        <v>196166.68</v>
      </c>
    </row>
    <row r="774" customFormat="false" ht="15" hidden="false" customHeight="true" outlineLevel="0" collapsed="false">
      <c r="A774" s="11" t="n">
        <v>1808</v>
      </c>
      <c r="B774" s="11" t="s">
        <v>66</v>
      </c>
      <c r="C774" s="11" t="s">
        <v>81</v>
      </c>
      <c r="D774" s="11" t="s">
        <v>502</v>
      </c>
      <c r="E774" s="11" t="s">
        <v>670</v>
      </c>
      <c r="F774" s="11" t="s">
        <v>67</v>
      </c>
      <c r="G774" s="11" t="s">
        <v>103</v>
      </c>
      <c r="H774" s="11" t="n">
        <v>2123.21</v>
      </c>
      <c r="I774" s="11" t="n">
        <v>43555</v>
      </c>
      <c r="J774" s="11" t="n">
        <v>1400</v>
      </c>
      <c r="K774" s="11" t="n">
        <v>15</v>
      </c>
      <c r="L774" s="11" t="n">
        <v>10348.66</v>
      </c>
    </row>
    <row r="775" customFormat="false" ht="15" hidden="false" customHeight="true" outlineLevel="0" collapsed="false">
      <c r="A775" s="11" t="n">
        <v>1678</v>
      </c>
      <c r="B775" s="11" t="s">
        <v>52</v>
      </c>
      <c r="C775" s="11" t="s">
        <v>96</v>
      </c>
      <c r="D775" s="11" t="s">
        <v>675</v>
      </c>
      <c r="E775" s="11" t="s">
        <v>747</v>
      </c>
      <c r="F775" s="11" t="s">
        <v>53</v>
      </c>
      <c r="G775" s="11" t="s">
        <v>137</v>
      </c>
      <c r="H775" s="11" t="n">
        <v>7361.81</v>
      </c>
      <c r="I775" s="11" t="n">
        <v>239300</v>
      </c>
      <c r="J775" s="11" t="n">
        <v>5220</v>
      </c>
      <c r="K775" s="11" t="n">
        <v>328</v>
      </c>
      <c r="L775" s="11" t="n">
        <v>370793.77</v>
      </c>
    </row>
    <row r="776" customFormat="false" ht="15" hidden="false" customHeight="true" outlineLevel="0" collapsed="false">
      <c r="A776" s="11" t="n">
        <v>1003</v>
      </c>
      <c r="B776" s="11" t="s">
        <v>385</v>
      </c>
      <c r="C776" s="11" t="s">
        <v>155</v>
      </c>
      <c r="D776" s="11" t="s">
        <v>618</v>
      </c>
      <c r="E776" s="11" t="s">
        <v>960</v>
      </c>
      <c r="F776" s="11" t="s">
        <v>65</v>
      </c>
      <c r="G776" s="11" t="s">
        <v>238</v>
      </c>
      <c r="H776" s="11" t="n">
        <v>49005.77</v>
      </c>
      <c r="I776" s="11" t="n">
        <v>1756992</v>
      </c>
      <c r="J776" s="11" t="n">
        <v>17358</v>
      </c>
      <c r="K776" s="11" t="n">
        <v>605</v>
      </c>
      <c r="L776" s="11" t="n">
        <v>799661.17</v>
      </c>
    </row>
    <row r="777" customFormat="false" ht="15" hidden="false" customHeight="true" outlineLevel="0" collapsed="false">
      <c r="A777" s="11" t="n">
        <v>1051</v>
      </c>
      <c r="B777" s="11" t="s">
        <v>46</v>
      </c>
      <c r="C777" s="11" t="s">
        <v>155</v>
      </c>
      <c r="D777" s="11" t="s">
        <v>394</v>
      </c>
      <c r="E777" s="11" t="s">
        <v>448</v>
      </c>
      <c r="F777" s="11" t="s">
        <v>60</v>
      </c>
      <c r="G777" s="11" t="s">
        <v>108</v>
      </c>
      <c r="H777" s="11" t="n">
        <v>43602.32</v>
      </c>
      <c r="I777" s="11" t="n">
        <v>1045321</v>
      </c>
      <c r="J777" s="11" t="n">
        <v>-14505</v>
      </c>
      <c r="K777" s="11" t="n">
        <v>855</v>
      </c>
      <c r="L777" s="11" t="n">
        <v>326449.62</v>
      </c>
    </row>
    <row r="778" customFormat="false" ht="15" hidden="false" customHeight="true" outlineLevel="0" collapsed="false">
      <c r="A778" s="11" t="n">
        <v>1614</v>
      </c>
      <c r="B778" s="11" t="s">
        <v>52</v>
      </c>
      <c r="C778" s="11" t="s">
        <v>96</v>
      </c>
      <c r="D778" s="11" t="s">
        <v>961</v>
      </c>
      <c r="E778" s="11" t="s">
        <v>585</v>
      </c>
      <c r="F778" s="11" t="s">
        <v>56</v>
      </c>
      <c r="G778" s="11" t="s">
        <v>163</v>
      </c>
      <c r="H778" s="11" t="n">
        <v>4195.12</v>
      </c>
      <c r="I778" s="11" t="n">
        <v>123332</v>
      </c>
      <c r="J778" s="11" t="n">
        <v>2226</v>
      </c>
      <c r="K778" s="11" t="n">
        <v>84</v>
      </c>
      <c r="L778" s="11" t="n">
        <v>130992.94</v>
      </c>
    </row>
    <row r="779" customFormat="false" ht="15" hidden="false" customHeight="true" outlineLevel="0" collapsed="false">
      <c r="A779" s="11" t="n">
        <v>1046</v>
      </c>
      <c r="B779" s="11" t="s">
        <v>55</v>
      </c>
      <c r="C779" s="11" t="s">
        <v>185</v>
      </c>
      <c r="D779" s="11" t="s">
        <v>915</v>
      </c>
      <c r="E779" s="11" t="s">
        <v>390</v>
      </c>
      <c r="F779" s="11" t="s">
        <v>51</v>
      </c>
      <c r="G779" s="11" t="s">
        <v>95</v>
      </c>
      <c r="H779" s="11" t="n">
        <v>47669.38</v>
      </c>
      <c r="I779" s="11" t="n">
        <v>1164574</v>
      </c>
      <c r="J779" s="11" t="n">
        <v>38414</v>
      </c>
      <c r="K779" s="11" t="n">
        <v>2722</v>
      </c>
      <c r="L779" s="11" t="n">
        <v>4823719.39</v>
      </c>
    </row>
    <row r="780" customFormat="false" ht="15" hidden="false" customHeight="true" outlineLevel="0" collapsed="false">
      <c r="A780" s="11" t="n">
        <v>1799</v>
      </c>
      <c r="B780" s="11" t="s">
        <v>250</v>
      </c>
      <c r="C780" s="11" t="s">
        <v>115</v>
      </c>
      <c r="D780" s="11" t="s">
        <v>419</v>
      </c>
      <c r="E780" s="11" t="s">
        <v>820</v>
      </c>
      <c r="F780" s="11" t="s">
        <v>56</v>
      </c>
      <c r="G780" s="11" t="s">
        <v>54</v>
      </c>
      <c r="H780" s="11" t="n">
        <v>29646.77</v>
      </c>
      <c r="I780" s="11" t="n">
        <v>1074500</v>
      </c>
      <c r="J780" s="11" t="n">
        <v>37005</v>
      </c>
      <c r="K780" s="11" t="n">
        <v>2895</v>
      </c>
      <c r="L780" s="11" t="n">
        <v>2540329.48</v>
      </c>
    </row>
    <row r="781" customFormat="false" ht="15" hidden="false" customHeight="true" outlineLevel="0" collapsed="false">
      <c r="A781" s="11" t="n">
        <v>1479</v>
      </c>
      <c r="B781" s="11" t="s">
        <v>62</v>
      </c>
      <c r="C781" s="11" t="s">
        <v>141</v>
      </c>
      <c r="D781" s="11" t="s">
        <v>398</v>
      </c>
      <c r="E781" s="11" t="s">
        <v>839</v>
      </c>
      <c r="F781" s="11" t="s">
        <v>67</v>
      </c>
      <c r="G781" s="11" t="s">
        <v>175</v>
      </c>
      <c r="H781" s="11" t="n">
        <v>3947.39</v>
      </c>
      <c r="I781" s="11" t="n">
        <v>91896</v>
      </c>
      <c r="J781" s="11" t="n">
        <v>546</v>
      </c>
      <c r="K781" s="11" t="n">
        <v>30</v>
      </c>
      <c r="L781" s="11" t="n">
        <v>51754.35</v>
      </c>
    </row>
    <row r="782" customFormat="false" ht="15" hidden="false" customHeight="true" outlineLevel="0" collapsed="false">
      <c r="A782" s="11" t="n">
        <v>1446</v>
      </c>
      <c r="B782" s="11" t="s">
        <v>62</v>
      </c>
      <c r="C782" s="11" t="s">
        <v>185</v>
      </c>
      <c r="D782" s="11" t="s">
        <v>384</v>
      </c>
      <c r="E782" s="11" t="s">
        <v>914</v>
      </c>
      <c r="F782" s="11" t="s">
        <v>48</v>
      </c>
      <c r="G782" s="11"/>
      <c r="H782" s="11" t="n">
        <v>56894.82</v>
      </c>
      <c r="I782" s="11" t="n">
        <v>2233822</v>
      </c>
      <c r="J782" s="11" t="n">
        <v>36175</v>
      </c>
      <c r="K782" s="11" t="n">
        <v>1601</v>
      </c>
      <c r="L782" s="11" t="n">
        <v>2048512.56</v>
      </c>
    </row>
    <row r="783" customFormat="false" ht="15" hidden="false" customHeight="true" outlineLevel="0" collapsed="false">
      <c r="A783" s="11" t="n">
        <v>1520</v>
      </c>
      <c r="B783" s="11" t="s">
        <v>78</v>
      </c>
      <c r="C783" s="11" t="s">
        <v>71</v>
      </c>
      <c r="D783" s="11" t="s">
        <v>699</v>
      </c>
      <c r="E783" s="11" t="s">
        <v>150</v>
      </c>
      <c r="F783" s="11" t="s">
        <v>56</v>
      </c>
      <c r="G783" s="11" t="s">
        <v>99</v>
      </c>
      <c r="H783" s="11" t="n">
        <v>36898.46</v>
      </c>
      <c r="I783" s="11" t="n">
        <v>914493</v>
      </c>
      <c r="J783" s="11" t="n">
        <v>21479</v>
      </c>
      <c r="K783" s="11" t="n">
        <v>806</v>
      </c>
      <c r="L783" s="11" t="n">
        <v>342382.71</v>
      </c>
    </row>
    <row r="784" customFormat="false" ht="15" hidden="false" customHeight="true" outlineLevel="0" collapsed="false">
      <c r="A784" s="11" t="n">
        <v>1042</v>
      </c>
      <c r="B784" s="11" t="s">
        <v>70</v>
      </c>
      <c r="C784" s="11" t="s">
        <v>59</v>
      </c>
      <c r="D784" s="11" t="s">
        <v>125</v>
      </c>
      <c r="E784" s="11" t="s">
        <v>911</v>
      </c>
      <c r="F784" s="11" t="s">
        <v>60</v>
      </c>
      <c r="G784" s="11" t="s">
        <v>108</v>
      </c>
      <c r="H784" s="11" t="n">
        <v>50250.78</v>
      </c>
      <c r="I784" s="11" t="n">
        <v>1266756</v>
      </c>
      <c r="J784" s="11" t="n">
        <v>18534</v>
      </c>
      <c r="K784" s="11" t="n">
        <v>321</v>
      </c>
      <c r="L784" s="11" t="n">
        <v>187205.93</v>
      </c>
    </row>
    <row r="785" customFormat="false" ht="15" hidden="false" customHeight="true" outlineLevel="0" collapsed="false">
      <c r="A785" s="11" t="n">
        <v>1481</v>
      </c>
      <c r="B785" s="11" t="s">
        <v>64</v>
      </c>
      <c r="C785" s="11" t="s">
        <v>59</v>
      </c>
      <c r="D785" s="11" t="s">
        <v>165</v>
      </c>
      <c r="E785" s="11" t="s">
        <v>614</v>
      </c>
      <c r="F785" s="11" t="s">
        <v>56</v>
      </c>
      <c r="G785" s="11" t="s">
        <v>172</v>
      </c>
      <c r="H785" s="11" t="n">
        <v>36085.41</v>
      </c>
      <c r="I785" s="11" t="n">
        <v>645044</v>
      </c>
      <c r="J785" s="11" t="n">
        <v>8324</v>
      </c>
      <c r="K785" s="11" t="n">
        <v>491</v>
      </c>
      <c r="L785" s="11" t="n">
        <v>646243.96</v>
      </c>
    </row>
    <row r="786" customFormat="false" ht="15" hidden="false" customHeight="true" outlineLevel="0" collapsed="false">
      <c r="A786" s="11" t="n">
        <v>1817</v>
      </c>
      <c r="B786" s="11" t="s">
        <v>66</v>
      </c>
      <c r="C786" s="11" t="s">
        <v>149</v>
      </c>
      <c r="D786" s="11" t="s">
        <v>962</v>
      </c>
      <c r="E786" s="11" t="s">
        <v>849</v>
      </c>
      <c r="F786" s="11" t="s">
        <v>48</v>
      </c>
      <c r="G786" s="11" t="s">
        <v>238</v>
      </c>
      <c r="H786" s="11" t="n">
        <v>29445.3</v>
      </c>
      <c r="I786" s="11" t="n">
        <v>859282</v>
      </c>
      <c r="J786" s="11" t="n">
        <v>28879</v>
      </c>
      <c r="K786" s="11" t="n">
        <v>1147</v>
      </c>
      <c r="L786" s="11" t="n">
        <v>1417549.42</v>
      </c>
    </row>
    <row r="787" customFormat="false" ht="15" hidden="false" customHeight="true" outlineLevel="0" collapsed="false">
      <c r="A787" s="11" t="n">
        <v>1322</v>
      </c>
      <c r="B787" s="11" t="s">
        <v>423</v>
      </c>
      <c r="C787" s="11" t="s">
        <v>59</v>
      </c>
      <c r="D787" s="11" t="s">
        <v>926</v>
      </c>
      <c r="E787" s="11" t="s">
        <v>963</v>
      </c>
      <c r="F787" s="11" t="s">
        <v>48</v>
      </c>
      <c r="G787" s="11" t="s">
        <v>84</v>
      </c>
      <c r="H787" s="11" t="n">
        <v>26759.11</v>
      </c>
      <c r="I787" s="11" t="n">
        <v>932933</v>
      </c>
      <c r="J787" s="11" t="n">
        <v>31330</v>
      </c>
      <c r="K787" s="11" t="n">
        <v>2299</v>
      </c>
      <c r="L787" s="11" t="n">
        <v>2731846.75</v>
      </c>
    </row>
    <row r="788" customFormat="false" ht="15" hidden="false" customHeight="true" outlineLevel="0" collapsed="false">
      <c r="A788" s="11" t="n">
        <v>1044</v>
      </c>
      <c r="B788" s="11" t="s">
        <v>62</v>
      </c>
      <c r="C788" s="11" t="s">
        <v>115</v>
      </c>
      <c r="D788" s="11" t="s">
        <v>517</v>
      </c>
      <c r="E788" s="11" t="s">
        <v>531</v>
      </c>
      <c r="F788" s="11" t="s">
        <v>65</v>
      </c>
      <c r="G788" s="11"/>
      <c r="H788" s="11" t="n">
        <v>10957.21</v>
      </c>
      <c r="I788" s="11" t="n">
        <v>276119</v>
      </c>
      <c r="J788" s="11" t="n">
        <v>3241</v>
      </c>
      <c r="K788" s="11" t="n">
        <v>223</v>
      </c>
      <c r="L788" s="11" t="n">
        <v>114737.65</v>
      </c>
    </row>
    <row r="789" customFormat="false" ht="15" hidden="false" customHeight="true" outlineLevel="0" collapsed="false">
      <c r="A789" s="11" t="n">
        <v>1637</v>
      </c>
      <c r="B789" s="11" t="s">
        <v>52</v>
      </c>
      <c r="C789" s="11" t="s">
        <v>138</v>
      </c>
      <c r="D789" s="11" t="s">
        <v>870</v>
      </c>
      <c r="E789" s="11" t="s">
        <v>532</v>
      </c>
      <c r="F789" s="11" t="s">
        <v>69</v>
      </c>
      <c r="G789" s="11" t="s">
        <v>108</v>
      </c>
      <c r="H789" s="11" t="n">
        <v>18690.94</v>
      </c>
      <c r="I789" s="11" t="n">
        <v>383641</v>
      </c>
      <c r="J789" s="11" t="n">
        <v>6186</v>
      </c>
      <c r="K789" s="11" t="n">
        <v>218</v>
      </c>
      <c r="L789" s="11" t="n">
        <v>168354.1</v>
      </c>
    </row>
    <row r="790" customFormat="false" ht="15" hidden="false" customHeight="true" outlineLevel="0" collapsed="false">
      <c r="A790" s="11" t="n">
        <v>1514</v>
      </c>
      <c r="B790" s="11" t="s">
        <v>52</v>
      </c>
      <c r="C790" s="11" t="s">
        <v>149</v>
      </c>
      <c r="D790" s="11" t="s">
        <v>964</v>
      </c>
      <c r="E790" s="11" t="s">
        <v>965</v>
      </c>
      <c r="F790" s="11" t="s">
        <v>65</v>
      </c>
      <c r="G790" s="11" t="s">
        <v>91</v>
      </c>
      <c r="H790" s="11" t="n">
        <v>31453.53</v>
      </c>
      <c r="I790" s="11" t="n">
        <v>585521</v>
      </c>
      <c r="J790" s="11" t="n">
        <v>14592</v>
      </c>
      <c r="K790" s="11" t="n">
        <v>987</v>
      </c>
      <c r="L790" s="11" t="n">
        <v>1396424.43</v>
      </c>
    </row>
    <row r="791" customFormat="false" ht="15" hidden="false" customHeight="true" outlineLevel="0" collapsed="false">
      <c r="A791" s="11" t="n">
        <v>1296</v>
      </c>
      <c r="B791" s="11" t="s">
        <v>160</v>
      </c>
      <c r="C791" s="11" t="s">
        <v>96</v>
      </c>
      <c r="D791" s="11" t="s">
        <v>792</v>
      </c>
      <c r="E791" s="11" t="s">
        <v>966</v>
      </c>
      <c r="F791" s="11" t="s">
        <v>69</v>
      </c>
      <c r="G791" s="11" t="s">
        <v>137</v>
      </c>
      <c r="H791" s="11" t="n">
        <v>4170.82</v>
      </c>
      <c r="I791" s="11" t="n">
        <v>92957</v>
      </c>
      <c r="J791" s="11" t="n">
        <v>2181</v>
      </c>
      <c r="K791" s="11" t="n">
        <v>90</v>
      </c>
      <c r="L791" s="11" t="n">
        <v>58338.85</v>
      </c>
    </row>
    <row r="792" customFormat="false" ht="15" hidden="false" customHeight="true" outlineLevel="0" collapsed="false">
      <c r="A792" s="11" t="n">
        <v>1782</v>
      </c>
      <c r="B792" s="11" t="s">
        <v>70</v>
      </c>
      <c r="C792" s="11" t="s">
        <v>105</v>
      </c>
      <c r="D792" s="11" t="s">
        <v>881</v>
      </c>
      <c r="E792" s="11" t="s">
        <v>782</v>
      </c>
      <c r="F792" s="11" t="s">
        <v>53</v>
      </c>
      <c r="G792" s="11" t="s">
        <v>72</v>
      </c>
      <c r="H792" s="11" t="n">
        <v>41032.55</v>
      </c>
      <c r="I792" s="11" t="n">
        <v>624197</v>
      </c>
      <c r="J792" s="11" t="n">
        <v>13239</v>
      </c>
      <c r="K792" s="11" t="n">
        <v>588</v>
      </c>
      <c r="L792" s="11" t="n">
        <v>284507.81</v>
      </c>
    </row>
    <row r="793" customFormat="false" ht="15" hidden="false" customHeight="true" outlineLevel="0" collapsed="false">
      <c r="A793" s="11" t="n">
        <v>1180</v>
      </c>
      <c r="B793" s="11" t="s">
        <v>967</v>
      </c>
      <c r="C793" s="11" t="s">
        <v>63</v>
      </c>
      <c r="D793" s="11" t="s">
        <v>381</v>
      </c>
      <c r="E793" s="11" t="s">
        <v>732</v>
      </c>
      <c r="F793" s="11" t="s">
        <v>51</v>
      </c>
      <c r="G793" s="11" t="s">
        <v>175</v>
      </c>
      <c r="H793" s="11" t="n">
        <v>46615.24</v>
      </c>
      <c r="I793" s="11" t="n">
        <v>1493056</v>
      </c>
      <c r="J793" s="11" t="n">
        <v>18302</v>
      </c>
      <c r="K793" s="11" t="n">
        <v>809</v>
      </c>
      <c r="L793" s="11" t="n">
        <v>806451.63</v>
      </c>
    </row>
    <row r="794" customFormat="false" ht="15" hidden="false" customHeight="true" outlineLevel="0" collapsed="false">
      <c r="A794" s="11" t="n">
        <v>1155</v>
      </c>
      <c r="B794" s="11" t="s">
        <v>76</v>
      </c>
      <c r="C794" s="11" t="s">
        <v>192</v>
      </c>
      <c r="D794" s="11" t="s">
        <v>114</v>
      </c>
      <c r="E794" s="11" t="s">
        <v>968</v>
      </c>
      <c r="F794" s="11" t="s">
        <v>65</v>
      </c>
      <c r="G794" s="11" t="s">
        <v>61</v>
      </c>
      <c r="H794" s="11" t="n">
        <v>16793.27</v>
      </c>
      <c r="I794" s="11" t="n">
        <v>479256</v>
      </c>
      <c r="J794" s="11" t="n">
        <v>11539</v>
      </c>
      <c r="K794" s="11" t="n">
        <v>675</v>
      </c>
      <c r="L794" s="11" t="n">
        <v>245640.93</v>
      </c>
    </row>
    <row r="795" customFormat="false" ht="15" hidden="false" customHeight="true" outlineLevel="0" collapsed="false">
      <c r="A795" s="11" t="n">
        <v>1079</v>
      </c>
      <c r="B795" s="11" t="s">
        <v>76</v>
      </c>
      <c r="C795" s="11" t="s">
        <v>149</v>
      </c>
      <c r="D795" s="11" t="s">
        <v>734</v>
      </c>
      <c r="E795" s="11" t="s">
        <v>612</v>
      </c>
      <c r="F795" s="11" t="s">
        <v>56</v>
      </c>
      <c r="G795" s="11" t="s">
        <v>199</v>
      </c>
      <c r="H795" s="11" t="n">
        <v>29221.95</v>
      </c>
      <c r="I795" s="11" t="n">
        <v>519556</v>
      </c>
      <c r="J795" s="11" t="n">
        <v>7088</v>
      </c>
      <c r="K795" s="11" t="n">
        <v>220</v>
      </c>
      <c r="L795" s="11" t="n">
        <v>92232.07</v>
      </c>
    </row>
    <row r="796" customFormat="false" ht="15" hidden="false" customHeight="true" outlineLevel="0" collapsed="false">
      <c r="A796" s="11" t="n">
        <v>1787</v>
      </c>
      <c r="B796" s="11" t="s">
        <v>52</v>
      </c>
      <c r="C796" s="11" t="s">
        <v>47</v>
      </c>
      <c r="D796" s="11" t="s">
        <v>720</v>
      </c>
      <c r="E796" s="11" t="s">
        <v>309</v>
      </c>
      <c r="F796" s="11" t="s">
        <v>67</v>
      </c>
      <c r="G796" s="11"/>
      <c r="H796" s="11" t="n">
        <v>4244.53</v>
      </c>
      <c r="I796" s="11" t="n">
        <v>166231</v>
      </c>
      <c r="J796" s="11" t="n">
        <v>4739</v>
      </c>
      <c r="K796" s="11" t="n">
        <v>333</v>
      </c>
      <c r="L796" s="11" t="n">
        <v>333645.27</v>
      </c>
    </row>
    <row r="797" customFormat="false" ht="15" hidden="false" customHeight="true" outlineLevel="0" collapsed="false">
      <c r="A797" s="11" t="n">
        <v>1535</v>
      </c>
      <c r="B797" s="11" t="s">
        <v>184</v>
      </c>
      <c r="C797" s="11" t="s">
        <v>63</v>
      </c>
      <c r="D797" s="11" t="s">
        <v>771</v>
      </c>
      <c r="E797" s="11" t="s">
        <v>969</v>
      </c>
      <c r="F797" s="11" t="s">
        <v>65</v>
      </c>
      <c r="G797" s="11" t="s">
        <v>72</v>
      </c>
      <c r="H797" s="11" t="n">
        <v>36578.46</v>
      </c>
      <c r="I797" s="11" t="n">
        <v>617393</v>
      </c>
      <c r="J797" s="11" t="n">
        <v>12247</v>
      </c>
      <c r="K797" s="11" t="n">
        <v>304</v>
      </c>
      <c r="L797" s="11" t="n">
        <v>401955.94</v>
      </c>
    </row>
    <row r="798" customFormat="false" ht="15" hidden="false" customHeight="true" outlineLevel="0" collapsed="false">
      <c r="A798" s="11" t="n">
        <v>1503</v>
      </c>
      <c r="B798" s="11" t="s">
        <v>447</v>
      </c>
      <c r="C798" s="11" t="s">
        <v>100</v>
      </c>
      <c r="D798" s="11" t="s">
        <v>970</v>
      </c>
      <c r="E798" s="11" t="s">
        <v>450</v>
      </c>
      <c r="F798" s="11" t="s">
        <v>60</v>
      </c>
      <c r="G798" s="11" t="s">
        <v>108</v>
      </c>
      <c r="H798" s="11" t="n">
        <v>75250.44</v>
      </c>
      <c r="I798" s="11" t="n">
        <v>2345268</v>
      </c>
      <c r="J798" s="11" t="n">
        <v>25427</v>
      </c>
      <c r="K798" s="11" t="n">
        <v>447</v>
      </c>
      <c r="L798" s="11" t="n">
        <v>206881.63</v>
      </c>
    </row>
    <row r="799" customFormat="false" ht="15" hidden="false" customHeight="true" outlineLevel="0" collapsed="false">
      <c r="A799" s="11" t="n">
        <v>1295</v>
      </c>
      <c r="B799" s="11" t="s">
        <v>70</v>
      </c>
      <c r="C799" s="11" t="s">
        <v>81</v>
      </c>
      <c r="D799" s="11" t="s">
        <v>918</v>
      </c>
      <c r="E799" s="11" t="s">
        <v>517</v>
      </c>
      <c r="F799" s="11" t="s">
        <v>51</v>
      </c>
      <c r="G799" s="11" t="s">
        <v>61</v>
      </c>
      <c r="H799" s="11" t="n">
        <v>4240.36</v>
      </c>
      <c r="I799" s="11" t="n">
        <v>122449</v>
      </c>
      <c r="J799" s="11" t="n">
        <v>3631</v>
      </c>
      <c r="K799" s="11" t="n">
        <v>81</v>
      </c>
      <c r="L799" s="11" t="n">
        <v>140618.51</v>
      </c>
    </row>
    <row r="800" customFormat="false" ht="15" hidden="false" customHeight="true" outlineLevel="0" collapsed="false">
      <c r="A800" s="11" t="n">
        <v>1489</v>
      </c>
      <c r="B800" s="11" t="s">
        <v>144</v>
      </c>
      <c r="C800" s="11" t="s">
        <v>124</v>
      </c>
      <c r="D800" s="11" t="s">
        <v>267</v>
      </c>
      <c r="E800" s="11" t="s">
        <v>971</v>
      </c>
      <c r="F800" s="11" t="s">
        <v>48</v>
      </c>
      <c r="G800" s="11" t="s">
        <v>72</v>
      </c>
      <c r="H800" s="11"/>
      <c r="I800" s="11" t="n">
        <v>398534</v>
      </c>
      <c r="J800" s="11" t="n">
        <v>12733</v>
      </c>
      <c r="K800" s="11" t="n">
        <v>390</v>
      </c>
      <c r="L800" s="11" t="n">
        <v>693665.26</v>
      </c>
    </row>
    <row r="801" customFormat="false" ht="15" hidden="false" customHeight="true" outlineLevel="0" collapsed="false">
      <c r="A801" s="11" t="n">
        <v>1553</v>
      </c>
      <c r="B801" s="11" t="s">
        <v>80</v>
      </c>
      <c r="C801" s="11" t="s">
        <v>141</v>
      </c>
      <c r="D801" s="11" t="s">
        <v>972</v>
      </c>
      <c r="E801" s="11" t="s">
        <v>116</v>
      </c>
      <c r="F801" s="11" t="s">
        <v>65</v>
      </c>
      <c r="G801" s="11" t="s">
        <v>137</v>
      </c>
      <c r="H801" s="11" t="n">
        <v>3026.14</v>
      </c>
      <c r="I801" s="11" t="n">
        <v>52958</v>
      </c>
      <c r="J801" s="11" t="n">
        <v>1200</v>
      </c>
      <c r="K801" s="11" t="n">
        <v>42</v>
      </c>
      <c r="L801" s="11" t="n">
        <v>31458.54</v>
      </c>
    </row>
    <row r="802" customFormat="false" ht="15" hidden="false" customHeight="true" outlineLevel="0" collapsed="false">
      <c r="A802" s="11" t="n">
        <v>1591</v>
      </c>
      <c r="B802" s="11" t="s">
        <v>184</v>
      </c>
      <c r="C802" s="11" t="s">
        <v>50</v>
      </c>
      <c r="D802" s="11" t="s">
        <v>973</v>
      </c>
      <c r="E802" s="11" t="s">
        <v>695</v>
      </c>
      <c r="F802" s="11" t="s">
        <v>53</v>
      </c>
      <c r="G802" s="11" t="s">
        <v>61</v>
      </c>
      <c r="H802" s="11" t="n">
        <v>19045.07</v>
      </c>
      <c r="I802" s="11" t="n">
        <v>542673</v>
      </c>
      <c r="J802" s="11" t="n">
        <v>18184</v>
      </c>
      <c r="K802" s="11" t="n">
        <v>208</v>
      </c>
      <c r="L802" s="11" t="n">
        <v>187163.14</v>
      </c>
    </row>
    <row r="803" customFormat="false" ht="15" hidden="false" customHeight="true" outlineLevel="0" collapsed="false">
      <c r="A803" s="11" t="n">
        <v>1685</v>
      </c>
      <c r="B803" s="11" t="s">
        <v>52</v>
      </c>
      <c r="C803" s="11" t="s">
        <v>100</v>
      </c>
      <c r="D803" s="11" t="s">
        <v>706</v>
      </c>
      <c r="E803" s="11" t="s">
        <v>233</v>
      </c>
      <c r="F803" s="11" t="s">
        <v>53</v>
      </c>
      <c r="G803" s="11" t="s">
        <v>199</v>
      </c>
      <c r="H803" s="11" t="n">
        <v>46028.36</v>
      </c>
      <c r="I803" s="11" t="n">
        <v>875927</v>
      </c>
      <c r="J803" s="11" t="n">
        <v>9493</v>
      </c>
      <c r="K803" s="11" t="n">
        <v>746</v>
      </c>
      <c r="L803" s="11" t="n">
        <v>1098048.29</v>
      </c>
    </row>
    <row r="804" customFormat="false" ht="15" hidden="false" customHeight="true" outlineLevel="0" collapsed="false">
      <c r="A804" s="11" t="n">
        <v>1615</v>
      </c>
      <c r="B804" s="11" t="s">
        <v>78</v>
      </c>
      <c r="C804" s="11" t="s">
        <v>96</v>
      </c>
      <c r="D804" s="11" t="s">
        <v>974</v>
      </c>
      <c r="E804" s="11" t="s">
        <v>190</v>
      </c>
      <c r="F804" s="11" t="s">
        <v>67</v>
      </c>
      <c r="G804" s="11" t="s">
        <v>57</v>
      </c>
      <c r="H804" s="11" t="n">
        <v>1199.89</v>
      </c>
      <c r="I804" s="11" t="n">
        <v>33363</v>
      </c>
      <c r="J804" s="11" t="n">
        <v>1089</v>
      </c>
      <c r="K804" s="11" t="n">
        <v>78</v>
      </c>
      <c r="L804" s="11" t="n">
        <v>136468.15</v>
      </c>
    </row>
    <row r="805" customFormat="false" ht="15" hidden="false" customHeight="true" outlineLevel="0" collapsed="false">
      <c r="A805" s="11" t="n">
        <v>1152</v>
      </c>
      <c r="B805" s="11" t="s">
        <v>70</v>
      </c>
      <c r="C805" s="11" t="s">
        <v>50</v>
      </c>
      <c r="D805" s="11" t="s">
        <v>440</v>
      </c>
      <c r="E805" s="11" t="s">
        <v>873</v>
      </c>
      <c r="F805" s="11" t="s">
        <v>67</v>
      </c>
      <c r="G805" s="11" t="s">
        <v>108</v>
      </c>
      <c r="H805" s="11" t="n">
        <v>44730.33</v>
      </c>
      <c r="I805" s="11" t="n">
        <v>1242141</v>
      </c>
      <c r="J805" s="11" t="n">
        <v>8276</v>
      </c>
      <c r="K805" s="11" t="n">
        <v>580</v>
      </c>
      <c r="L805" s="11" t="n">
        <v>343347.25</v>
      </c>
    </row>
    <row r="806" customFormat="false" ht="15" hidden="false" customHeight="true" outlineLevel="0" collapsed="false">
      <c r="A806" s="11" t="n">
        <v>1559</v>
      </c>
      <c r="B806" s="11" t="s">
        <v>78</v>
      </c>
      <c r="C806" s="11" t="s">
        <v>124</v>
      </c>
      <c r="D806" s="11" t="s">
        <v>685</v>
      </c>
      <c r="E806" s="11" t="s">
        <v>916</v>
      </c>
      <c r="F806" s="11" t="s">
        <v>53</v>
      </c>
      <c r="G806" s="11" t="s">
        <v>209</v>
      </c>
      <c r="H806" s="11" t="n">
        <v>45958.81</v>
      </c>
      <c r="I806" s="11" t="n">
        <v>1736080</v>
      </c>
      <c r="J806" s="11" t="n">
        <v>42129</v>
      </c>
      <c r="K806" s="11" t="n">
        <v>1884</v>
      </c>
      <c r="L806" s="11" t="n">
        <v>2933358.27</v>
      </c>
    </row>
    <row r="807" customFormat="false" ht="15" hidden="false" customHeight="true" outlineLevel="0" collapsed="false">
      <c r="A807" s="11" t="n">
        <v>1088</v>
      </c>
      <c r="B807" s="11" t="s">
        <v>68</v>
      </c>
      <c r="C807" s="11" t="s">
        <v>50</v>
      </c>
      <c r="D807" s="11" t="s">
        <v>428</v>
      </c>
      <c r="E807" s="11" t="s">
        <v>975</v>
      </c>
      <c r="F807" s="11" t="s">
        <v>65</v>
      </c>
      <c r="G807" s="11" t="s">
        <v>137</v>
      </c>
      <c r="H807" s="11" t="n">
        <v>26571.53</v>
      </c>
      <c r="I807" s="11" t="n">
        <v>726745</v>
      </c>
      <c r="J807" s="11" t="n">
        <v>11502</v>
      </c>
      <c r="K807" s="11" t="n">
        <v>575</v>
      </c>
      <c r="L807" s="11" t="n">
        <v>590949.62</v>
      </c>
    </row>
    <row r="808" customFormat="false" ht="15" hidden="false" customHeight="true" outlineLevel="0" collapsed="false">
      <c r="A808" s="11" t="n">
        <v>1164</v>
      </c>
      <c r="B808" s="11" t="s">
        <v>73</v>
      </c>
      <c r="C808" s="11" t="s">
        <v>96</v>
      </c>
      <c r="D808" s="11" t="s">
        <v>763</v>
      </c>
      <c r="E808" s="11" t="s">
        <v>414</v>
      </c>
      <c r="F808" s="11" t="s">
        <v>48</v>
      </c>
      <c r="G808" s="11" t="s">
        <v>137</v>
      </c>
      <c r="H808" s="11" t="n">
        <v>5903.93</v>
      </c>
      <c r="I808" s="11" t="n">
        <v>228416</v>
      </c>
      <c r="J808" s="11" t="n">
        <v>5004</v>
      </c>
      <c r="K808" s="11" t="n">
        <v>247</v>
      </c>
      <c r="L808" s="11" t="n">
        <v>153865.89</v>
      </c>
    </row>
    <row r="809" customFormat="false" ht="15" hidden="false" customHeight="true" outlineLevel="0" collapsed="false">
      <c r="A809" s="11" t="n">
        <v>1268</v>
      </c>
      <c r="B809" s="11" t="s">
        <v>184</v>
      </c>
      <c r="C809" s="11" t="s">
        <v>59</v>
      </c>
      <c r="D809" s="11" t="s">
        <v>830</v>
      </c>
      <c r="E809" s="11" t="s">
        <v>724</v>
      </c>
      <c r="F809" s="11" t="s">
        <v>69</v>
      </c>
      <c r="G809" s="11" t="s">
        <v>112</v>
      </c>
      <c r="H809" s="11" t="n">
        <v>35348.28</v>
      </c>
      <c r="I809" s="11" t="n">
        <v>1283215</v>
      </c>
      <c r="J809" s="11" t="n">
        <v>31827</v>
      </c>
      <c r="K809" s="11" t="n">
        <v>2243</v>
      </c>
      <c r="L809" s="11" t="n">
        <v>847099.39</v>
      </c>
    </row>
    <row r="810" customFormat="false" ht="15" hidden="false" customHeight="true" outlineLevel="0" collapsed="false">
      <c r="A810" s="11" t="n">
        <v>1300</v>
      </c>
      <c r="B810" s="11" t="s">
        <v>58</v>
      </c>
      <c r="C810" s="11" t="s">
        <v>59</v>
      </c>
      <c r="D810" s="11" t="s">
        <v>584</v>
      </c>
      <c r="E810" s="11" t="s">
        <v>976</v>
      </c>
      <c r="F810" s="11" t="s">
        <v>48</v>
      </c>
      <c r="G810" s="11" t="s">
        <v>112</v>
      </c>
      <c r="H810" s="11" t="n">
        <v>51245.11</v>
      </c>
      <c r="I810" s="11" t="n">
        <v>1240872</v>
      </c>
      <c r="J810" s="11" t="n">
        <v>27805</v>
      </c>
      <c r="K810" s="11" t="n">
        <v>2149</v>
      </c>
      <c r="L810" s="11" t="n">
        <v>1001630.64</v>
      </c>
    </row>
    <row r="811" customFormat="false" ht="15" hidden="false" customHeight="true" outlineLevel="0" collapsed="false">
      <c r="A811" s="11" t="n">
        <v>1771</v>
      </c>
      <c r="B811" s="11" t="s">
        <v>184</v>
      </c>
      <c r="C811" s="11" t="s">
        <v>63</v>
      </c>
      <c r="D811" s="11" t="s">
        <v>177</v>
      </c>
      <c r="E811" s="11" t="s">
        <v>977</v>
      </c>
      <c r="F811" s="11" t="s">
        <v>60</v>
      </c>
      <c r="G811" s="11" t="s">
        <v>131</v>
      </c>
      <c r="H811" s="11" t="n">
        <v>47504.56</v>
      </c>
      <c r="I811" s="11" t="n">
        <v>1132907</v>
      </c>
      <c r="J811" s="11" t="n">
        <v>26244</v>
      </c>
      <c r="K811" s="11" t="n">
        <v>1582</v>
      </c>
      <c r="L811" s="11" t="n">
        <v>2272618.6</v>
      </c>
    </row>
    <row r="812" customFormat="false" ht="15" hidden="false" customHeight="true" outlineLevel="0" collapsed="false">
      <c r="A812" s="11" t="n">
        <v>1297</v>
      </c>
      <c r="B812" s="11" t="s">
        <v>55</v>
      </c>
      <c r="C812" s="11" t="s">
        <v>118</v>
      </c>
      <c r="D812" s="11" t="s">
        <v>978</v>
      </c>
      <c r="E812" s="11" t="s">
        <v>139</v>
      </c>
      <c r="F812" s="11" t="s">
        <v>60</v>
      </c>
      <c r="G812" s="11"/>
      <c r="H812" s="11" t="n">
        <v>35845.6</v>
      </c>
      <c r="I812" s="11" t="n">
        <v>1029561</v>
      </c>
      <c r="J812" s="11" t="n">
        <v>6788</v>
      </c>
      <c r="K812" s="11" t="n">
        <v>402</v>
      </c>
      <c r="L812" s="11" t="n">
        <v>619117.09</v>
      </c>
    </row>
    <row r="813" customFormat="false" ht="15" hidden="false" customHeight="true" outlineLevel="0" collapsed="false">
      <c r="A813" s="11" t="n">
        <v>1662</v>
      </c>
      <c r="B813" s="11" t="s">
        <v>180</v>
      </c>
      <c r="C813" s="11" t="s">
        <v>81</v>
      </c>
      <c r="D813" s="11" t="s">
        <v>605</v>
      </c>
      <c r="E813" s="11" t="s">
        <v>532</v>
      </c>
      <c r="F813" s="11" t="s">
        <v>67</v>
      </c>
      <c r="G813" s="11" t="s">
        <v>199</v>
      </c>
      <c r="H813" s="11" t="n">
        <v>4779.9</v>
      </c>
      <c r="I813" s="11" t="n">
        <v>186046</v>
      </c>
      <c r="J813" s="11" t="n">
        <v>4661</v>
      </c>
      <c r="K813" s="11" t="n">
        <v>78</v>
      </c>
      <c r="L813" s="11" t="n">
        <v>83035.87</v>
      </c>
    </row>
    <row r="814" customFormat="false" ht="15" hidden="false" customHeight="true" outlineLevel="0" collapsed="false">
      <c r="A814" s="11" t="n">
        <v>1517</v>
      </c>
      <c r="B814" s="11" t="s">
        <v>66</v>
      </c>
      <c r="C814" s="11" t="s">
        <v>155</v>
      </c>
      <c r="D814" s="11" t="s">
        <v>359</v>
      </c>
      <c r="E814" s="11" t="s">
        <v>546</v>
      </c>
      <c r="F814" s="11" t="s">
        <v>56</v>
      </c>
      <c r="G814" s="11" t="s">
        <v>175</v>
      </c>
      <c r="H814" s="11" t="n">
        <v>36377.1</v>
      </c>
      <c r="I814" s="11" t="n">
        <v>1145519</v>
      </c>
      <c r="J814" s="11" t="n">
        <v>29105</v>
      </c>
      <c r="K814" s="11" t="n">
        <v>1582</v>
      </c>
      <c r="L814" s="11" t="n">
        <v>2164230.27</v>
      </c>
    </row>
    <row r="815" customFormat="false" ht="15" hidden="false" customHeight="true" outlineLevel="0" collapsed="false">
      <c r="A815" s="11" t="n">
        <v>1814</v>
      </c>
      <c r="B815" s="11" t="s">
        <v>68</v>
      </c>
      <c r="C815" s="11" t="s">
        <v>96</v>
      </c>
      <c r="D815" s="11" t="s">
        <v>979</v>
      </c>
      <c r="E815" s="11" t="s">
        <v>688</v>
      </c>
      <c r="F815" s="11" t="s">
        <v>65</v>
      </c>
      <c r="G815" s="11" t="s">
        <v>172</v>
      </c>
      <c r="H815" s="11" t="n">
        <v>1620.97</v>
      </c>
      <c r="I815" s="11" t="n">
        <v>47935</v>
      </c>
      <c r="J815" s="11" t="n">
        <v>1569</v>
      </c>
      <c r="K815" s="11" t="n">
        <v>46</v>
      </c>
      <c r="L815" s="11" t="n">
        <v>44587.95</v>
      </c>
    </row>
    <row r="816" customFormat="false" ht="15" hidden="false" customHeight="true" outlineLevel="0" collapsed="false">
      <c r="A816" s="11" t="n">
        <v>1118</v>
      </c>
      <c r="B816" s="11" t="s">
        <v>64</v>
      </c>
      <c r="C816" s="11" t="s">
        <v>85</v>
      </c>
      <c r="D816" s="11" t="s">
        <v>980</v>
      </c>
      <c r="E816" s="11" t="s">
        <v>644</v>
      </c>
      <c r="F816" s="11" t="s">
        <v>51</v>
      </c>
      <c r="G816" s="11" t="s">
        <v>112</v>
      </c>
      <c r="H816" s="11" t="n">
        <v>42258.03</v>
      </c>
      <c r="I816" s="11" t="n">
        <v>1408008</v>
      </c>
      <c r="J816" s="11" t="n">
        <v>21916</v>
      </c>
      <c r="K816" s="11" t="n">
        <v>433</v>
      </c>
      <c r="L816" s="11" t="n">
        <v>494699.11</v>
      </c>
    </row>
    <row r="817" customFormat="false" ht="15" hidden="false" customHeight="true" outlineLevel="0" collapsed="false">
      <c r="A817" s="11" t="n">
        <v>1689</v>
      </c>
      <c r="B817" s="11" t="s">
        <v>188</v>
      </c>
      <c r="C817" s="11" t="s">
        <v>47</v>
      </c>
      <c r="D817" s="11" t="s">
        <v>610</v>
      </c>
      <c r="E817" s="11" t="s">
        <v>450</v>
      </c>
      <c r="F817" s="11" t="s">
        <v>53</v>
      </c>
      <c r="G817" s="11" t="s">
        <v>199</v>
      </c>
      <c r="H817" s="11" t="n">
        <v>5130.74</v>
      </c>
      <c r="I817" s="11" t="n">
        <v>98431</v>
      </c>
      <c r="J817" s="11" t="n">
        <v>786</v>
      </c>
      <c r="K817" s="11" t="n">
        <v>18</v>
      </c>
      <c r="L817" s="11" t="n">
        <v>10352.09</v>
      </c>
    </row>
    <row r="818" customFormat="false" ht="15" hidden="false" customHeight="true" outlineLevel="0" collapsed="false">
      <c r="A818" s="11" t="n">
        <v>1389</v>
      </c>
      <c r="B818" s="11" t="s">
        <v>68</v>
      </c>
      <c r="C818" s="11" t="s">
        <v>235</v>
      </c>
      <c r="D818" s="11" t="s">
        <v>530</v>
      </c>
      <c r="E818" s="11" t="s">
        <v>616</v>
      </c>
      <c r="F818" s="11" t="s">
        <v>65</v>
      </c>
      <c r="G818" s="11" t="s">
        <v>108</v>
      </c>
      <c r="H818" s="11" t="n">
        <v>39520.55</v>
      </c>
      <c r="I818" s="11" t="n">
        <v>818255</v>
      </c>
      <c r="J818" s="11" t="n">
        <v>23772</v>
      </c>
      <c r="K818" s="11" t="n">
        <v>925</v>
      </c>
      <c r="L818" s="11" t="n">
        <v>872736.12</v>
      </c>
    </row>
    <row r="819" customFormat="false" ht="15" hidden="false" customHeight="true" outlineLevel="0" collapsed="false">
      <c r="A819" s="11" t="n">
        <v>1321</v>
      </c>
      <c r="B819" s="11" t="s">
        <v>73</v>
      </c>
      <c r="C819" s="11" t="s">
        <v>149</v>
      </c>
      <c r="D819" s="11" t="s">
        <v>558</v>
      </c>
      <c r="E819" s="11" t="s">
        <v>559</v>
      </c>
      <c r="F819" s="11" t="s">
        <v>56</v>
      </c>
      <c r="G819" s="11" t="s">
        <v>49</v>
      </c>
      <c r="H819" s="11" t="n">
        <v>13834.67</v>
      </c>
      <c r="I819" s="11" t="n">
        <v>336696</v>
      </c>
      <c r="J819" s="11" t="n">
        <v>6307</v>
      </c>
      <c r="K819" s="11" t="n">
        <v>148</v>
      </c>
      <c r="L819" s="11" t="n">
        <v>128753.45</v>
      </c>
    </row>
    <row r="820" customFormat="false" ht="15" hidden="false" customHeight="true" outlineLevel="0" collapsed="false">
      <c r="A820" s="11" t="n">
        <v>1362</v>
      </c>
      <c r="B820" s="11" t="s">
        <v>184</v>
      </c>
      <c r="C820" s="11" t="s">
        <v>124</v>
      </c>
      <c r="D820" s="11" t="s">
        <v>981</v>
      </c>
      <c r="E820" s="11" t="s">
        <v>348</v>
      </c>
      <c r="F820" s="11" t="s">
        <v>65</v>
      </c>
      <c r="G820" s="11" t="s">
        <v>72</v>
      </c>
      <c r="H820" s="11" t="n">
        <v>55309.03</v>
      </c>
      <c r="I820" s="11" t="n">
        <v>1373012</v>
      </c>
      <c r="J820" s="11" t="n">
        <v>47148</v>
      </c>
      <c r="K820" s="11" t="n">
        <v>1314</v>
      </c>
      <c r="L820" s="11" t="n">
        <v>631853.95</v>
      </c>
    </row>
    <row r="821" customFormat="false" ht="15" hidden="false" customHeight="true" outlineLevel="0" collapsed="false">
      <c r="A821" s="11" t="n">
        <v>1154</v>
      </c>
      <c r="B821" s="11" t="s">
        <v>447</v>
      </c>
      <c r="C821" s="11" t="s">
        <v>235</v>
      </c>
      <c r="D821" s="11" t="s">
        <v>824</v>
      </c>
      <c r="E821" s="11" t="s">
        <v>446</v>
      </c>
      <c r="F821" s="11" t="s">
        <v>69</v>
      </c>
      <c r="G821" s="11" t="s">
        <v>57</v>
      </c>
      <c r="H821" s="11" t="n">
        <v>70622.26</v>
      </c>
      <c r="I821" s="11" t="n">
        <v>2425040</v>
      </c>
      <c r="J821" s="11" t="n">
        <v>34728</v>
      </c>
      <c r="K821" s="11" t="n">
        <v>557</v>
      </c>
      <c r="L821" s="11" t="n">
        <v>563841.05</v>
      </c>
    </row>
    <row r="822" customFormat="false" ht="15" hidden="false" customHeight="true" outlineLevel="0" collapsed="false">
      <c r="A822" s="11" t="n">
        <v>1737</v>
      </c>
      <c r="B822" s="11" t="s">
        <v>73</v>
      </c>
      <c r="C822" s="11" t="s">
        <v>63</v>
      </c>
      <c r="D822" s="11" t="s">
        <v>982</v>
      </c>
      <c r="E822" s="11" t="s">
        <v>437</v>
      </c>
      <c r="F822" s="11" t="s">
        <v>53</v>
      </c>
      <c r="G822" s="11" t="s">
        <v>172</v>
      </c>
      <c r="H822" s="11" t="n">
        <v>26030.76</v>
      </c>
      <c r="I822" s="11" t="n">
        <v>967329</v>
      </c>
      <c r="J822" s="11" t="n">
        <v>25003</v>
      </c>
      <c r="K822" s="11" t="n">
        <v>728</v>
      </c>
      <c r="L822" s="11" t="n">
        <v>278613.23</v>
      </c>
    </row>
    <row r="823" customFormat="false" ht="15" hidden="false" customHeight="true" outlineLevel="0" collapsed="false">
      <c r="A823" s="11" t="n">
        <v>1027</v>
      </c>
      <c r="B823" s="11" t="s">
        <v>73</v>
      </c>
      <c r="C823" s="11" t="s">
        <v>235</v>
      </c>
      <c r="D823" s="11" t="s">
        <v>891</v>
      </c>
      <c r="E823" s="11" t="s">
        <v>848</v>
      </c>
      <c r="F823" s="11" t="s">
        <v>65</v>
      </c>
      <c r="G823" s="11" t="s">
        <v>103</v>
      </c>
      <c r="H823" s="11" t="n">
        <v>33161.7</v>
      </c>
      <c r="I823" s="11" t="n">
        <v>883696</v>
      </c>
      <c r="J823" s="11" t="n">
        <v>6069</v>
      </c>
      <c r="K823" s="11" t="n">
        <v>414</v>
      </c>
      <c r="L823" s="11" t="n">
        <v>378702.93</v>
      </c>
    </row>
    <row r="824" customFormat="false" ht="15" hidden="false" customHeight="true" outlineLevel="0" collapsed="false">
      <c r="A824" s="11" t="n">
        <v>1620</v>
      </c>
      <c r="B824" s="11" t="s">
        <v>64</v>
      </c>
      <c r="C824" s="11" t="s">
        <v>185</v>
      </c>
      <c r="D824" s="11" t="s">
        <v>145</v>
      </c>
      <c r="E824" s="11" t="s">
        <v>459</v>
      </c>
      <c r="F824" s="11" t="s">
        <v>53</v>
      </c>
      <c r="G824" s="11" t="s">
        <v>57</v>
      </c>
      <c r="H824" s="11" t="n">
        <v>13273.07</v>
      </c>
      <c r="I824" s="11" t="n">
        <v>485285</v>
      </c>
      <c r="J824" s="11" t="n">
        <v>14124</v>
      </c>
      <c r="K824" s="11" t="n">
        <v>153</v>
      </c>
      <c r="L824" s="11" t="n">
        <v>124325.87</v>
      </c>
    </row>
    <row r="825" customFormat="false" ht="15" hidden="false" customHeight="true" outlineLevel="0" collapsed="false">
      <c r="A825" s="11" t="n">
        <v>1767</v>
      </c>
      <c r="B825" s="11" t="s">
        <v>58</v>
      </c>
      <c r="C825" s="11" t="s">
        <v>100</v>
      </c>
      <c r="D825" s="11" t="s">
        <v>565</v>
      </c>
      <c r="E825" s="11" t="s">
        <v>975</v>
      </c>
      <c r="F825" s="11" t="s">
        <v>65</v>
      </c>
      <c r="G825" s="11" t="s">
        <v>172</v>
      </c>
      <c r="H825" s="11" t="n">
        <v>21928.26</v>
      </c>
      <c r="I825" s="11" t="n">
        <v>710098</v>
      </c>
      <c r="J825" s="11" t="n">
        <v>4617</v>
      </c>
      <c r="K825" s="11" t="n">
        <v>71</v>
      </c>
      <c r="L825" s="11" t="n">
        <v>120800.44</v>
      </c>
    </row>
    <row r="826" customFormat="false" ht="15" hidden="false" customHeight="true" outlineLevel="0" collapsed="false">
      <c r="A826" s="11" t="n">
        <v>1646</v>
      </c>
      <c r="B826" s="11" t="s">
        <v>184</v>
      </c>
      <c r="C826" s="11" t="s">
        <v>328</v>
      </c>
      <c r="D826" s="11" t="s">
        <v>190</v>
      </c>
      <c r="E826" s="11" t="s">
        <v>677</v>
      </c>
      <c r="F826" s="11" t="s">
        <v>67</v>
      </c>
      <c r="G826" s="11" t="s">
        <v>183</v>
      </c>
      <c r="H826" s="11" t="n">
        <v>35563.04</v>
      </c>
      <c r="I826" s="11" t="n">
        <v>821297</v>
      </c>
      <c r="J826" s="11" t="n">
        <v>8834</v>
      </c>
      <c r="K826" s="11" t="n">
        <v>333</v>
      </c>
      <c r="L826" s="11" t="n">
        <v>199492.67</v>
      </c>
    </row>
    <row r="827" customFormat="false" ht="15" hidden="false" customHeight="true" outlineLevel="0" collapsed="false">
      <c r="A827" s="11" t="n">
        <v>1807</v>
      </c>
      <c r="B827" s="11" t="s">
        <v>76</v>
      </c>
      <c r="C827" s="11" t="s">
        <v>149</v>
      </c>
      <c r="D827" s="11" t="s">
        <v>781</v>
      </c>
      <c r="E827" s="11" t="s">
        <v>292</v>
      </c>
      <c r="F827" s="11" t="s">
        <v>56</v>
      </c>
      <c r="G827" s="11" t="s">
        <v>72</v>
      </c>
      <c r="H827" s="11" t="n">
        <v>38926.27</v>
      </c>
      <c r="I827" s="11" t="n">
        <v>1094102</v>
      </c>
      <c r="J827" s="11" t="n">
        <v>12161</v>
      </c>
      <c r="K827" s="11" t="n">
        <v>215</v>
      </c>
      <c r="L827" s="11" t="n">
        <v>164787.7</v>
      </c>
    </row>
    <row r="828" customFormat="false" ht="15" hidden="false" customHeight="true" outlineLevel="0" collapsed="false">
      <c r="A828" s="11" t="n">
        <v>1059</v>
      </c>
      <c r="B828" s="11" t="s">
        <v>423</v>
      </c>
      <c r="C828" s="11" t="s">
        <v>124</v>
      </c>
      <c r="D828" s="11" t="s">
        <v>821</v>
      </c>
      <c r="E828" s="11" t="s">
        <v>983</v>
      </c>
      <c r="F828" s="11" t="s">
        <v>51</v>
      </c>
      <c r="G828" s="11" t="s">
        <v>57</v>
      </c>
      <c r="H828" s="11" t="n">
        <v>34688.37</v>
      </c>
      <c r="I828" s="11" t="n">
        <v>614898</v>
      </c>
      <c r="J828" s="11" t="n">
        <v>12368</v>
      </c>
      <c r="K828" s="11" t="n">
        <v>942</v>
      </c>
      <c r="L828" s="11" t="n">
        <v>388932.3</v>
      </c>
    </row>
    <row r="829" customFormat="false" ht="15" hidden="false" customHeight="true" outlineLevel="0" collapsed="false">
      <c r="A829" s="11" t="n">
        <v>1381</v>
      </c>
      <c r="B829" s="11" t="s">
        <v>229</v>
      </c>
      <c r="C829" s="11" t="s">
        <v>96</v>
      </c>
      <c r="D829" s="11" t="s">
        <v>578</v>
      </c>
      <c r="E829" s="11" t="s">
        <v>984</v>
      </c>
      <c r="F829" s="11" t="s">
        <v>65</v>
      </c>
      <c r="G829" s="11" t="s">
        <v>54</v>
      </c>
      <c r="H829" s="11" t="n">
        <v>5540.36</v>
      </c>
      <c r="I829" s="11" t="n">
        <v>173100</v>
      </c>
      <c r="J829" s="11" t="n">
        <v>3128</v>
      </c>
      <c r="K829" s="11" t="n">
        <v>168</v>
      </c>
      <c r="L829" s="11" t="n">
        <v>251246.81</v>
      </c>
    </row>
    <row r="830" customFormat="false" ht="15" hidden="false" customHeight="true" outlineLevel="0" collapsed="false">
      <c r="A830" s="11" t="n">
        <v>1664</v>
      </c>
      <c r="B830" s="11" t="s">
        <v>52</v>
      </c>
      <c r="C830" s="11" t="s">
        <v>85</v>
      </c>
      <c r="D830" s="11" t="s">
        <v>364</v>
      </c>
      <c r="E830" s="11" t="s">
        <v>985</v>
      </c>
      <c r="F830" s="11" t="s">
        <v>60</v>
      </c>
      <c r="G830" s="11" t="s">
        <v>57</v>
      </c>
      <c r="H830" s="11"/>
      <c r="I830" s="11" t="n">
        <v>1206637</v>
      </c>
      <c r="J830" s="11" t="n">
        <v>29006</v>
      </c>
      <c r="K830" s="11" t="n">
        <v>1986</v>
      </c>
      <c r="L830" s="11" t="n">
        <v>1379977.12</v>
      </c>
    </row>
    <row r="831" customFormat="false" ht="15" hidden="false" customHeight="true" outlineLevel="0" collapsed="false">
      <c r="A831" s="11" t="n">
        <v>1552</v>
      </c>
      <c r="B831" s="11" t="s">
        <v>79</v>
      </c>
      <c r="C831" s="11" t="s">
        <v>59</v>
      </c>
      <c r="D831" s="11" t="s">
        <v>463</v>
      </c>
      <c r="E831" s="11" t="s">
        <v>986</v>
      </c>
      <c r="F831" s="11" t="s">
        <v>53</v>
      </c>
      <c r="G831" s="11" t="s">
        <v>183</v>
      </c>
      <c r="H831" s="11" t="n">
        <v>88702.22</v>
      </c>
      <c r="I831" s="11" t="n">
        <v>3149529</v>
      </c>
      <c r="J831" s="11" t="n">
        <v>95278</v>
      </c>
      <c r="K831" s="11" t="n">
        <v>4599</v>
      </c>
      <c r="L831" s="11" t="n">
        <v>7089107.23</v>
      </c>
    </row>
    <row r="832" customFormat="false" ht="15" hidden="false" customHeight="true" outlineLevel="0" collapsed="false">
      <c r="A832" s="11" t="n">
        <v>1803</v>
      </c>
      <c r="B832" s="11" t="s">
        <v>76</v>
      </c>
      <c r="C832" s="11" t="s">
        <v>71</v>
      </c>
      <c r="D832" s="11" t="s">
        <v>231</v>
      </c>
      <c r="E832" s="11" t="s">
        <v>224</v>
      </c>
      <c r="F832" s="11" t="s">
        <v>60</v>
      </c>
      <c r="G832" s="11" t="s">
        <v>61</v>
      </c>
      <c r="H832" s="11" t="n">
        <v>53503.78</v>
      </c>
      <c r="I832" s="11" t="n">
        <v>1573935</v>
      </c>
      <c r="J832" s="11" t="n">
        <v>42331</v>
      </c>
      <c r="K832" s="11" t="n">
        <v>2917</v>
      </c>
      <c r="L832" s="11" t="n">
        <v>3104698.95</v>
      </c>
    </row>
    <row r="833" customFormat="false" ht="15" hidden="false" customHeight="true" outlineLevel="0" collapsed="false">
      <c r="A833" s="11" t="n">
        <v>1450</v>
      </c>
      <c r="B833" s="11" t="s">
        <v>55</v>
      </c>
      <c r="C833" s="11" t="s">
        <v>149</v>
      </c>
      <c r="D833" s="11" t="s">
        <v>177</v>
      </c>
      <c r="E833" s="11" t="s">
        <v>987</v>
      </c>
      <c r="F833" s="11" t="s">
        <v>60</v>
      </c>
      <c r="G833" s="11" t="s">
        <v>49</v>
      </c>
      <c r="H833" s="11" t="n">
        <v>18686.97</v>
      </c>
      <c r="I833" s="11" t="n">
        <v>481633</v>
      </c>
      <c r="J833" s="11" t="n">
        <v>4956</v>
      </c>
      <c r="K833" s="11" t="n">
        <v>114</v>
      </c>
      <c r="L833" s="11" t="n">
        <v>62105.09</v>
      </c>
    </row>
    <row r="834" customFormat="false" ht="15" hidden="false" customHeight="true" outlineLevel="0" collapsed="false">
      <c r="A834" s="11" t="n">
        <v>1101</v>
      </c>
      <c r="B834" s="11" t="s">
        <v>66</v>
      </c>
      <c r="C834" s="11" t="s">
        <v>235</v>
      </c>
      <c r="D834" s="11" t="s">
        <v>500</v>
      </c>
      <c r="E834" s="11" t="s">
        <v>766</v>
      </c>
      <c r="F834" s="11" t="s">
        <v>56</v>
      </c>
      <c r="G834" s="11" t="s">
        <v>108</v>
      </c>
      <c r="H834" s="11" t="n">
        <v>76871.96</v>
      </c>
      <c r="I834" s="11" t="n">
        <v>1304958</v>
      </c>
      <c r="J834" s="11" t="n">
        <v>42698</v>
      </c>
      <c r="K834" s="11" t="n">
        <v>2387</v>
      </c>
      <c r="L834" s="11" t="n">
        <v>3422100.65</v>
      </c>
    </row>
    <row r="835" customFormat="false" ht="15" hidden="false" customHeight="true" outlineLevel="0" collapsed="false">
      <c r="A835" s="11" t="n">
        <v>1681</v>
      </c>
      <c r="B835" s="11" t="s">
        <v>79</v>
      </c>
      <c r="C835" s="11" t="s">
        <v>100</v>
      </c>
      <c r="D835" s="11" t="s">
        <v>435</v>
      </c>
      <c r="E835" s="11" t="s">
        <v>536</v>
      </c>
      <c r="F835" s="11" t="s">
        <v>60</v>
      </c>
      <c r="G835" s="11" t="s">
        <v>183</v>
      </c>
      <c r="H835" s="11" t="n">
        <v>75256.96</v>
      </c>
      <c r="I835" s="11" t="n">
        <v>1624717</v>
      </c>
      <c r="J835" s="11" t="n">
        <v>26169</v>
      </c>
      <c r="K835" s="11" t="n">
        <v>1910</v>
      </c>
      <c r="L835" s="11" t="n">
        <v>3263305.96</v>
      </c>
    </row>
    <row r="836" customFormat="false" ht="15" hidden="false" customHeight="true" outlineLevel="0" collapsed="false">
      <c r="A836" s="11" t="n">
        <v>1493</v>
      </c>
      <c r="B836" s="11" t="s">
        <v>290</v>
      </c>
      <c r="C836" s="11" t="s">
        <v>105</v>
      </c>
      <c r="D836" s="11" t="s">
        <v>885</v>
      </c>
      <c r="E836" s="11" t="s">
        <v>988</v>
      </c>
      <c r="F836" s="11" t="s">
        <v>48</v>
      </c>
      <c r="G836" s="11" t="s">
        <v>91</v>
      </c>
      <c r="H836" s="11" t="n">
        <v>27138.72</v>
      </c>
      <c r="I836" s="11" t="n">
        <v>788957</v>
      </c>
      <c r="J836" s="11" t="n">
        <v>14461</v>
      </c>
      <c r="K836" s="11" t="n">
        <v>309</v>
      </c>
      <c r="L836" s="11" t="n">
        <v>256793.42</v>
      </c>
    </row>
    <row r="837" customFormat="false" ht="15" hidden="false" customHeight="true" outlineLevel="0" collapsed="false">
      <c r="A837" s="11" t="n">
        <v>1195</v>
      </c>
      <c r="B837" s="11" t="s">
        <v>73</v>
      </c>
      <c r="C837" s="11" t="s">
        <v>155</v>
      </c>
      <c r="D837" s="11" t="s">
        <v>989</v>
      </c>
      <c r="E837" s="11" t="s">
        <v>708</v>
      </c>
      <c r="F837" s="11" t="s">
        <v>60</v>
      </c>
      <c r="G837" s="11" t="s">
        <v>175</v>
      </c>
      <c r="H837" s="11" t="n">
        <v>66742.68</v>
      </c>
      <c r="I837" s="11" t="n">
        <v>1799124</v>
      </c>
      <c r="J837" s="11" t="n">
        <v>31758</v>
      </c>
      <c r="K837" s="11" t="n">
        <v>2287</v>
      </c>
      <c r="L837" s="11" t="n">
        <v>1353513.28</v>
      </c>
    </row>
    <row r="838" customFormat="false" ht="15" hidden="false" customHeight="true" outlineLevel="0" collapsed="false">
      <c r="A838" s="11" t="n">
        <v>1705</v>
      </c>
      <c r="B838" s="11" t="s">
        <v>46</v>
      </c>
      <c r="C838" s="11" t="s">
        <v>192</v>
      </c>
      <c r="D838" s="11" t="s">
        <v>990</v>
      </c>
      <c r="E838" s="11" t="s">
        <v>934</v>
      </c>
      <c r="F838" s="11" t="s">
        <v>65</v>
      </c>
      <c r="G838" s="11"/>
      <c r="H838" s="11" t="n">
        <v>27925.56</v>
      </c>
      <c r="I838" s="11" t="n">
        <v>1105595</v>
      </c>
      <c r="J838" s="11" t="n">
        <v>28103</v>
      </c>
      <c r="K838" s="11" t="n">
        <v>1794</v>
      </c>
      <c r="L838" s="11" t="n">
        <v>2295952.78</v>
      </c>
    </row>
    <row r="839" customFormat="false" ht="15" hidden="false" customHeight="true" outlineLevel="0" collapsed="false">
      <c r="A839" s="11" t="n">
        <v>1085</v>
      </c>
      <c r="B839" s="11" t="s">
        <v>184</v>
      </c>
      <c r="C839" s="11" t="s">
        <v>210</v>
      </c>
      <c r="D839" s="11" t="s">
        <v>519</v>
      </c>
      <c r="E839" s="11" t="s">
        <v>346</v>
      </c>
      <c r="F839" s="11" t="s">
        <v>60</v>
      </c>
      <c r="G839" s="11" t="s">
        <v>54</v>
      </c>
      <c r="H839" s="11" t="n">
        <v>65955.8</v>
      </c>
      <c r="I839" s="11" t="n">
        <v>2560386</v>
      </c>
      <c r="J839" s="11" t="n">
        <v>23769</v>
      </c>
      <c r="K839" s="11" t="n">
        <v>1248</v>
      </c>
      <c r="L83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20"/>
  </cols>
  <sheetData>
    <row r="1" customFormat="false" ht="15" hidden="false" customHeight="true" outlineLevel="0" collapsed="false">
      <c r="A1" s="5" t="s">
        <v>991</v>
      </c>
      <c r="B1" s="5" t="s">
        <v>992</v>
      </c>
      <c r="C1" s="5" t="s">
        <v>993</v>
      </c>
      <c r="D1" s="5"/>
      <c r="E1" s="5" t="s">
        <v>994</v>
      </c>
      <c r="F1" s="5" t="s">
        <v>995</v>
      </c>
      <c r="G1" s="5" t="s">
        <v>993</v>
      </c>
    </row>
    <row r="2" customFormat="false" ht="15" hidden="false" customHeight="true" outlineLevel="0" collapsed="false">
      <c r="A2" s="11" t="s">
        <v>185</v>
      </c>
      <c r="B2" s="11" t="s">
        <v>71</v>
      </c>
      <c r="C2" s="11" t="str">
        <f aca="false">UPPER(TRIM(A2))</f>
        <v>INSTAGRAM</v>
      </c>
      <c r="D2" s="11"/>
      <c r="E2" s="11" t="s">
        <v>91</v>
      </c>
      <c r="F2" s="11" t="s">
        <v>54</v>
      </c>
      <c r="G2" s="11" t="str">
        <f aca="false">UPPER(TRIM(E2))</f>
        <v>NORT</v>
      </c>
    </row>
    <row r="3" customFormat="false" ht="15" hidden="false" customHeight="true" outlineLevel="0" collapsed="false">
      <c r="A3" s="11" t="s">
        <v>121</v>
      </c>
      <c r="B3" s="11" t="s">
        <v>71</v>
      </c>
      <c r="C3" s="11" t="str">
        <f aca="false">UPPER(TRIM(A3))</f>
        <v>INSTAGRAM</v>
      </c>
      <c r="D3" s="11"/>
      <c r="E3" s="11" t="s">
        <v>199</v>
      </c>
      <c r="F3" s="11" t="s">
        <v>54</v>
      </c>
      <c r="G3" s="11" t="str">
        <f aca="false">UPPER(TRIM(E3))</f>
        <v>NORTH</v>
      </c>
    </row>
    <row r="4" customFormat="false" ht="15" hidden="false" customHeight="true" outlineLevel="0" collapsed="false">
      <c r="A4" s="11" t="s">
        <v>71</v>
      </c>
      <c r="B4" s="11" t="s">
        <v>71</v>
      </c>
      <c r="C4" s="11" t="str">
        <f aca="false">UPPER(TRIM(A4))</f>
        <v>INSTAGRAM</v>
      </c>
      <c r="D4" s="11"/>
      <c r="E4" s="11" t="s">
        <v>226</v>
      </c>
      <c r="F4" s="11" t="s">
        <v>54</v>
      </c>
      <c r="G4" s="11" t="str">
        <f aca="false">UPPER(TRIM(E4))</f>
        <v>NORTH</v>
      </c>
    </row>
    <row r="5" customFormat="false" ht="15" hidden="false" customHeight="true" outlineLevel="0" collapsed="false">
      <c r="A5" s="11" t="s">
        <v>134</v>
      </c>
      <c r="B5" s="11" t="s">
        <v>71</v>
      </c>
      <c r="C5" s="11" t="str">
        <f aca="false">UPPER(TRIM(A5))</f>
        <v>INSTA</v>
      </c>
      <c r="D5" s="11"/>
      <c r="E5" s="11" t="s">
        <v>172</v>
      </c>
      <c r="F5" s="11" t="s">
        <v>54</v>
      </c>
      <c r="G5" s="11" t="str">
        <f aca="false">UPPER(TRIM(E5))</f>
        <v>NORTH</v>
      </c>
    </row>
    <row r="6" customFormat="false" ht="15" hidden="false" customHeight="true" outlineLevel="0" collapsed="false">
      <c r="A6" s="11" t="s">
        <v>124</v>
      </c>
      <c r="B6" s="11" t="s">
        <v>71</v>
      </c>
      <c r="C6" s="11" t="str">
        <f aca="false">UPPER(TRIM(A6))</f>
        <v>INSTAGRAM</v>
      </c>
      <c r="D6" s="11"/>
      <c r="E6" s="11" t="s">
        <v>54</v>
      </c>
      <c r="F6" s="11" t="s">
        <v>54</v>
      </c>
      <c r="G6" s="11" t="str">
        <f aca="false">UPPER(TRIM(E6))</f>
        <v>NORTH</v>
      </c>
    </row>
    <row r="7" customFormat="false" ht="15" hidden="false" customHeight="true" outlineLevel="0" collapsed="false">
      <c r="A7" s="11" t="s">
        <v>105</v>
      </c>
      <c r="B7" s="11" t="s">
        <v>63</v>
      </c>
      <c r="C7" s="11" t="str">
        <f aca="false">UPPER(TRIM(A7))</f>
        <v>FB</v>
      </c>
      <c r="D7" s="11"/>
      <c r="E7" s="11" t="s">
        <v>103</v>
      </c>
      <c r="F7" s="11" t="s">
        <v>61</v>
      </c>
      <c r="G7" s="11" t="str">
        <f aca="false">UPPER(TRIM(E7))</f>
        <v>SOUTH</v>
      </c>
    </row>
    <row r="8" customFormat="false" ht="15" hidden="false" customHeight="true" outlineLevel="0" collapsed="false">
      <c r="A8" s="11" t="s">
        <v>63</v>
      </c>
      <c r="B8" s="11" t="s">
        <v>63</v>
      </c>
      <c r="C8" s="11" t="str">
        <f aca="false">UPPER(TRIM(A8))</f>
        <v>FACEBOOK</v>
      </c>
      <c r="D8" s="11"/>
      <c r="E8" s="11" t="s">
        <v>137</v>
      </c>
      <c r="F8" s="11" t="s">
        <v>61</v>
      </c>
      <c r="G8" s="11" t="str">
        <f aca="false">UPPER(TRIM(E8))</f>
        <v>SOUTH</v>
      </c>
    </row>
    <row r="9" customFormat="false" ht="15" hidden="false" customHeight="true" outlineLevel="0" collapsed="false">
      <c r="A9" s="11" t="s">
        <v>138</v>
      </c>
      <c r="B9" s="11" t="s">
        <v>63</v>
      </c>
      <c r="C9" s="11" t="str">
        <f aca="false">UPPER(TRIM(A9))</f>
        <v>FACEBOOK</v>
      </c>
      <c r="D9" s="11"/>
      <c r="E9" s="11" t="s">
        <v>61</v>
      </c>
      <c r="F9" s="11" t="s">
        <v>61</v>
      </c>
      <c r="G9" s="11" t="str">
        <f aca="false">UPPER(TRIM(E9))</f>
        <v>SOUTH</v>
      </c>
    </row>
    <row r="10" customFormat="false" ht="15" hidden="false" customHeight="true" outlineLevel="0" collapsed="false">
      <c r="A10" s="11" t="s">
        <v>149</v>
      </c>
      <c r="B10" s="11" t="s">
        <v>63</v>
      </c>
      <c r="C10" s="11" t="str">
        <f aca="false">UPPER(TRIM(A10))</f>
        <v>FACEBOOK</v>
      </c>
      <c r="D10" s="11"/>
      <c r="E10" s="11" t="s">
        <v>238</v>
      </c>
      <c r="F10" s="11" t="s">
        <v>61</v>
      </c>
      <c r="G10" s="11" t="str">
        <f aca="false">UPPER(TRIM(E10))</f>
        <v>SOUTH</v>
      </c>
    </row>
    <row r="11" customFormat="false" ht="15" hidden="false" customHeight="true" outlineLevel="0" collapsed="false">
      <c r="A11" s="11" t="s">
        <v>328</v>
      </c>
      <c r="B11" s="11" t="s">
        <v>63</v>
      </c>
      <c r="C11" s="11" t="str">
        <f aca="false">UPPER(TRIM(A11))</f>
        <v>FACEBOOK</v>
      </c>
      <c r="D11" s="11"/>
      <c r="E11" s="11" t="s">
        <v>209</v>
      </c>
      <c r="F11" s="11" t="s">
        <v>72</v>
      </c>
      <c r="G11" s="11" t="str">
        <f aca="false">UPPER(TRIM(E11))</f>
        <v>EAST</v>
      </c>
    </row>
    <row r="12" customFormat="false" ht="15" hidden="false" customHeight="true" outlineLevel="0" collapsed="false">
      <c r="A12" s="11" t="s">
        <v>118</v>
      </c>
      <c r="B12" s="11" t="s">
        <v>50</v>
      </c>
      <c r="C12" s="11" t="str">
        <f aca="false">UPPER(TRIM(A12))</f>
        <v>GOOGLE ADS</v>
      </c>
      <c r="D12" s="11"/>
      <c r="E12" s="11" t="s">
        <v>163</v>
      </c>
      <c r="F12" s="11" t="s">
        <v>72</v>
      </c>
      <c r="G12" s="11" t="str">
        <f aca="false">UPPER(TRIM(E12))</f>
        <v>EAST</v>
      </c>
    </row>
    <row r="13" customFormat="false" ht="15" hidden="false" customHeight="true" outlineLevel="0" collapsed="false">
      <c r="A13" s="11" t="s">
        <v>85</v>
      </c>
      <c r="B13" s="11" t="s">
        <v>50</v>
      </c>
      <c r="C13" s="11" t="str">
        <f aca="false">UPPER(TRIM(A13))</f>
        <v>GOOGLE ADS</v>
      </c>
      <c r="D13" s="11"/>
      <c r="E13" s="11" t="s">
        <v>175</v>
      </c>
      <c r="F13" s="11" t="s">
        <v>72</v>
      </c>
      <c r="G13" s="11" t="str">
        <f aca="false">UPPER(TRIM(E13))</f>
        <v>EAST</v>
      </c>
    </row>
    <row r="14" customFormat="false" ht="15" hidden="false" customHeight="true" outlineLevel="0" collapsed="false">
      <c r="A14" s="11" t="s">
        <v>235</v>
      </c>
      <c r="B14" s="11" t="s">
        <v>50</v>
      </c>
      <c r="C14" s="11" t="str">
        <f aca="false">UPPER(TRIM(A14))</f>
        <v>GOOGLE ADS</v>
      </c>
      <c r="D14" s="11"/>
      <c r="E14" s="11" t="s">
        <v>72</v>
      </c>
      <c r="F14" s="11" t="s">
        <v>72</v>
      </c>
      <c r="G14" s="11" t="str">
        <f aca="false">UPPER(TRIM(E14))</f>
        <v>EAST</v>
      </c>
    </row>
    <row r="15" customFormat="false" ht="15" hidden="false" customHeight="true" outlineLevel="0" collapsed="false">
      <c r="A15" s="11" t="s">
        <v>50</v>
      </c>
      <c r="B15" s="11" t="s">
        <v>50</v>
      </c>
      <c r="C15" s="11" t="str">
        <f aca="false">UPPER(TRIM(A15))</f>
        <v>GOOGLE ADS</v>
      </c>
      <c r="D15" s="11"/>
      <c r="E15" s="11" t="s">
        <v>84</v>
      </c>
      <c r="F15" s="11" t="s">
        <v>49</v>
      </c>
      <c r="G15" s="11" t="str">
        <f aca="false">UPPER(TRIM(E15))</f>
        <v>WEST</v>
      </c>
    </row>
    <row r="16" customFormat="false" ht="15" hidden="false" customHeight="true" outlineLevel="0" collapsed="false">
      <c r="A16" s="11" t="s">
        <v>115</v>
      </c>
      <c r="B16" s="11" t="s">
        <v>50</v>
      </c>
      <c r="C16" s="11" t="str">
        <f aca="false">UPPER(TRIM(A16))</f>
        <v>GOOGLEADS</v>
      </c>
      <c r="D16" s="11"/>
      <c r="E16" s="11" t="s">
        <v>131</v>
      </c>
      <c r="F16" s="11" t="s">
        <v>49</v>
      </c>
      <c r="G16" s="11" t="str">
        <f aca="false">UPPER(TRIM(E16))</f>
        <v>WST</v>
      </c>
    </row>
    <row r="17" customFormat="false" ht="15" hidden="false" customHeight="true" outlineLevel="0" collapsed="false">
      <c r="A17" s="11" t="s">
        <v>141</v>
      </c>
      <c r="B17" s="11" t="s">
        <v>47</v>
      </c>
      <c r="C17" s="11" t="str">
        <f aca="false">UPPER(TRIM(A17))</f>
        <v>EMAIL</v>
      </c>
      <c r="D17" s="11"/>
      <c r="E17" s="11" t="s">
        <v>108</v>
      </c>
      <c r="F17" s="11" t="s">
        <v>49</v>
      </c>
      <c r="G17" s="11" t="str">
        <f aca="false">UPPER(TRIM(E17))</f>
        <v>WEST</v>
      </c>
    </row>
    <row r="18" customFormat="false" ht="15" hidden="false" customHeight="true" outlineLevel="0" collapsed="false">
      <c r="A18" s="11" t="s">
        <v>81</v>
      </c>
      <c r="B18" s="11" t="s">
        <v>47</v>
      </c>
      <c r="C18" s="11" t="str">
        <f aca="false">UPPER(TRIM(A18))</f>
        <v>E-MAIL</v>
      </c>
      <c r="D18" s="11"/>
      <c r="E18" s="11" t="s">
        <v>49</v>
      </c>
      <c r="F18" s="11" t="s">
        <v>49</v>
      </c>
      <c r="G18" s="11" t="str">
        <f aca="false">UPPER(TRIM(E18))</f>
        <v>WEST</v>
      </c>
    </row>
    <row r="19" customFormat="false" ht="15" hidden="false" customHeight="true" outlineLevel="0" collapsed="false">
      <c r="A19" s="11" t="s">
        <v>47</v>
      </c>
      <c r="B19" s="11" t="s">
        <v>47</v>
      </c>
      <c r="C19" s="11" t="str">
        <f aca="false">UPPER(TRIM(A19))</f>
        <v>EMAIL</v>
      </c>
      <c r="D19" s="11"/>
      <c r="E19" s="11" t="s">
        <v>95</v>
      </c>
      <c r="F19" s="11" t="s">
        <v>49</v>
      </c>
      <c r="G19" s="11" t="str">
        <f aca="false">UPPER(TRIM(E19))</f>
        <v>WEST</v>
      </c>
    </row>
    <row r="20" customFormat="false" ht="15" hidden="false" customHeight="true" outlineLevel="0" collapsed="false">
      <c r="A20" s="11" t="s">
        <v>92</v>
      </c>
      <c r="B20" s="11" t="s">
        <v>47</v>
      </c>
      <c r="C20" s="11" t="str">
        <f aca="false">UPPER(TRIM(A20))</f>
        <v>EMAIL</v>
      </c>
      <c r="D20" s="11"/>
      <c r="E20" s="11" t="s">
        <v>57</v>
      </c>
      <c r="F20" s="11" t="s">
        <v>57</v>
      </c>
      <c r="G20" s="11" t="str">
        <f aca="false">UPPER(TRIM(E20))</f>
        <v>CENTRAL</v>
      </c>
    </row>
    <row r="21" customFormat="false" ht="15" hidden="false" customHeight="true" outlineLevel="0" collapsed="false">
      <c r="A21" s="11" t="s">
        <v>96</v>
      </c>
      <c r="B21" s="11" t="s">
        <v>47</v>
      </c>
      <c r="C21" s="11" t="str">
        <f aca="false">UPPER(TRIM(A21))</f>
        <v>EMAIL</v>
      </c>
      <c r="D21" s="11"/>
      <c r="E21" s="11" t="s">
        <v>99</v>
      </c>
      <c r="F21" s="11" t="s">
        <v>57</v>
      </c>
      <c r="G21" s="11" t="str">
        <f aca="false">UPPER(TRIM(E21))</f>
        <v>CENTRL</v>
      </c>
    </row>
    <row r="22" customFormat="false" ht="15" hidden="false" customHeight="true" outlineLevel="0" collapsed="false">
      <c r="A22" s="11" t="s">
        <v>100</v>
      </c>
      <c r="B22" s="11" t="s">
        <v>59</v>
      </c>
      <c r="C22" s="11" t="str">
        <f aca="false">UPPER(TRIM(A22))</f>
        <v>YOUTUBE</v>
      </c>
      <c r="D22" s="11"/>
      <c r="E22" s="11" t="s">
        <v>112</v>
      </c>
      <c r="F22" s="11" t="s">
        <v>57</v>
      </c>
      <c r="G22" s="11" t="str">
        <f aca="false">UPPER(TRIM(E22))</f>
        <v>CENTRAL</v>
      </c>
    </row>
    <row r="23" customFormat="false" ht="15" hidden="false" customHeight="true" outlineLevel="0" collapsed="false">
      <c r="A23" s="11" t="s">
        <v>210</v>
      </c>
      <c r="B23" s="11" t="s">
        <v>59</v>
      </c>
      <c r="C23" s="11" t="str">
        <f aca="false">UPPER(TRIM(A23))</f>
        <v>YOU TUBE</v>
      </c>
      <c r="D23" s="11"/>
      <c r="E23" s="11" t="s">
        <v>147</v>
      </c>
      <c r="F23" s="11" t="s">
        <v>57</v>
      </c>
      <c r="G23" s="11" t="str">
        <f aca="false">UPPER(TRIM(E23))</f>
        <v>CENTRAL</v>
      </c>
    </row>
    <row r="24" customFormat="false" ht="15" hidden="false" customHeight="true" outlineLevel="0" collapsed="false">
      <c r="A24" s="11" t="s">
        <v>59</v>
      </c>
      <c r="B24" s="11" t="s">
        <v>59</v>
      </c>
      <c r="C24" s="11" t="str">
        <f aca="false">UPPER(TRIM(A24))</f>
        <v>YOUTUBE</v>
      </c>
      <c r="D24" s="11"/>
      <c r="E24" s="11" t="s">
        <v>183</v>
      </c>
      <c r="F24" s="11" t="s">
        <v>57</v>
      </c>
      <c r="G24" s="11" t="str">
        <f aca="false">UPPER(TRIM(E24))</f>
        <v>CENTRAL</v>
      </c>
    </row>
    <row r="25" customFormat="false" ht="15" hidden="false" customHeight="true" outlineLevel="0" collapsed="false">
      <c r="A25" s="11" t="s">
        <v>155</v>
      </c>
      <c r="B25" s="11" t="s">
        <v>59</v>
      </c>
      <c r="C25" s="11" t="str">
        <f aca="false">UPPER(TRIM(A25))</f>
        <v>YOUTUBE</v>
      </c>
      <c r="D25" s="11"/>
      <c r="E25" s="11"/>
      <c r="F25" s="11"/>
      <c r="G25" s="11"/>
    </row>
    <row r="26" customFormat="false" ht="15" hidden="false" customHeight="true" outlineLevel="0" collapsed="false">
      <c r="A26" s="11" t="s">
        <v>192</v>
      </c>
      <c r="B26" s="11" t="s">
        <v>59</v>
      </c>
      <c r="C26" s="11" t="str">
        <f aca="false">UPPER(TRIM(A26))</f>
        <v>YOUTUBE</v>
      </c>
      <c r="D26" s="11"/>
      <c r="E26" s="11"/>
      <c r="F26" s="11"/>
      <c r="G26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S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5" min="2" style="1" width="30"/>
    <col collapsed="false" customWidth="true" hidden="false" outlineLevel="0" max="6" min="6" style="1" width="18"/>
    <col collapsed="false" customWidth="true" hidden="false" outlineLevel="0" max="8" min="7" style="1" width="30"/>
    <col collapsed="false" customWidth="true" hidden="false" outlineLevel="0" max="9" min="9" style="1" width="17"/>
    <col collapsed="false" customWidth="true" hidden="false" outlineLevel="0" max="10" min="10" style="1" width="30"/>
    <col collapsed="false" customWidth="true" hidden="false" outlineLevel="0" max="11" min="11" style="1" width="17"/>
    <col collapsed="false" customWidth="true" hidden="false" outlineLevel="0" max="12" min="12" style="1" width="30"/>
    <col collapsed="false" customWidth="true" hidden="false" outlineLevel="0" max="17" min="13" style="1" width="24"/>
    <col collapsed="false" customWidth="true" hidden="false" outlineLevel="0" max="19" min="18" style="1" width="30"/>
  </cols>
  <sheetData>
    <row r="1" customFormat="false" ht="15" hidden="false" customHeight="true" outlineLevel="0" collapsed="false">
      <c r="A1" s="5" t="s">
        <v>29</v>
      </c>
      <c r="B1" s="5" t="s">
        <v>996</v>
      </c>
      <c r="C1" s="5" t="s">
        <v>992</v>
      </c>
      <c r="D1" s="5" t="s">
        <v>997</v>
      </c>
      <c r="E1" s="5" t="s">
        <v>998</v>
      </c>
      <c r="F1" s="5" t="s">
        <v>34</v>
      </c>
      <c r="G1" s="5" t="s">
        <v>995</v>
      </c>
      <c r="H1" s="5" t="s">
        <v>999</v>
      </c>
      <c r="I1" s="5" t="s">
        <v>37</v>
      </c>
      <c r="J1" s="5" t="s">
        <v>1000</v>
      </c>
      <c r="K1" s="5" t="s">
        <v>39</v>
      </c>
      <c r="L1" s="5" t="s">
        <v>1001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1002</v>
      </c>
      <c r="S1" s="5" t="s">
        <v>1003</v>
      </c>
    </row>
    <row r="2" customFormat="false" ht="15" hidden="false" customHeight="true" outlineLevel="0" collapsed="false">
      <c r="A2" s="11" t="n">
        <f aca="false">Raw_Data!A2</f>
        <v>1179</v>
      </c>
      <c r="B2" s="11" t="str">
        <f aca="false">PROPER(TRIM(Raw_Data!B2))</f>
        <v>Ayurvedic Range Launch</v>
      </c>
      <c r="C2" s="11" t="str">
        <f aca="false">IFERROR(INDEX(Lookup_Tables!$B$2:$B$26,MATCH(UPPER(TRIM(Raw_Data!C2)),Lookup_Tables!$C$2:$C$26,0)),"Unknown")</f>
        <v>Email</v>
      </c>
      <c r="D2" s="12" t="n">
        <f aca="false">IFERROR(IF(ISNUMBER(SEARCH("/",Raw_Data!D2)),DATE(VALUE(RIGHT(Raw_Data!D2,4)),VALUE(MID(Raw_Data!D2,FIND("/",Raw_Data!D2)+1,FIND("/",Raw_Data!D2,FIND("/",Raw_Data!D2)+1)-FIND("/",Raw_Data!D2)-1)),VALUE(LEFT(Raw_Data!D2,FIND("/",Raw_Data!D2)-1))),IF(ISNUMBER(VALUE(LEFT(Raw_Data!D2,4))),DATE(VALUE(LEFT(Raw_Data!D2,4)),VALUE(MID(Raw_Data!D2,6,2)),VALUE(MID(Raw_Data!D2,9,2))),DATEVALUE(Raw_Data!D2))),"")</f>
        <v>45320</v>
      </c>
      <c r="E2" s="12" t="n">
        <f aca="false">IFERROR(IF(ISNUMBER(SEARCH("/",Raw_Data!E2)),DATE(VALUE(RIGHT(Raw_Data!E2,4)),VALUE(MID(Raw_Data!E2,FIND("/",Raw_Data!E2)+1,FIND("/",Raw_Data!E2,FIND("/",Raw_Data!E2)+1)-FIND("/",Raw_Data!E2)-1)),VALUE(LEFT(Raw_Data!E2,FIND("/",Raw_Data!E2)-1))),IF(ISNUMBER(VALUE(LEFT(Raw_Data!E2,4))),DATE(VALUE(LEFT(Raw_Data!E2,4)),VALUE(MID(Raw_Data!E2,6,2)),VALUE(MID(Raw_Data!E2,9,2))),DATEVALUE(Raw_Data!E2))),"")</f>
        <v>45341</v>
      </c>
      <c r="F2" s="11" t="str">
        <f aca="false">Raw_Data!F2</f>
        <v>Male 35-44</v>
      </c>
      <c r="G2" s="11" t="str">
        <f aca="false">IF(TRIM(Raw_Data!G2)="","Unspecified",IFERROR(INDEX(Lookup_Tables!$F$2:$F$24,MATCH(UPPER(TRIM(Raw_Data!G2)),Lookup_Tables!$G$2:$G$24,0)),"Unknown"))</f>
        <v>West</v>
      </c>
      <c r="H2" s="11" t="n">
        <f aca="false">IF(Raw_Data!H2="",ROUND(AVERAGEIFS(Raw_Data!$H$2:$H$839,Raw_Data!$C$2:$C$839,Raw_Data!C2),2),Raw_Data!H2)</f>
        <v>1459.32</v>
      </c>
      <c r="I2" s="11" t="n">
        <f aca="false">Raw_Data!I2</f>
        <v>47777</v>
      </c>
      <c r="J2" s="11" t="n">
        <f aca="false">IF(Raw_Data!J2&lt;0,ABS(Raw_Data!J2),Raw_Data!J2)</f>
        <v>817</v>
      </c>
      <c r="K2" s="11" t="n">
        <f aca="false">Raw_Data!K2</f>
        <v>52</v>
      </c>
      <c r="L2" s="11" t="n">
        <f aca="false">IF(Raw_Data!L2="",ROUND(AVERAGEIFS(Raw_Data!$L$2:$L$839,Raw_Data!$C$2:$C$839,Raw_Data!C2),2),Raw_Data!L2)</f>
        <v>57731.18</v>
      </c>
      <c r="M2" s="13" t="n">
        <f aca="false">IFERROR(J2/I2,0)</f>
        <v>0.0171002783766247</v>
      </c>
      <c r="N2" s="14" t="n">
        <f aca="false">IFERROR(H2/J2,0)</f>
        <v>1.78619339045288</v>
      </c>
      <c r="O2" s="14" t="n">
        <f aca="false">IFERROR(H2/K2,0)</f>
        <v>28.0638461538462</v>
      </c>
      <c r="P2" s="15" t="n">
        <f aca="false">IFERROR(L2/H2,0)</f>
        <v>39.5603294685196</v>
      </c>
      <c r="Q2" s="13" t="n">
        <f aca="false">IFERROR(K2/J2,0)</f>
        <v>0.0636474908200734</v>
      </c>
      <c r="R2" s="11" t="str">
        <f aca="false">IF(COUNTIF($A$2:A2,A2)&gt;1,"Duplicate - Remove","Unique")</f>
        <v>Unique</v>
      </c>
      <c r="S2" s="11" t="str">
        <f aca="false">TRIM(IF(Raw_Data!G2="","Region missing; ","")&amp;IF(Raw_Data!H2="","Spend imputed; ","")&amp;IF(Raw_Data!L2="","Revenue imputed; ","")&amp;IF(Raw_Data!J2&lt;0,"Clicks corrected; ",""))</f>
        <v/>
      </c>
    </row>
    <row r="3" customFormat="false" ht="15" hidden="false" customHeight="true" outlineLevel="0" collapsed="false">
      <c r="A3" s="11" t="n">
        <f aca="false">Raw_Data!A3</f>
        <v>1665</v>
      </c>
      <c r="B3" s="11" t="str">
        <f aca="false">PROPER(TRIM(Raw_Data!B3))</f>
        <v>Ayurvedic Range Launch</v>
      </c>
      <c r="C3" s="11" t="str">
        <f aca="false">IFERROR(INDEX(Lookup_Tables!$B$2:$B$26,MATCH(UPPER(TRIM(Raw_Data!C3)),Lookup_Tables!$C$2:$C$26,0)),"Unknown")</f>
        <v>Google Ads</v>
      </c>
      <c r="D3" s="12" t="n">
        <f aca="false">IFERROR(IF(ISNUMBER(SEARCH("/",Raw_Data!D3)),DATE(VALUE(RIGHT(Raw_Data!D3,4)),VALUE(MID(Raw_Data!D3,FIND("/",Raw_Data!D3)+1,FIND("/",Raw_Data!D3,FIND("/",Raw_Data!D3)+1)-FIND("/",Raw_Data!D3)-1)),VALUE(LEFT(Raw_Data!D3,FIND("/",Raw_Data!D3)-1))),IF(ISNUMBER(VALUE(LEFT(Raw_Data!D3,4))),DATE(VALUE(LEFT(Raw_Data!D3,4)),VALUE(MID(Raw_Data!D3,6,2)),VALUE(MID(Raw_Data!D3,9,2))),DATEVALUE(Raw_Data!D3))),"")</f>
        <v>45610</v>
      </c>
      <c r="E3" s="12" t="n">
        <f aca="false">IFERROR(IF(ISNUMBER(SEARCH("/",Raw_Data!E3)),DATE(VALUE(RIGHT(Raw_Data!E3,4)),VALUE(MID(Raw_Data!E3,FIND("/",Raw_Data!E3)+1,FIND("/",Raw_Data!E3,FIND("/",Raw_Data!E3)+1)-FIND("/",Raw_Data!E3)-1)),VALUE(LEFT(Raw_Data!E3,FIND("/",Raw_Data!E3)-1))),IF(ISNUMBER(VALUE(LEFT(Raw_Data!E3,4))),DATE(VALUE(LEFT(Raw_Data!E3,4)),VALUE(MID(Raw_Data!E3,6,2)),VALUE(MID(Raw_Data!E3,9,2))),DATEVALUE(Raw_Data!E3))),"")</f>
        <v>45623</v>
      </c>
      <c r="F3" s="11" t="str">
        <f aca="false">Raw_Data!F3</f>
        <v>Male 45+</v>
      </c>
      <c r="G3" s="11" t="str">
        <f aca="false">IF(TRIM(Raw_Data!G3)="","Unspecified",IFERROR(INDEX(Lookup_Tables!$F$2:$F$24,MATCH(UPPER(TRIM(Raw_Data!G3)),Lookup_Tables!$G$2:$G$24,0)),"Unknown"))</f>
        <v>West</v>
      </c>
      <c r="H3" s="11" t="n">
        <f aca="false">IF(Raw_Data!H3="",ROUND(AVERAGEIFS(Raw_Data!$H$2:$H$839,Raw_Data!$C$2:$C$839,Raw_Data!C3),2),Raw_Data!H3)</f>
        <v>40790.41</v>
      </c>
      <c r="I3" s="11" t="n">
        <f aca="false">Raw_Data!I3</f>
        <v>1371537</v>
      </c>
      <c r="J3" s="11" t="n">
        <f aca="false">IF(Raw_Data!J3&lt;0,ABS(Raw_Data!J3),Raw_Data!J3)</f>
        <v>33827</v>
      </c>
      <c r="K3" s="11" t="n">
        <f aca="false">Raw_Data!K3</f>
        <v>1556</v>
      </c>
      <c r="L3" s="11" t="n">
        <f aca="false">IF(Raw_Data!L3="",ROUND(AVERAGEIFS(Raw_Data!$L$2:$L$839,Raw_Data!$C$2:$C$839,Raw_Data!C3),2),Raw_Data!L3)</f>
        <v>1305729.84</v>
      </c>
      <c r="M3" s="13" t="n">
        <f aca="false">IFERROR(J3/I3,0)</f>
        <v>0.0246635708697614</v>
      </c>
      <c r="N3" s="14" t="n">
        <f aca="false">IFERROR(H3/J3,0)</f>
        <v>1.20585360806456</v>
      </c>
      <c r="O3" s="14" t="n">
        <f aca="false">IFERROR(H3/K3,0)</f>
        <v>26.2149164524422</v>
      </c>
      <c r="P3" s="15" t="n">
        <f aca="false">IFERROR(L3/H3,0)</f>
        <v>32.0107064381064</v>
      </c>
      <c r="Q3" s="13" t="n">
        <f aca="false">IFERROR(K3/J3,0)</f>
        <v>0.0459987583882697</v>
      </c>
      <c r="R3" s="11" t="str">
        <f aca="false">IF(COUNTIF($A$2:A3,A3)&gt;1,"Duplicate - Remove","Unique")</f>
        <v>Unique</v>
      </c>
      <c r="S3" s="11" t="str">
        <f aca="false">TRIM(IF(Raw_Data!G3="","Region missing; ","")&amp;IF(Raw_Data!H3="","Spend imputed; ","")&amp;IF(Raw_Data!L3="","Revenue imputed; ","")&amp;IF(Raw_Data!J3&lt;0,"Clicks corrected; ",""))</f>
        <v/>
      </c>
    </row>
    <row r="4" customFormat="false" ht="15" hidden="false" customHeight="true" outlineLevel="0" collapsed="false">
      <c r="A4" s="11" t="n">
        <f aca="false">Raw_Data!A4</f>
        <v>1798</v>
      </c>
      <c r="B4" s="11" t="str">
        <f aca="false">PROPER(TRIM(Raw_Data!B4))</f>
        <v>Herbal Range Awareness</v>
      </c>
      <c r="C4" s="11" t="str">
        <f aca="false">IFERROR(INDEX(Lookup_Tables!$B$2:$B$26,MATCH(UPPER(TRIM(Raw_Data!C4)),Lookup_Tables!$C$2:$C$26,0)),"Unknown")</f>
        <v>Email</v>
      </c>
      <c r="D4" s="12" t="n">
        <f aca="false">IFERROR(IF(ISNUMBER(SEARCH("/",Raw_Data!D4)),DATE(VALUE(RIGHT(Raw_Data!D4,4)),VALUE(MID(Raw_Data!D4,FIND("/",Raw_Data!D4)+1,FIND("/",Raw_Data!D4,FIND("/",Raw_Data!D4)+1)-FIND("/",Raw_Data!D4)-1)),VALUE(LEFT(Raw_Data!D4,FIND("/",Raw_Data!D4)-1))),IF(ISNUMBER(VALUE(LEFT(Raw_Data!D4,4))),DATE(VALUE(LEFT(Raw_Data!D4,4)),VALUE(MID(Raw_Data!D4,6,2)),VALUE(MID(Raw_Data!D4,9,2))),DATEVALUE(Raw_Data!D4))),"")</f>
        <v>45595</v>
      </c>
      <c r="E4" s="12" t="n">
        <f aca="false">IFERROR(IF(ISNUMBER(SEARCH("/",Raw_Data!E4)),DATE(VALUE(RIGHT(Raw_Data!E4,4)),VALUE(MID(Raw_Data!E4,FIND("/",Raw_Data!E4)+1,FIND("/",Raw_Data!E4,FIND("/",Raw_Data!E4)+1)-FIND("/",Raw_Data!E4)-1)),VALUE(LEFT(Raw_Data!E4,FIND("/",Raw_Data!E4)-1))),IF(ISNUMBER(VALUE(LEFT(Raw_Data!E4,4))),DATE(VALUE(LEFT(Raw_Data!E4,4)),VALUE(MID(Raw_Data!E4,6,2)),VALUE(MID(Raw_Data!E4,9,2))),DATEVALUE(Raw_Data!E4))),"")</f>
        <v>45604</v>
      </c>
      <c r="F4" s="11" t="str">
        <f aca="false">Raw_Data!F4</f>
        <v>Female 25-34</v>
      </c>
      <c r="G4" s="11" t="str">
        <f aca="false">IF(TRIM(Raw_Data!G4)="","Unspecified",IFERROR(INDEX(Lookup_Tables!$F$2:$F$24,MATCH(UPPER(TRIM(Raw_Data!G4)),Lookup_Tables!$G$2:$G$24,0)),"Unknown"))</f>
        <v>North</v>
      </c>
      <c r="H4" s="11" t="n">
        <f aca="false">IF(Raw_Data!H4="",ROUND(AVERAGEIFS(Raw_Data!$H$2:$H$839,Raw_Data!$C$2:$C$839,Raw_Data!C4),2),Raw_Data!H4)</f>
        <v>4460.42</v>
      </c>
      <c r="I4" s="11" t="n">
        <f aca="false">Raw_Data!I4</f>
        <v>177985</v>
      </c>
      <c r="J4" s="11" t="n">
        <f aca="false">IF(Raw_Data!J4&lt;0,ABS(Raw_Data!J4),Raw_Data!J4)</f>
        <v>4765</v>
      </c>
      <c r="K4" s="11" t="n">
        <f aca="false">Raw_Data!K4</f>
        <v>161</v>
      </c>
      <c r="L4" s="11" t="n">
        <f aca="false">IF(Raw_Data!L4="",ROUND(AVERAGEIFS(Raw_Data!$L$2:$L$839,Raw_Data!$C$2:$C$839,Raw_Data!C4),2),Raw_Data!L4)</f>
        <v>110861.2</v>
      </c>
      <c r="M4" s="13" t="n">
        <f aca="false">IFERROR(J4/I4,0)</f>
        <v>0.0267719189819367</v>
      </c>
      <c r="N4" s="14" t="n">
        <f aca="false">IFERROR(H4/J4,0)</f>
        <v>0.936079748163694</v>
      </c>
      <c r="O4" s="14" t="n">
        <f aca="false">IFERROR(H4/K4,0)</f>
        <v>27.7044720496894</v>
      </c>
      <c r="P4" s="15" t="n">
        <f aca="false">IFERROR(L4/H4,0)</f>
        <v>24.8544307486739</v>
      </c>
      <c r="Q4" s="13" t="n">
        <f aca="false">IFERROR(K4/J4,0)</f>
        <v>0.033788037775446</v>
      </c>
      <c r="R4" s="11" t="str">
        <f aca="false">IF(COUNTIF($A$2:A4,A4)&gt;1,"Duplicate - Remove","Unique")</f>
        <v>Unique</v>
      </c>
      <c r="S4" s="11" t="str">
        <f aca="false">TRIM(IF(Raw_Data!G4="","Region missing; ","")&amp;IF(Raw_Data!H4="","Spend imputed; ","")&amp;IF(Raw_Data!L4="","Revenue imputed; ","")&amp;IF(Raw_Data!J4&lt;0,"Clicks corrected; ",""))</f>
        <v>Revenue imputed;</v>
      </c>
    </row>
    <row r="5" customFormat="false" ht="15" hidden="false" customHeight="true" outlineLevel="0" collapsed="false">
      <c r="A5" s="11" t="n">
        <f aca="false">Raw_Data!A5</f>
        <v>1396</v>
      </c>
      <c r="B5" s="11" t="str">
        <f aca="false">PROPER(TRIM(Raw_Data!B5))</f>
        <v>Clearance Sale Push</v>
      </c>
      <c r="C5" s="11" t="str">
        <f aca="false">IFERROR(INDEX(Lookup_Tables!$B$2:$B$26,MATCH(UPPER(TRIM(Raw_Data!C5)),Lookup_Tables!$C$2:$C$26,0)),"Unknown")</f>
        <v>Email</v>
      </c>
      <c r="D5" s="12" t="n">
        <f aca="false">IFERROR(IF(ISNUMBER(SEARCH("/",Raw_Data!D5)),DATE(VALUE(RIGHT(Raw_Data!D5,4)),VALUE(MID(Raw_Data!D5,FIND("/",Raw_Data!D5)+1,FIND("/",Raw_Data!D5,FIND("/",Raw_Data!D5)+1)-FIND("/",Raw_Data!D5)-1)),VALUE(LEFT(Raw_Data!D5,FIND("/",Raw_Data!D5)-1))),IF(ISNUMBER(VALUE(LEFT(Raw_Data!D5,4))),DATE(VALUE(LEFT(Raw_Data!D5,4)),VALUE(MID(Raw_Data!D5,6,2)),VALUE(MID(Raw_Data!D5,9,2))),DATEVALUE(Raw_Data!D5))),"")</f>
        <v>45540</v>
      </c>
      <c r="E5" s="12" t="n">
        <f aca="false">IFERROR(IF(ISNUMBER(SEARCH("/",Raw_Data!E5)),DATE(VALUE(RIGHT(Raw_Data!E5,4)),VALUE(MID(Raw_Data!E5,FIND("/",Raw_Data!E5)+1,FIND("/",Raw_Data!E5,FIND("/",Raw_Data!E5)+1)-FIND("/",Raw_Data!E5)-1)),VALUE(LEFT(Raw_Data!E5,FIND("/",Raw_Data!E5)-1))),IF(ISNUMBER(VALUE(LEFT(Raw_Data!E5,4))),DATE(VALUE(LEFT(Raw_Data!E5,4)),VALUE(MID(Raw_Data!E5,6,2)),VALUE(MID(Raw_Data!E5,9,2))),DATEVALUE(Raw_Data!E5))),"")</f>
        <v>45567</v>
      </c>
      <c r="F5" s="11" t="str">
        <f aca="false">Raw_Data!F5</f>
        <v>Female 35-44</v>
      </c>
      <c r="G5" s="11" t="str">
        <f aca="false">IF(TRIM(Raw_Data!G5)="","Unspecified",IFERROR(INDEX(Lookup_Tables!$F$2:$F$24,MATCH(UPPER(TRIM(Raw_Data!G5)),Lookup_Tables!$G$2:$G$24,0)),"Unknown"))</f>
        <v>West</v>
      </c>
      <c r="H5" s="11" t="n">
        <f aca="false">IF(Raw_Data!H5="",ROUND(AVERAGEIFS(Raw_Data!$H$2:$H$839,Raw_Data!$C$2:$C$839,Raw_Data!C5),2),Raw_Data!H5)</f>
        <v>1905.7</v>
      </c>
      <c r="I5" s="11" t="n">
        <f aca="false">Raw_Data!I5</f>
        <v>62150</v>
      </c>
      <c r="J5" s="11" t="n">
        <f aca="false">IF(Raw_Data!J5&lt;0,ABS(Raw_Data!J5),Raw_Data!J5)</f>
        <v>1920</v>
      </c>
      <c r="K5" s="11" t="n">
        <f aca="false">Raw_Data!K5</f>
        <v>35</v>
      </c>
      <c r="L5" s="11" t="n">
        <f aca="false">IF(Raw_Data!L5="",ROUND(AVERAGEIFS(Raw_Data!$L$2:$L$839,Raw_Data!$C$2:$C$839,Raw_Data!C5),2),Raw_Data!L5)</f>
        <v>23041.61</v>
      </c>
      <c r="M5" s="13" t="n">
        <f aca="false">IFERROR(J5/I5,0)</f>
        <v>0.0308930008045052</v>
      </c>
      <c r="N5" s="14" t="n">
        <f aca="false">IFERROR(H5/J5,0)</f>
        <v>0.992552083333333</v>
      </c>
      <c r="O5" s="14" t="n">
        <f aca="false">IFERROR(H5/K5,0)</f>
        <v>54.4485714285714</v>
      </c>
      <c r="P5" s="15" t="n">
        <f aca="false">IFERROR(L5/H5,0)</f>
        <v>12.0908904864354</v>
      </c>
      <c r="Q5" s="13" t="n">
        <f aca="false">IFERROR(K5/J5,0)</f>
        <v>0.0182291666666667</v>
      </c>
      <c r="R5" s="11" t="str">
        <f aca="false">IF(COUNTIF($A$2:A5,A5)&gt;1,"Duplicate - Remove","Unique")</f>
        <v>Unique</v>
      </c>
      <c r="S5" s="11" t="str">
        <f aca="false">TRIM(IF(Raw_Data!G5="","Region missing; ","")&amp;IF(Raw_Data!H5="","Spend imputed; ","")&amp;IF(Raw_Data!L5="","Revenue imputed; ","")&amp;IF(Raw_Data!J5&lt;0,"Clicks corrected; ",""))</f>
        <v/>
      </c>
    </row>
    <row r="6" customFormat="false" ht="15" hidden="false" customHeight="true" outlineLevel="0" collapsed="false">
      <c r="A6" s="11" t="n">
        <f aca="false">Raw_Data!A6</f>
        <v>1160</v>
      </c>
      <c r="B6" s="11" t="str">
        <f aca="false">PROPER(TRIM(Raw_Data!B6))</f>
        <v>Ayurvedic Range Launch</v>
      </c>
      <c r="C6" s="11" t="str">
        <f aca="false">IFERROR(INDEX(Lookup_Tables!$B$2:$B$26,MATCH(UPPER(TRIM(Raw_Data!C6)),Lookup_Tables!$C$2:$C$26,0)),"Unknown")</f>
        <v>Email</v>
      </c>
      <c r="D6" s="12" t="n">
        <f aca="false">IFERROR(IF(ISNUMBER(SEARCH("/",Raw_Data!D6)),DATE(VALUE(RIGHT(Raw_Data!D6,4)),VALUE(MID(Raw_Data!D6,FIND("/",Raw_Data!D6)+1,FIND("/",Raw_Data!D6,FIND("/",Raw_Data!D6)+1)-FIND("/",Raw_Data!D6)-1)),VALUE(LEFT(Raw_Data!D6,FIND("/",Raw_Data!D6)-1))),IF(ISNUMBER(VALUE(LEFT(Raw_Data!D6,4))),DATE(VALUE(LEFT(Raw_Data!D6,4)),VALUE(MID(Raw_Data!D6,6,2)),VALUE(MID(Raw_Data!D6,9,2))),DATEVALUE(Raw_Data!D6))),"")</f>
        <v>45303</v>
      </c>
      <c r="E6" s="12" t="n">
        <f aca="false">IFERROR(IF(ISNUMBER(SEARCH("/",Raw_Data!E6)),DATE(VALUE(RIGHT(Raw_Data!E6,4)),VALUE(MID(Raw_Data!E6,FIND("/",Raw_Data!E6)+1,FIND("/",Raw_Data!E6,FIND("/",Raw_Data!E6)+1)-FIND("/",Raw_Data!E6)-1)),VALUE(LEFT(Raw_Data!E6,FIND("/",Raw_Data!E6)-1))),IF(ISNUMBER(VALUE(LEFT(Raw_Data!E6,4))),DATE(VALUE(LEFT(Raw_Data!E6,4)),VALUE(MID(Raw_Data!E6,6,2)),VALUE(MID(Raw_Data!E6,9,2))),DATEVALUE(Raw_Data!E6))),"")</f>
        <v>45310</v>
      </c>
      <c r="F6" s="11" t="str">
        <f aca="false">Raw_Data!F6</f>
        <v>Female 25-34</v>
      </c>
      <c r="G6" s="11" t="str">
        <f aca="false">IF(TRIM(Raw_Data!G6)="","Unspecified",IFERROR(INDEX(Lookup_Tables!$F$2:$F$24,MATCH(UPPER(TRIM(Raw_Data!G6)),Lookup_Tables!$G$2:$G$24,0)),"Unknown"))</f>
        <v>Central</v>
      </c>
      <c r="H6" s="11" t="n">
        <f aca="false">IF(Raw_Data!H6="",ROUND(AVERAGEIFS(Raw_Data!$H$2:$H$839,Raw_Data!$C$2:$C$839,Raw_Data!C6),2),Raw_Data!H6)</f>
        <v>7317.47</v>
      </c>
      <c r="I6" s="11" t="n">
        <f aca="false">Raw_Data!I6</f>
        <v>190881</v>
      </c>
      <c r="J6" s="11" t="n">
        <f aca="false">IF(Raw_Data!J6&lt;0,ABS(Raw_Data!J6),Raw_Data!J6)</f>
        <v>1691</v>
      </c>
      <c r="K6" s="11" t="n">
        <f aca="false">Raw_Data!K6</f>
        <v>124</v>
      </c>
      <c r="L6" s="11" t="n">
        <f aca="false">IF(Raw_Data!L6="",ROUND(AVERAGEIFS(Raw_Data!$L$2:$L$839,Raw_Data!$C$2:$C$839,Raw_Data!C6),2),Raw_Data!L6)</f>
        <v>192518.24</v>
      </c>
      <c r="M6" s="13" t="n">
        <f aca="false">IFERROR(J6/I6,0)</f>
        <v>0.00885892257479791</v>
      </c>
      <c r="N6" s="14" t="n">
        <f aca="false">IFERROR(H6/J6,0)</f>
        <v>4.32730337078652</v>
      </c>
      <c r="O6" s="14" t="n">
        <f aca="false">IFERROR(H6/K6,0)</f>
        <v>59.0118548387097</v>
      </c>
      <c r="P6" s="15" t="n">
        <f aca="false">IFERROR(L6/H6,0)</f>
        <v>26.309399286912</v>
      </c>
      <c r="Q6" s="13" t="n">
        <f aca="false">IFERROR(K6/J6,0)</f>
        <v>0.0733293908929627</v>
      </c>
      <c r="R6" s="11" t="str">
        <f aca="false">IF(COUNTIF($A$2:A6,A6)&gt;1,"Duplicate - Remove","Unique")</f>
        <v>Unique</v>
      </c>
      <c r="S6" s="11" t="str">
        <f aca="false">TRIM(IF(Raw_Data!G6="","Region missing; ","")&amp;IF(Raw_Data!H6="","Spend imputed; ","")&amp;IF(Raw_Data!L6="","Revenue imputed; ","")&amp;IF(Raw_Data!J6&lt;0,"Clicks corrected; ",""))</f>
        <v/>
      </c>
    </row>
    <row r="7" customFormat="false" ht="15" hidden="false" customHeight="true" outlineLevel="0" collapsed="false">
      <c r="A7" s="11" t="n">
        <f aca="false">Raw_Data!A7</f>
        <v>1429</v>
      </c>
      <c r="B7" s="11" t="str">
        <f aca="false">PROPER(TRIM(Raw_Data!B7))</f>
        <v>Baby Care Trust Campaign</v>
      </c>
      <c r="C7" s="11" t="str">
        <f aca="false">IFERROR(INDEX(Lookup_Tables!$B$2:$B$26,MATCH(UPPER(TRIM(Raw_Data!C7)),Lookup_Tables!$C$2:$C$26,0)),"Unknown")</f>
        <v>YouTube</v>
      </c>
      <c r="D7" s="12" t="n">
        <f aca="false">IFERROR(IF(ISNUMBER(SEARCH("/",Raw_Data!D7)),DATE(VALUE(RIGHT(Raw_Data!D7,4)),VALUE(MID(Raw_Data!D7,FIND("/",Raw_Data!D7)+1,FIND("/",Raw_Data!D7,FIND("/",Raw_Data!D7)+1)-FIND("/",Raw_Data!D7)-1)),VALUE(LEFT(Raw_Data!D7,FIND("/",Raw_Data!D7)-1))),IF(ISNUMBER(VALUE(LEFT(Raw_Data!D7,4))),DATE(VALUE(LEFT(Raw_Data!D7,4)),VALUE(MID(Raw_Data!D7,6,2)),VALUE(MID(Raw_Data!D7,9,2))),DATEVALUE(Raw_Data!D7))),"")</f>
        <v>45388</v>
      </c>
      <c r="E7" s="12" t="n">
        <f aca="false">IFERROR(IF(ISNUMBER(SEARCH("/",Raw_Data!E7)),DATE(VALUE(RIGHT(Raw_Data!E7,4)),VALUE(MID(Raw_Data!E7,FIND("/",Raw_Data!E7)+1,FIND("/",Raw_Data!E7,FIND("/",Raw_Data!E7)+1)-FIND("/",Raw_Data!E7)-1)),VALUE(LEFT(Raw_Data!E7,FIND("/",Raw_Data!E7)-1))),IF(ISNUMBER(VALUE(LEFT(Raw_Data!E7,4))),DATE(VALUE(LEFT(Raw_Data!E7,4)),VALUE(MID(Raw_Data!E7,6,2)),VALUE(MID(Raw_Data!E7,9,2))),DATEVALUE(Raw_Data!E7))),"")</f>
        <v>45408</v>
      </c>
      <c r="F7" s="11" t="str">
        <f aca="false">Raw_Data!F7</f>
        <v>Female 45+</v>
      </c>
      <c r="G7" s="11" t="str">
        <f aca="false">IF(TRIM(Raw_Data!G7)="","Unspecified",IFERROR(INDEX(Lookup_Tables!$F$2:$F$24,MATCH(UPPER(TRIM(Raw_Data!G7)),Lookup_Tables!$G$2:$G$24,0)),"Unknown"))</f>
        <v>South</v>
      </c>
      <c r="H7" s="11" t="n">
        <f aca="false">IF(Raw_Data!H7="",ROUND(AVERAGEIFS(Raw_Data!$H$2:$H$839,Raw_Data!$C$2:$C$839,Raw_Data!C7),2),Raw_Data!H7)</f>
        <v>39663.1</v>
      </c>
      <c r="I7" s="11" t="n">
        <f aca="false">Raw_Data!I7</f>
        <v>1548782</v>
      </c>
      <c r="J7" s="11" t="n">
        <f aca="false">IF(Raw_Data!J7&lt;0,ABS(Raw_Data!J7),Raw_Data!J7)</f>
        <v>37434</v>
      </c>
      <c r="K7" s="11" t="n">
        <f aca="false">Raw_Data!K7</f>
        <v>1172</v>
      </c>
      <c r="L7" s="11" t="n">
        <f aca="false">IF(Raw_Data!L7="",ROUND(AVERAGEIFS(Raw_Data!$L$2:$L$839,Raw_Data!$C$2:$C$839,Raw_Data!C7),2),Raw_Data!L7)</f>
        <v>701517.37</v>
      </c>
      <c r="M7" s="13" t="n">
        <f aca="false">IFERROR(J7/I7,0)</f>
        <v>0.0241699606529518</v>
      </c>
      <c r="N7" s="14" t="n">
        <f aca="false">IFERROR(H7/J7,0)</f>
        <v>1.05954747021424</v>
      </c>
      <c r="O7" s="14" t="n">
        <f aca="false">IFERROR(H7/K7,0)</f>
        <v>33.8422354948806</v>
      </c>
      <c r="P7" s="15" t="n">
        <f aca="false">IFERROR(L7/H7,0)</f>
        <v>17.6869021836417</v>
      </c>
      <c r="Q7" s="13" t="n">
        <f aca="false">IFERROR(K7/J7,0)</f>
        <v>0.0313084361810119</v>
      </c>
      <c r="R7" s="11" t="str">
        <f aca="false">IF(COUNTIF($A$2:A7,A7)&gt;1,"Duplicate - Remove","Unique")</f>
        <v>Unique</v>
      </c>
      <c r="S7" s="11" t="str">
        <f aca="false">TRIM(IF(Raw_Data!G7="","Region missing; ","")&amp;IF(Raw_Data!H7="","Spend imputed; ","")&amp;IF(Raw_Data!L7="","Revenue imputed; ","")&amp;IF(Raw_Data!J7&lt;0,"Clicks corrected; ",""))</f>
        <v/>
      </c>
    </row>
    <row r="8" customFormat="false" ht="15" hidden="false" customHeight="true" outlineLevel="0" collapsed="false">
      <c r="A8" s="11" t="n">
        <f aca="false">Raw_Data!A8</f>
        <v>1077</v>
      </c>
      <c r="B8" s="11" t="str">
        <f aca="false">PROPER(TRIM(Raw_Data!B8))</f>
        <v>Festive Gift Bundle</v>
      </c>
      <c r="C8" s="11" t="str">
        <f aca="false">IFERROR(INDEX(Lookup_Tables!$B$2:$B$26,MATCH(UPPER(TRIM(Raw_Data!C8)),Lookup_Tables!$C$2:$C$26,0)),"Unknown")</f>
        <v>Facebook</v>
      </c>
      <c r="D8" s="12" t="n">
        <f aca="false">IFERROR(IF(ISNUMBER(SEARCH("/",Raw_Data!D8)),DATE(VALUE(RIGHT(Raw_Data!D8,4)),VALUE(MID(Raw_Data!D8,FIND("/",Raw_Data!D8)+1,FIND("/",Raw_Data!D8,FIND("/",Raw_Data!D8)+1)-FIND("/",Raw_Data!D8)-1)),VALUE(LEFT(Raw_Data!D8,FIND("/",Raw_Data!D8)-1))),IF(ISNUMBER(VALUE(LEFT(Raw_Data!D8,4))),DATE(VALUE(LEFT(Raw_Data!D8,4)),VALUE(MID(Raw_Data!D8,6,2)),VALUE(MID(Raw_Data!D8,9,2))),DATEVALUE(Raw_Data!D8))),"")</f>
        <v>45556</v>
      </c>
      <c r="E8" s="12" t="n">
        <f aca="false">IFERROR(IF(ISNUMBER(SEARCH("/",Raw_Data!E8)),DATE(VALUE(RIGHT(Raw_Data!E8,4)),VALUE(MID(Raw_Data!E8,FIND("/",Raw_Data!E8)+1,FIND("/",Raw_Data!E8,FIND("/",Raw_Data!E8)+1)-FIND("/",Raw_Data!E8)-1)),VALUE(LEFT(Raw_Data!E8,FIND("/",Raw_Data!E8)-1))),IF(ISNUMBER(VALUE(LEFT(Raw_Data!E8,4))),DATE(VALUE(LEFT(Raw_Data!E8,4)),VALUE(MID(Raw_Data!E8,6,2)),VALUE(MID(Raw_Data!E8,9,2))),DATEVALUE(Raw_Data!E8))),"")</f>
        <v>45564</v>
      </c>
      <c r="F8" s="11" t="str">
        <f aca="false">Raw_Data!F8</f>
        <v>Female 25-34</v>
      </c>
      <c r="G8" s="11" t="str">
        <f aca="false">IF(TRIM(Raw_Data!G8)="","Unspecified",IFERROR(INDEX(Lookup_Tables!$F$2:$F$24,MATCH(UPPER(TRIM(Raw_Data!G8)),Lookup_Tables!$G$2:$G$24,0)),"Unknown"))</f>
        <v>West</v>
      </c>
      <c r="H8" s="11" t="n">
        <f aca="false">IF(Raw_Data!H8="",ROUND(AVERAGEIFS(Raw_Data!$H$2:$H$839,Raw_Data!$C$2:$C$839,Raw_Data!C8),2),Raw_Data!H8)</f>
        <v>9690.51</v>
      </c>
      <c r="I8" s="11" t="n">
        <f aca="false">Raw_Data!I8</f>
        <v>184195</v>
      </c>
      <c r="J8" s="11" t="n">
        <f aca="false">IF(Raw_Data!J8&lt;0,ABS(Raw_Data!J8),Raw_Data!J8)</f>
        <v>3403</v>
      </c>
      <c r="K8" s="11" t="n">
        <f aca="false">Raw_Data!K8</f>
        <v>156</v>
      </c>
      <c r="L8" s="11" t="n">
        <f aca="false">IF(Raw_Data!L8="",ROUND(AVERAGEIFS(Raw_Data!$L$2:$L$839,Raw_Data!$C$2:$C$839,Raw_Data!C8),2),Raw_Data!L8)</f>
        <v>242582.77</v>
      </c>
      <c r="M8" s="13" t="n">
        <f aca="false">IFERROR(J8/I8,0)</f>
        <v>0.0184749857487988</v>
      </c>
      <c r="N8" s="14" t="n">
        <f aca="false">IFERROR(H8/J8,0)</f>
        <v>2.84763737878343</v>
      </c>
      <c r="O8" s="14" t="n">
        <f aca="false">IFERROR(H8/K8,0)</f>
        <v>62.1186538461539</v>
      </c>
      <c r="P8" s="15" t="n">
        <f aca="false">IFERROR(L8/H8,0)</f>
        <v>25.0330240616851</v>
      </c>
      <c r="Q8" s="13" t="n">
        <f aca="false">IFERROR(K8/J8,0)</f>
        <v>0.0458419042021746</v>
      </c>
      <c r="R8" s="11" t="str">
        <f aca="false">IF(COUNTIF($A$2:A8,A8)&gt;1,"Duplicate - Remove","Unique")</f>
        <v>Unique</v>
      </c>
      <c r="S8" s="11" t="str">
        <f aca="false">TRIM(IF(Raw_Data!G8="","Region missing; ","")&amp;IF(Raw_Data!H8="","Spend imputed; ","")&amp;IF(Raw_Data!L8="","Revenue imputed; ","")&amp;IF(Raw_Data!J8&lt;0,"Clicks corrected; ",""))</f>
        <v/>
      </c>
    </row>
    <row r="9" customFormat="false" ht="15" hidden="false" customHeight="true" outlineLevel="0" collapsed="false">
      <c r="A9" s="11" t="n">
        <f aca="false">Raw_Data!A9</f>
        <v>1595</v>
      </c>
      <c r="B9" s="11" t="str">
        <f aca="false">PROPER(TRIM(Raw_Data!B9))</f>
        <v>Anti-Ageing Serum Push</v>
      </c>
      <c r="C9" s="11" t="str">
        <f aca="false">IFERROR(INDEX(Lookup_Tables!$B$2:$B$26,MATCH(UPPER(TRIM(Raw_Data!C9)),Lookup_Tables!$C$2:$C$26,0)),"Unknown")</f>
        <v>Email</v>
      </c>
      <c r="D9" s="12" t="n">
        <f aca="false">IFERROR(IF(ISNUMBER(SEARCH("/",Raw_Data!D9)),DATE(VALUE(RIGHT(Raw_Data!D9,4)),VALUE(MID(Raw_Data!D9,FIND("/",Raw_Data!D9)+1,FIND("/",Raw_Data!D9,FIND("/",Raw_Data!D9)+1)-FIND("/",Raw_Data!D9)-1)),VALUE(LEFT(Raw_Data!D9,FIND("/",Raw_Data!D9)-1))),IF(ISNUMBER(VALUE(LEFT(Raw_Data!D9,4))),DATE(VALUE(LEFT(Raw_Data!D9,4)),VALUE(MID(Raw_Data!D9,6,2)),VALUE(MID(Raw_Data!D9,9,2))),DATEVALUE(Raw_Data!D9))),"")</f>
        <v>45487</v>
      </c>
      <c r="E9" s="12" t="n">
        <f aca="false">IFERROR(IF(ISNUMBER(SEARCH("/",Raw_Data!E9)),DATE(VALUE(RIGHT(Raw_Data!E9,4)),VALUE(MID(Raw_Data!E9,FIND("/",Raw_Data!E9)+1,FIND("/",Raw_Data!E9,FIND("/",Raw_Data!E9)+1)-FIND("/",Raw_Data!E9)-1)),VALUE(LEFT(Raw_Data!E9,FIND("/",Raw_Data!E9)-1))),IF(ISNUMBER(VALUE(LEFT(Raw_Data!E9,4))),DATE(VALUE(LEFT(Raw_Data!E9,4)),VALUE(MID(Raw_Data!E9,6,2)),VALUE(MID(Raw_Data!E9,9,2))),DATEVALUE(Raw_Data!E9))),"")</f>
        <v>45492</v>
      </c>
      <c r="F9" s="11" t="str">
        <f aca="false">Raw_Data!F9</f>
        <v>Male 18-24</v>
      </c>
      <c r="G9" s="11" t="str">
        <f aca="false">IF(TRIM(Raw_Data!G9)="","Unspecified",IFERROR(INDEX(Lookup_Tables!$F$2:$F$24,MATCH(UPPER(TRIM(Raw_Data!G9)),Lookup_Tables!$G$2:$G$24,0)),"Unknown"))</f>
        <v>Central</v>
      </c>
      <c r="H9" s="11" t="n">
        <f aca="false">IF(Raw_Data!H9="",ROUND(AVERAGEIFS(Raw_Data!$H$2:$H$839,Raw_Data!$C$2:$C$839,Raw_Data!C9),2),Raw_Data!H9)</f>
        <v>6092.9</v>
      </c>
      <c r="I9" s="11" t="n">
        <f aca="false">Raw_Data!I9</f>
        <v>236321</v>
      </c>
      <c r="J9" s="11" t="n">
        <f aca="false">IF(Raw_Data!J9&lt;0,ABS(Raw_Data!J9),Raw_Data!J9)</f>
        <v>6588</v>
      </c>
      <c r="K9" s="11" t="n">
        <f aca="false">Raw_Data!K9</f>
        <v>395</v>
      </c>
      <c r="L9" s="11" t="n">
        <f aca="false">IF(Raw_Data!L9="",ROUND(AVERAGEIFS(Raw_Data!$L$2:$L$839,Raw_Data!$C$2:$C$839,Raw_Data!C9),2),Raw_Data!L9)</f>
        <v>397287.84</v>
      </c>
      <c r="M9" s="13" t="n">
        <f aca="false">IFERROR(J9/I9,0)</f>
        <v>0.0278773363349004</v>
      </c>
      <c r="N9" s="14" t="n">
        <f aca="false">IFERROR(H9/J9,0)</f>
        <v>0.924848208864602</v>
      </c>
      <c r="O9" s="14" t="n">
        <f aca="false">IFERROR(H9/K9,0)</f>
        <v>15.4250632911392</v>
      </c>
      <c r="P9" s="15" t="n">
        <f aca="false">IFERROR(L9/H9,0)</f>
        <v>65.2050484990727</v>
      </c>
      <c r="Q9" s="13" t="n">
        <f aca="false">IFERROR(K9/J9,0)</f>
        <v>0.0599574984820886</v>
      </c>
      <c r="R9" s="11" t="str">
        <f aca="false">IF(COUNTIF($A$2:A9,A9)&gt;1,"Duplicate - Remove","Unique")</f>
        <v>Unique</v>
      </c>
      <c r="S9" s="11" t="str">
        <f aca="false">TRIM(IF(Raw_Data!G9="","Region missing; ","")&amp;IF(Raw_Data!H9="","Spend imputed; ","")&amp;IF(Raw_Data!L9="","Revenue imputed; ","")&amp;IF(Raw_Data!J9&lt;0,"Clicks corrected; ",""))</f>
        <v/>
      </c>
    </row>
    <row r="10" customFormat="false" ht="15" hidden="false" customHeight="true" outlineLevel="0" collapsed="false">
      <c r="A10" s="11" t="n">
        <f aca="false">Raw_Data!A10</f>
        <v>1784</v>
      </c>
      <c r="B10" s="11" t="str">
        <f aca="false">PROPER(TRIM(Raw_Data!B10))</f>
        <v>Monsoon Skincare Push</v>
      </c>
      <c r="C10" s="11" t="str">
        <f aca="false">IFERROR(INDEX(Lookup_Tables!$B$2:$B$26,MATCH(UPPER(TRIM(Raw_Data!C10)),Lookup_Tables!$C$2:$C$26,0)),"Unknown")</f>
        <v>Email</v>
      </c>
      <c r="D10" s="12" t="n">
        <f aca="false">IFERROR(IF(ISNUMBER(SEARCH("/",Raw_Data!D10)),DATE(VALUE(RIGHT(Raw_Data!D10,4)),VALUE(MID(Raw_Data!D10,FIND("/",Raw_Data!D10)+1,FIND("/",Raw_Data!D10,FIND("/",Raw_Data!D10)+1)-FIND("/",Raw_Data!D10)-1)),VALUE(LEFT(Raw_Data!D10,FIND("/",Raw_Data!D10)-1))),IF(ISNUMBER(VALUE(LEFT(Raw_Data!D10,4))),DATE(VALUE(LEFT(Raw_Data!D10,4)),VALUE(MID(Raw_Data!D10,6,2)),VALUE(MID(Raw_Data!D10,9,2))),DATEVALUE(Raw_Data!D10))),"")</f>
        <v>45362</v>
      </c>
      <c r="E10" s="12" t="n">
        <f aca="false">IFERROR(IF(ISNUMBER(SEARCH("/",Raw_Data!E10)),DATE(VALUE(RIGHT(Raw_Data!E10,4)),VALUE(MID(Raw_Data!E10,FIND("/",Raw_Data!E10)+1,FIND("/",Raw_Data!E10,FIND("/",Raw_Data!E10)+1)-FIND("/",Raw_Data!E10)-1)),VALUE(LEFT(Raw_Data!E10,FIND("/",Raw_Data!E10)-1))),IF(ISNUMBER(VALUE(LEFT(Raw_Data!E10,4))),DATE(VALUE(LEFT(Raw_Data!E10,4)),VALUE(MID(Raw_Data!E10,6,2)),VALUE(MID(Raw_Data!E10,9,2))),DATEVALUE(Raw_Data!E10))),"")</f>
        <v>45369</v>
      </c>
      <c r="F10" s="11" t="str">
        <f aca="false">Raw_Data!F10</f>
        <v>Male 25-34</v>
      </c>
      <c r="G10" s="11" t="str">
        <f aca="false">IF(TRIM(Raw_Data!G10)="","Unspecified",IFERROR(INDEX(Lookup_Tables!$F$2:$F$24,MATCH(UPPER(TRIM(Raw_Data!G10)),Lookup_Tables!$G$2:$G$24,0)),"Unknown"))</f>
        <v>Central</v>
      </c>
      <c r="H10" s="11" t="n">
        <f aca="false">IF(Raw_Data!H10="",ROUND(AVERAGEIFS(Raw_Data!$H$2:$H$839,Raw_Data!$C$2:$C$839,Raw_Data!C10),2),Raw_Data!H10)</f>
        <v>5243.17</v>
      </c>
      <c r="I10" s="11" t="n">
        <f aca="false">Raw_Data!I10</f>
        <v>112725</v>
      </c>
      <c r="J10" s="11" t="n">
        <f aca="false">IF(Raw_Data!J10&lt;0,ABS(Raw_Data!J10),Raw_Data!J10)</f>
        <v>2739</v>
      </c>
      <c r="K10" s="11" t="n">
        <f aca="false">Raw_Data!K10</f>
        <v>161</v>
      </c>
      <c r="L10" s="11" t="n">
        <f aca="false">IF(Raw_Data!L10="",ROUND(AVERAGEIFS(Raw_Data!$L$2:$L$839,Raw_Data!$C$2:$C$839,Raw_Data!C10),2),Raw_Data!L10)</f>
        <v>78789.26</v>
      </c>
      <c r="M10" s="13" t="n">
        <f aca="false">IFERROR(J10/I10,0)</f>
        <v>0.0242980705256154</v>
      </c>
      <c r="N10" s="14" t="n">
        <f aca="false">IFERROR(H10/J10,0)</f>
        <v>1.91426433004746</v>
      </c>
      <c r="O10" s="14" t="n">
        <f aca="false">IFERROR(H10/K10,0)</f>
        <v>32.5662732919255</v>
      </c>
      <c r="P10" s="15" t="n">
        <f aca="false">IFERROR(L10/H10,0)</f>
        <v>15.0270275424981</v>
      </c>
      <c r="Q10" s="13" t="n">
        <f aca="false">IFERROR(K10/J10,0)</f>
        <v>0.058780576852866</v>
      </c>
      <c r="R10" s="11" t="str">
        <f aca="false">IF(COUNTIF($A$2:A10,A10)&gt;1,"Duplicate - Remove","Unique")</f>
        <v>Unique</v>
      </c>
      <c r="S10" s="11" t="str">
        <f aca="false">TRIM(IF(Raw_Data!G10="","Region missing; ","")&amp;IF(Raw_Data!H10="","Spend imputed; ","")&amp;IF(Raw_Data!L10="","Revenue imputed; ","")&amp;IF(Raw_Data!J10&lt;0,"Clicks corrected; ",""))</f>
        <v/>
      </c>
    </row>
    <row r="11" customFormat="false" ht="15" hidden="false" customHeight="true" outlineLevel="0" collapsed="false">
      <c r="A11" s="11" t="n">
        <f aca="false">Raw_Data!A11</f>
        <v>1326</v>
      </c>
      <c r="B11" s="11" t="str">
        <f aca="false">PROPER(TRIM(Raw_Data!B11))</f>
        <v>Hair Care Revamp</v>
      </c>
      <c r="C11" s="11" t="str">
        <f aca="false">IFERROR(INDEX(Lookup_Tables!$B$2:$B$26,MATCH(UPPER(TRIM(Raw_Data!C11)),Lookup_Tables!$C$2:$C$26,0)),"Unknown")</f>
        <v>Google Ads</v>
      </c>
      <c r="D11" s="12" t="n">
        <f aca="false">IFERROR(IF(ISNUMBER(SEARCH("/",Raw_Data!D11)),DATE(VALUE(RIGHT(Raw_Data!D11,4)),VALUE(MID(Raw_Data!D11,FIND("/",Raw_Data!D11)+1,FIND("/",Raw_Data!D11,FIND("/",Raw_Data!D11)+1)-FIND("/",Raw_Data!D11)-1)),VALUE(LEFT(Raw_Data!D11,FIND("/",Raw_Data!D11)-1))),IF(ISNUMBER(VALUE(LEFT(Raw_Data!D11,4))),DATE(VALUE(LEFT(Raw_Data!D11,4)),VALUE(MID(Raw_Data!D11,6,2)),VALUE(MID(Raw_Data!D11,9,2))),DATEVALUE(Raw_Data!D11))),"")</f>
        <v>45555</v>
      </c>
      <c r="E11" s="12" t="n">
        <f aca="false">IFERROR(IF(ISNUMBER(SEARCH("/",Raw_Data!E11)),DATE(VALUE(RIGHT(Raw_Data!E11,4)),VALUE(MID(Raw_Data!E11,FIND("/",Raw_Data!E11)+1,FIND("/",Raw_Data!E11,FIND("/",Raw_Data!E11)+1)-FIND("/",Raw_Data!E11)-1)),VALUE(LEFT(Raw_Data!E11,FIND("/",Raw_Data!E11)-1))),IF(ISNUMBER(VALUE(LEFT(Raw_Data!E11,4))),DATE(VALUE(LEFT(Raw_Data!E11,4)),VALUE(MID(Raw_Data!E11,6,2)),VALUE(MID(Raw_Data!E11,9,2))),DATEVALUE(Raw_Data!E11))),"")</f>
        <v>45581</v>
      </c>
      <c r="F11" s="11" t="str">
        <f aca="false">Raw_Data!F11</f>
        <v>Female 18-24</v>
      </c>
      <c r="G11" s="11" t="str">
        <f aca="false">IF(TRIM(Raw_Data!G11)="","Unspecified",IFERROR(INDEX(Lookup_Tables!$F$2:$F$24,MATCH(UPPER(TRIM(Raw_Data!G11)),Lookup_Tables!$G$2:$G$24,0)),"Unknown"))</f>
        <v>North</v>
      </c>
      <c r="H11" s="11" t="n">
        <f aca="false">IF(Raw_Data!H11="",ROUND(AVERAGEIFS(Raw_Data!$H$2:$H$839,Raw_Data!$C$2:$C$839,Raw_Data!C11),2),Raw_Data!H11)</f>
        <v>72158.45</v>
      </c>
      <c r="I11" s="11" t="n">
        <f aca="false">Raw_Data!I11</f>
        <v>1282556</v>
      </c>
      <c r="J11" s="11" t="n">
        <f aca="false">IF(Raw_Data!J11&lt;0,ABS(Raw_Data!J11),Raw_Data!J11)</f>
        <v>20479</v>
      </c>
      <c r="K11" s="11" t="n">
        <f aca="false">Raw_Data!K11</f>
        <v>1092</v>
      </c>
      <c r="L11" s="11" t="n">
        <f aca="false">IF(Raw_Data!L11="",ROUND(AVERAGEIFS(Raw_Data!$L$2:$L$839,Raw_Data!$C$2:$C$839,Raw_Data!C11),2),Raw_Data!L11)</f>
        <v>961045.35</v>
      </c>
      <c r="M11" s="13" t="n">
        <f aca="false">IFERROR(J11/I11,0)</f>
        <v>0.0159673339799588</v>
      </c>
      <c r="N11" s="14" t="n">
        <f aca="false">IFERROR(H11/J11,0)</f>
        <v>3.5235338639582</v>
      </c>
      <c r="O11" s="14" t="n">
        <f aca="false">IFERROR(H11/K11,0)</f>
        <v>66.0791666666667</v>
      </c>
      <c r="P11" s="15" t="n">
        <f aca="false">IFERROR(L11/H11,0)</f>
        <v>13.3185420418537</v>
      </c>
      <c r="Q11" s="13" t="n">
        <f aca="false">IFERROR(K11/J11,0)</f>
        <v>0.0533229161580155</v>
      </c>
      <c r="R11" s="11" t="str">
        <f aca="false">IF(COUNTIF($A$2:A11,A11)&gt;1,"Duplicate - Remove","Unique")</f>
        <v>Unique</v>
      </c>
      <c r="S11" s="11" t="str">
        <f aca="false">TRIM(IF(Raw_Data!G11="","Region missing; ","")&amp;IF(Raw_Data!H11="","Spend imputed; ","")&amp;IF(Raw_Data!L11="","Revenue imputed; ","")&amp;IF(Raw_Data!J11&lt;0,"Clicks corrected; ",""))</f>
        <v/>
      </c>
    </row>
    <row r="12" customFormat="false" ht="15" hidden="false" customHeight="true" outlineLevel="0" collapsed="false">
      <c r="A12" s="11" t="n">
        <f aca="false">Raw_Data!A12</f>
        <v>1457</v>
      </c>
      <c r="B12" s="11" t="str">
        <f aca="false">PROPER(TRIM(Raw_Data!B12))</f>
        <v>Influencer Collab - Skincare</v>
      </c>
      <c r="C12" s="11" t="str">
        <f aca="false">IFERROR(INDEX(Lookup_Tables!$B$2:$B$26,MATCH(UPPER(TRIM(Raw_Data!C12)),Lookup_Tables!$C$2:$C$26,0)),"Unknown")</f>
        <v>Google Ads</v>
      </c>
      <c r="D12" s="12" t="n">
        <f aca="false">IFERROR(IF(ISNUMBER(SEARCH("/",Raw_Data!D12)),DATE(VALUE(RIGHT(Raw_Data!D12,4)),VALUE(MID(Raw_Data!D12,FIND("/",Raw_Data!D12)+1,FIND("/",Raw_Data!D12,FIND("/",Raw_Data!D12)+1)-FIND("/",Raw_Data!D12)-1)),VALUE(LEFT(Raw_Data!D12,FIND("/",Raw_Data!D12)-1))),IF(ISNUMBER(VALUE(LEFT(Raw_Data!D12,4))),DATE(VALUE(LEFT(Raw_Data!D12,4)),VALUE(MID(Raw_Data!D12,6,2)),VALUE(MID(Raw_Data!D12,9,2))),DATEVALUE(Raw_Data!D12))),"")</f>
        <v>45338</v>
      </c>
      <c r="E12" s="12" t="n">
        <f aca="false">IFERROR(IF(ISNUMBER(SEARCH("/",Raw_Data!E12)),DATE(VALUE(RIGHT(Raw_Data!E12,4)),VALUE(MID(Raw_Data!E12,FIND("/",Raw_Data!E12)+1,FIND("/",Raw_Data!E12,FIND("/",Raw_Data!E12)+1)-FIND("/",Raw_Data!E12)-1)),VALUE(LEFT(Raw_Data!E12,FIND("/",Raw_Data!E12)-1))),IF(ISNUMBER(VALUE(LEFT(Raw_Data!E12,4))),DATE(VALUE(LEFT(Raw_Data!E12,4)),VALUE(MID(Raw_Data!E12,6,2)),VALUE(MID(Raw_Data!E12,9,2))),DATEVALUE(Raw_Data!E12))),"")</f>
        <v>45368</v>
      </c>
      <c r="F12" s="11" t="str">
        <f aca="false">Raw_Data!F12</f>
        <v>Male 45+</v>
      </c>
      <c r="G12" s="11" t="str">
        <f aca="false">IF(TRIM(Raw_Data!G12)="","Unspecified",IFERROR(INDEX(Lookup_Tables!$F$2:$F$24,MATCH(UPPER(TRIM(Raw_Data!G12)),Lookup_Tables!$G$2:$G$24,0)),"Unknown"))</f>
        <v>West</v>
      </c>
      <c r="H12" s="11" t="n">
        <f aca="false">IF(Raw_Data!H12="",ROUND(AVERAGEIFS(Raw_Data!$H$2:$H$839,Raw_Data!$C$2:$C$839,Raw_Data!C12),2),Raw_Data!H12)</f>
        <v>33296.08</v>
      </c>
      <c r="I12" s="11" t="n">
        <f aca="false">Raw_Data!I12</f>
        <v>685737</v>
      </c>
      <c r="J12" s="11" t="n">
        <f aca="false">IF(Raw_Data!J12&lt;0,ABS(Raw_Data!J12),Raw_Data!J12)</f>
        <v>15277</v>
      </c>
      <c r="K12" s="11" t="n">
        <f aca="false">Raw_Data!K12</f>
        <v>1140</v>
      </c>
      <c r="L12" s="11" t="n">
        <f aca="false">IF(Raw_Data!L12="",ROUND(AVERAGEIFS(Raw_Data!$L$2:$L$839,Raw_Data!$C$2:$C$839,Raw_Data!C12),2),Raw_Data!L12)</f>
        <v>505894.6</v>
      </c>
      <c r="M12" s="13" t="n">
        <f aca="false">IFERROR(J12/I12,0)</f>
        <v>0.0222782203672837</v>
      </c>
      <c r="N12" s="14" t="n">
        <f aca="false">IFERROR(H12/J12,0)</f>
        <v>2.17949073771028</v>
      </c>
      <c r="O12" s="14" t="n">
        <f aca="false">IFERROR(H12/K12,0)</f>
        <v>29.2070877192982</v>
      </c>
      <c r="P12" s="15" t="n">
        <f aca="false">IFERROR(L12/H12,0)</f>
        <v>15.1938186116804</v>
      </c>
      <c r="Q12" s="13" t="n">
        <f aca="false">IFERROR(K12/J12,0)</f>
        <v>0.0746219807553839</v>
      </c>
      <c r="R12" s="11" t="str">
        <f aca="false">IF(COUNTIF($A$2:A12,A12)&gt;1,"Duplicate - Remove","Unique")</f>
        <v>Unique</v>
      </c>
      <c r="S12" s="11" t="str">
        <f aca="false">TRIM(IF(Raw_Data!G12="","Region missing; ","")&amp;IF(Raw_Data!H12="","Spend imputed; ","")&amp;IF(Raw_Data!L12="","Revenue imputed; ","")&amp;IF(Raw_Data!J12&lt;0,"Clicks corrected; ",""))</f>
        <v/>
      </c>
    </row>
    <row r="13" customFormat="false" ht="15" hidden="false" customHeight="true" outlineLevel="0" collapsed="false">
      <c r="A13" s="11" t="n">
        <f aca="false">Raw_Data!A13</f>
        <v>1084</v>
      </c>
      <c r="B13" s="11" t="str">
        <f aca="false">PROPER(TRIM(Raw_Data!B13))</f>
        <v>Monsoon Skincare Push</v>
      </c>
      <c r="C13" s="11" t="str">
        <f aca="false">IFERROR(INDEX(Lookup_Tables!$B$2:$B$26,MATCH(UPPER(TRIM(Raw_Data!C13)),Lookup_Tables!$C$2:$C$26,0)),"Unknown")</f>
        <v>Instagram</v>
      </c>
      <c r="D13" s="12" t="n">
        <f aca="false">IFERROR(IF(ISNUMBER(SEARCH("/",Raw_Data!D13)),DATE(VALUE(RIGHT(Raw_Data!D13,4)),VALUE(MID(Raw_Data!D13,FIND("/",Raw_Data!D13)+1,FIND("/",Raw_Data!D13,FIND("/",Raw_Data!D13)+1)-FIND("/",Raw_Data!D13)-1)),VALUE(LEFT(Raw_Data!D13,FIND("/",Raw_Data!D13)-1))),IF(ISNUMBER(VALUE(LEFT(Raw_Data!D13,4))),DATE(VALUE(LEFT(Raw_Data!D13,4)),VALUE(MID(Raw_Data!D13,6,2)),VALUE(MID(Raw_Data!D13,9,2))),DATEVALUE(Raw_Data!D13))),"")</f>
        <v>45332</v>
      </c>
      <c r="E13" s="12" t="n">
        <f aca="false">IFERROR(IF(ISNUMBER(SEARCH("/",Raw_Data!E13)),DATE(VALUE(RIGHT(Raw_Data!E13,4)),VALUE(MID(Raw_Data!E13,FIND("/",Raw_Data!E13)+1,FIND("/",Raw_Data!E13,FIND("/",Raw_Data!E13)+1)-FIND("/",Raw_Data!E13)-1)),VALUE(LEFT(Raw_Data!E13,FIND("/",Raw_Data!E13)-1))),IF(ISNUMBER(VALUE(LEFT(Raw_Data!E13,4))),DATE(VALUE(LEFT(Raw_Data!E13,4)),VALUE(MID(Raw_Data!E13,6,2)),VALUE(MID(Raw_Data!E13,9,2))),DATEVALUE(Raw_Data!E13))),"")</f>
        <v>45347</v>
      </c>
      <c r="F13" s="11" t="str">
        <f aca="false">Raw_Data!F13</f>
        <v>Female 25-34</v>
      </c>
      <c r="G13" s="11" t="str">
        <f aca="false">IF(TRIM(Raw_Data!G13)="","Unspecified",IFERROR(INDEX(Lookup_Tables!$F$2:$F$24,MATCH(UPPER(TRIM(Raw_Data!G13)),Lookup_Tables!$G$2:$G$24,0)),"Unknown"))</f>
        <v>South</v>
      </c>
      <c r="H13" s="11" t="n">
        <f aca="false">IF(Raw_Data!H13="",ROUND(AVERAGEIFS(Raw_Data!$H$2:$H$839,Raw_Data!$C$2:$C$839,Raw_Data!C13),2),Raw_Data!H13)</f>
        <v>23373.28</v>
      </c>
      <c r="I13" s="11" t="n">
        <f aca="false">Raw_Data!I13</f>
        <v>611162</v>
      </c>
      <c r="J13" s="11" t="n">
        <f aca="false">IF(Raw_Data!J13&lt;0,ABS(Raw_Data!J13),Raw_Data!J13)</f>
        <v>16214</v>
      </c>
      <c r="K13" s="11" t="n">
        <f aca="false">Raw_Data!K13</f>
        <v>351</v>
      </c>
      <c r="L13" s="11" t="n">
        <f aca="false">IF(Raw_Data!L13="",ROUND(AVERAGEIFS(Raw_Data!$L$2:$L$839,Raw_Data!$C$2:$C$839,Raw_Data!C13),2),Raw_Data!L13)</f>
        <v>348777.17</v>
      </c>
      <c r="M13" s="13" t="n">
        <f aca="false">IFERROR(J13/I13,0)</f>
        <v>0.0265297907919668</v>
      </c>
      <c r="N13" s="14" t="n">
        <f aca="false">IFERROR(H13/J13,0)</f>
        <v>1.44154927840138</v>
      </c>
      <c r="O13" s="14" t="n">
        <f aca="false">IFERROR(H13/K13,0)</f>
        <v>66.5905413105413</v>
      </c>
      <c r="P13" s="15" t="n">
        <f aca="false">IFERROR(L13/H13,0)</f>
        <v>14.9220464564665</v>
      </c>
      <c r="Q13" s="13" t="n">
        <f aca="false">IFERROR(K13/J13,0)</f>
        <v>0.0216479585543358</v>
      </c>
      <c r="R13" s="11" t="str">
        <f aca="false">IF(COUNTIF($A$2:A13,A13)&gt;1,"Duplicate - Remove","Unique")</f>
        <v>Unique</v>
      </c>
      <c r="S13" s="11" t="str">
        <f aca="false">TRIM(IF(Raw_Data!G13="","Region missing; ","")&amp;IF(Raw_Data!H13="","Spend imputed; ","")&amp;IF(Raw_Data!L13="","Revenue imputed; ","")&amp;IF(Raw_Data!J13&lt;0,"Clicks corrected; ",""))</f>
        <v/>
      </c>
    </row>
    <row r="14" customFormat="false" ht="15" hidden="false" customHeight="true" outlineLevel="0" collapsed="false">
      <c r="A14" s="11" t="n">
        <f aca="false">Raw_Data!A14</f>
        <v>1404</v>
      </c>
      <c r="B14" s="11" t="str">
        <f aca="false">PROPER(TRIM(Raw_Data!B14))</f>
        <v>Influencer Collab - Skincare</v>
      </c>
      <c r="C14" s="11" t="str">
        <f aca="false">IFERROR(INDEX(Lookup_Tables!$B$2:$B$26,MATCH(UPPER(TRIM(Raw_Data!C14)),Lookup_Tables!$C$2:$C$26,0)),"Unknown")</f>
        <v>Instagram</v>
      </c>
      <c r="D14" s="12" t="n">
        <f aca="false">IFERROR(IF(ISNUMBER(SEARCH("/",Raw_Data!D14)),DATE(VALUE(RIGHT(Raw_Data!D14,4)),VALUE(MID(Raw_Data!D14,FIND("/",Raw_Data!D14)+1,FIND("/",Raw_Data!D14,FIND("/",Raw_Data!D14)+1)-FIND("/",Raw_Data!D14)-1)),VALUE(LEFT(Raw_Data!D14,FIND("/",Raw_Data!D14)-1))),IF(ISNUMBER(VALUE(LEFT(Raw_Data!D14,4))),DATE(VALUE(LEFT(Raw_Data!D14,4)),VALUE(MID(Raw_Data!D14,6,2)),VALUE(MID(Raw_Data!D14,9,2))),DATEVALUE(Raw_Data!D14))),"")</f>
        <v>45617</v>
      </c>
      <c r="E14" s="12" t="n">
        <f aca="false">IFERROR(IF(ISNUMBER(SEARCH("/",Raw_Data!E14)),DATE(VALUE(RIGHT(Raw_Data!E14,4)),VALUE(MID(Raw_Data!E14,FIND("/",Raw_Data!E14)+1,FIND("/",Raw_Data!E14,FIND("/",Raw_Data!E14)+1)-FIND("/",Raw_Data!E14)-1)),VALUE(LEFT(Raw_Data!E14,FIND("/",Raw_Data!E14)-1))),IF(ISNUMBER(VALUE(LEFT(Raw_Data!E14,4))),DATE(VALUE(LEFT(Raw_Data!E14,4)),VALUE(MID(Raw_Data!E14,6,2)),VALUE(MID(Raw_Data!E14,9,2))),DATEVALUE(Raw_Data!E14))),"")</f>
        <v>45638</v>
      </c>
      <c r="F14" s="11" t="str">
        <f aca="false">Raw_Data!F14</f>
        <v>Female 25-34</v>
      </c>
      <c r="G14" s="11" t="str">
        <f aca="false">IF(TRIM(Raw_Data!G14)="","Unspecified",IFERROR(INDEX(Lookup_Tables!$F$2:$F$24,MATCH(UPPER(TRIM(Raw_Data!G14)),Lookup_Tables!$G$2:$G$24,0)),"Unknown"))</f>
        <v>East</v>
      </c>
      <c r="H14" s="11" t="n">
        <f aca="false">IF(Raw_Data!H14="",ROUND(AVERAGEIFS(Raw_Data!$H$2:$H$839,Raw_Data!$C$2:$C$839,Raw_Data!C14),2),Raw_Data!H14)</f>
        <v>48709.84</v>
      </c>
      <c r="I14" s="11" t="n">
        <f aca="false">Raw_Data!I14</f>
        <v>904014</v>
      </c>
      <c r="J14" s="11" t="n">
        <f aca="false">IF(Raw_Data!J14&lt;0,ABS(Raw_Data!J14),Raw_Data!J14)</f>
        <v>19177</v>
      </c>
      <c r="K14" s="11" t="n">
        <f aca="false">Raw_Data!K14</f>
        <v>417</v>
      </c>
      <c r="L14" s="11" t="n">
        <f aca="false">IF(Raw_Data!L14="",ROUND(AVERAGEIFS(Raw_Data!$L$2:$L$839,Raw_Data!$C$2:$C$839,Raw_Data!C14),2),Raw_Data!L14)</f>
        <v>294186.89</v>
      </c>
      <c r="M14" s="13" t="n">
        <f aca="false">IFERROR(J14/I14,0)</f>
        <v>0.0212131670527226</v>
      </c>
      <c r="N14" s="14" t="n">
        <f aca="false">IFERROR(H14/J14,0)</f>
        <v>2.54001355790791</v>
      </c>
      <c r="O14" s="14" t="n">
        <f aca="false">IFERROR(H14/K14,0)</f>
        <v>116.810167865707</v>
      </c>
      <c r="P14" s="15" t="n">
        <f aca="false">IFERROR(L14/H14,0)</f>
        <v>6.03957824538122</v>
      </c>
      <c r="Q14" s="13" t="n">
        <f aca="false">IFERROR(K14/J14,0)</f>
        <v>0.0217447984564843</v>
      </c>
      <c r="R14" s="11" t="str">
        <f aca="false">IF(COUNTIF($A$2:A14,A14)&gt;1,"Duplicate - Remove","Unique")</f>
        <v>Unique</v>
      </c>
      <c r="S14" s="11" t="str">
        <f aca="false">TRIM(IF(Raw_Data!G14="","Region missing; ","")&amp;IF(Raw_Data!H14="","Spend imputed; ","")&amp;IF(Raw_Data!L14="","Revenue imputed; ","")&amp;IF(Raw_Data!J14&lt;0,"Clicks corrected; ",""))</f>
        <v/>
      </c>
    </row>
    <row r="15" customFormat="false" ht="15" hidden="false" customHeight="true" outlineLevel="0" collapsed="false">
      <c r="A15" s="11" t="n">
        <f aca="false">Raw_Data!A15</f>
        <v>1345</v>
      </c>
      <c r="B15" s="11" t="str">
        <f aca="false">PROPER(TRIM(Raw_Data!B15))</f>
        <v>Wedding Season Special</v>
      </c>
      <c r="C15" s="11" t="str">
        <f aca="false">IFERROR(INDEX(Lookup_Tables!$B$2:$B$26,MATCH(UPPER(TRIM(Raw_Data!C15)),Lookup_Tables!$C$2:$C$26,0)),"Unknown")</f>
        <v>Instagram</v>
      </c>
      <c r="D15" s="12" t="n">
        <f aca="false">IFERROR(IF(ISNUMBER(SEARCH("/",Raw_Data!D15)),DATE(VALUE(RIGHT(Raw_Data!D15,4)),VALUE(MID(Raw_Data!D15,FIND("/",Raw_Data!D15)+1,FIND("/",Raw_Data!D15,FIND("/",Raw_Data!D15)+1)-FIND("/",Raw_Data!D15)-1)),VALUE(LEFT(Raw_Data!D15,FIND("/",Raw_Data!D15)-1))),IF(ISNUMBER(VALUE(LEFT(Raw_Data!D15,4))),DATE(VALUE(LEFT(Raw_Data!D15,4)),VALUE(MID(Raw_Data!D15,6,2)),VALUE(MID(Raw_Data!D15,9,2))),DATEVALUE(Raw_Data!D15))),"")</f>
        <v>45384</v>
      </c>
      <c r="E15" s="12" t="n">
        <f aca="false">IFERROR(IF(ISNUMBER(SEARCH("/",Raw_Data!E15)),DATE(VALUE(RIGHT(Raw_Data!E15,4)),VALUE(MID(Raw_Data!E15,FIND("/",Raw_Data!E15)+1,FIND("/",Raw_Data!E15,FIND("/",Raw_Data!E15)+1)-FIND("/",Raw_Data!E15)-1)),VALUE(LEFT(Raw_Data!E15,FIND("/",Raw_Data!E15)-1))),IF(ISNUMBER(VALUE(LEFT(Raw_Data!E15,4))),DATE(VALUE(LEFT(Raw_Data!E15,4)),VALUE(MID(Raw_Data!E15,6,2)),VALUE(MID(Raw_Data!E15,9,2))),DATEVALUE(Raw_Data!E15))),"")</f>
        <v>45400</v>
      </c>
      <c r="F15" s="11" t="str">
        <f aca="false">Raw_Data!F15</f>
        <v>Female 25-34</v>
      </c>
      <c r="G15" s="11" t="str">
        <f aca="false">IF(TRIM(Raw_Data!G15)="","Unspecified",IFERROR(INDEX(Lookup_Tables!$F$2:$F$24,MATCH(UPPER(TRIM(Raw_Data!G15)),Lookup_Tables!$G$2:$G$24,0)),"Unknown"))</f>
        <v>East</v>
      </c>
      <c r="H15" s="11" t="n">
        <f aca="false">IF(Raw_Data!H15="",ROUND(AVERAGEIFS(Raw_Data!$H$2:$H$839,Raw_Data!$C$2:$C$839,Raw_Data!C15),2),Raw_Data!H15)</f>
        <v>30052.78</v>
      </c>
      <c r="I15" s="11" t="n">
        <f aca="false">Raw_Data!I15</f>
        <v>837158</v>
      </c>
      <c r="J15" s="11" t="n">
        <f aca="false">IF(Raw_Data!J15&lt;0,ABS(Raw_Data!J15),Raw_Data!J15)</f>
        <v>14422</v>
      </c>
      <c r="K15" s="11" t="n">
        <f aca="false">Raw_Data!K15</f>
        <v>912</v>
      </c>
      <c r="L15" s="11" t="n">
        <f aca="false">IF(Raw_Data!L15="",ROUND(AVERAGEIFS(Raw_Data!$L$2:$L$839,Raw_Data!$C$2:$C$839,Raw_Data!C15),2),Raw_Data!L15)</f>
        <v>734804.23</v>
      </c>
      <c r="M15" s="13" t="n">
        <f aca="false">IFERROR(J15/I15,0)</f>
        <v>0.0172273334304874</v>
      </c>
      <c r="N15" s="14" t="n">
        <f aca="false">IFERROR(H15/J15,0)</f>
        <v>2.0838150048537</v>
      </c>
      <c r="O15" s="14" t="n">
        <f aca="false">IFERROR(H15/K15,0)</f>
        <v>32.9526096491228</v>
      </c>
      <c r="P15" s="15" t="n">
        <f aca="false">IFERROR(L15/H15,0)</f>
        <v>24.4504578278615</v>
      </c>
      <c r="Q15" s="13" t="n">
        <f aca="false">IFERROR(K15/J15,0)</f>
        <v>0.0632367216752184</v>
      </c>
      <c r="R15" s="11" t="str">
        <f aca="false">IF(COUNTIF($A$2:A15,A15)&gt;1,"Duplicate - Remove","Unique")</f>
        <v>Unique</v>
      </c>
      <c r="S15" s="11" t="str">
        <f aca="false">TRIM(IF(Raw_Data!G15="","Region missing; ","")&amp;IF(Raw_Data!H15="","Spend imputed; ","")&amp;IF(Raw_Data!L15="","Revenue imputed; ","")&amp;IF(Raw_Data!J15&lt;0,"Clicks corrected; ",""))</f>
        <v/>
      </c>
    </row>
    <row r="16" customFormat="false" ht="15" hidden="false" customHeight="true" outlineLevel="0" collapsed="false">
      <c r="A16" s="11" t="n">
        <f aca="false">Raw_Data!A16</f>
        <v>1741</v>
      </c>
      <c r="B16" s="11" t="str">
        <f aca="false">PROPER(TRIM(Raw_Data!B16))</f>
        <v>Herbal Range Awareness</v>
      </c>
      <c r="C16" s="11" t="str">
        <f aca="false">IFERROR(INDEX(Lookup_Tables!$B$2:$B$26,MATCH(UPPER(TRIM(Raw_Data!C16)),Lookup_Tables!$C$2:$C$26,0)),"Unknown")</f>
        <v>Google Ads</v>
      </c>
      <c r="D16" s="12" t="n">
        <f aca="false">IFERROR(IF(ISNUMBER(SEARCH("/",Raw_Data!D16)),DATE(VALUE(RIGHT(Raw_Data!D16,4)),VALUE(MID(Raw_Data!D16,FIND("/",Raw_Data!D16)+1,FIND("/",Raw_Data!D16,FIND("/",Raw_Data!D16)+1)-FIND("/",Raw_Data!D16)-1)),VALUE(LEFT(Raw_Data!D16,FIND("/",Raw_Data!D16)-1))),IF(ISNUMBER(VALUE(LEFT(Raw_Data!D16,4))),DATE(VALUE(LEFT(Raw_Data!D16,4)),VALUE(MID(Raw_Data!D16,6,2)),VALUE(MID(Raw_Data!D16,9,2))),DATEVALUE(Raw_Data!D16))),"")</f>
        <v>45313</v>
      </c>
      <c r="E16" s="12" t="n">
        <f aca="false">IFERROR(IF(ISNUMBER(SEARCH("/",Raw_Data!E16)),DATE(VALUE(RIGHT(Raw_Data!E16,4)),VALUE(MID(Raw_Data!E16,FIND("/",Raw_Data!E16)+1,FIND("/",Raw_Data!E16,FIND("/",Raw_Data!E16)+1)-FIND("/",Raw_Data!E16)-1)),VALUE(LEFT(Raw_Data!E16,FIND("/",Raw_Data!E16)-1))),IF(ISNUMBER(VALUE(LEFT(Raw_Data!E16,4))),DATE(VALUE(LEFT(Raw_Data!E16,4)),VALUE(MID(Raw_Data!E16,6,2)),VALUE(MID(Raw_Data!E16,9,2))),DATEVALUE(Raw_Data!E16))),"")</f>
        <v>45328</v>
      </c>
      <c r="F16" s="11" t="str">
        <f aca="false">Raw_Data!F16</f>
        <v>Female 35-44</v>
      </c>
      <c r="G16" s="11" t="str">
        <f aca="false">IF(TRIM(Raw_Data!G16)="","Unspecified",IFERROR(INDEX(Lookup_Tables!$F$2:$F$24,MATCH(UPPER(TRIM(Raw_Data!G16)),Lookup_Tables!$G$2:$G$24,0)),"Unknown"))</f>
        <v>West</v>
      </c>
      <c r="H16" s="11" t="n">
        <f aca="false">IF(Raw_Data!H16="",ROUND(AVERAGEIFS(Raw_Data!$H$2:$H$839,Raw_Data!$C$2:$C$839,Raw_Data!C16),2),Raw_Data!H16)</f>
        <v>74280.91</v>
      </c>
      <c r="I16" s="11" t="n">
        <f aca="false">Raw_Data!I16</f>
        <v>2939136</v>
      </c>
      <c r="J16" s="11" t="n">
        <f aca="false">IF(Raw_Data!J16&lt;0,ABS(Raw_Data!J16),Raw_Data!J16)</f>
        <v>27485</v>
      </c>
      <c r="K16" s="11" t="n">
        <f aca="false">Raw_Data!K16</f>
        <v>932</v>
      </c>
      <c r="L16" s="11" t="n">
        <f aca="false">IF(Raw_Data!L16="",ROUND(AVERAGEIFS(Raw_Data!$L$2:$L$839,Raw_Data!$C$2:$C$839,Raw_Data!C16),2),Raw_Data!L16)</f>
        <v>1181227.33</v>
      </c>
      <c r="M16" s="13" t="n">
        <f aca="false">IFERROR(J16/I16,0)</f>
        <v>0.00935138761867433</v>
      </c>
      <c r="N16" s="14" t="n">
        <f aca="false">IFERROR(H16/J16,0)</f>
        <v>2.70259814444242</v>
      </c>
      <c r="O16" s="14" t="n">
        <f aca="false">IFERROR(H16/K16,0)</f>
        <v>79.7005472103004</v>
      </c>
      <c r="P16" s="15" t="n">
        <f aca="false">IFERROR(L16/H16,0)</f>
        <v>15.902165576593</v>
      </c>
      <c r="Q16" s="13" t="n">
        <f aca="false">IFERROR(K16/J16,0)</f>
        <v>0.033909405130071</v>
      </c>
      <c r="R16" s="11" t="str">
        <f aca="false">IF(COUNTIF($A$2:A16,A16)&gt;1,"Duplicate - Remove","Unique")</f>
        <v>Unique</v>
      </c>
      <c r="S16" s="11" t="str">
        <f aca="false">TRIM(IF(Raw_Data!G16="","Region missing; ","")&amp;IF(Raw_Data!H16="","Spend imputed; ","")&amp;IF(Raw_Data!L16="","Revenue imputed; ","")&amp;IF(Raw_Data!J16&lt;0,"Clicks corrected; ",""))</f>
        <v/>
      </c>
    </row>
    <row r="17" customFormat="false" ht="15" hidden="false" customHeight="true" outlineLevel="0" collapsed="false">
      <c r="A17" s="11" t="n">
        <f aca="false">Raw_Data!A17</f>
        <v>1625</v>
      </c>
      <c r="B17" s="11" t="str">
        <f aca="false">PROPER(TRIM(Raw_Data!B17))</f>
        <v>Anti-Ageing Serum Push</v>
      </c>
      <c r="C17" s="11" t="str">
        <f aca="false">IFERROR(INDEX(Lookup_Tables!$B$2:$B$26,MATCH(UPPER(TRIM(Raw_Data!C17)),Lookup_Tables!$C$2:$C$26,0)),"Unknown")</f>
        <v>Google Ads</v>
      </c>
      <c r="D17" s="12" t="n">
        <f aca="false">IFERROR(IF(ISNUMBER(SEARCH("/",Raw_Data!D17)),DATE(VALUE(RIGHT(Raw_Data!D17,4)),VALUE(MID(Raw_Data!D17,FIND("/",Raw_Data!D17)+1,FIND("/",Raw_Data!D17,FIND("/",Raw_Data!D17)+1)-FIND("/",Raw_Data!D17)-1)),VALUE(LEFT(Raw_Data!D17,FIND("/",Raw_Data!D17)-1))),IF(ISNUMBER(VALUE(LEFT(Raw_Data!D17,4))),DATE(VALUE(LEFT(Raw_Data!D17,4)),VALUE(MID(Raw_Data!D17,6,2)),VALUE(MID(Raw_Data!D17,9,2))),DATEVALUE(Raw_Data!D17))),"")</f>
        <v>45351</v>
      </c>
      <c r="E17" s="12" t="n">
        <f aca="false">IFERROR(IF(ISNUMBER(SEARCH("/",Raw_Data!E17)),DATE(VALUE(RIGHT(Raw_Data!E17,4)),VALUE(MID(Raw_Data!E17,FIND("/",Raw_Data!E17)+1,FIND("/",Raw_Data!E17,FIND("/",Raw_Data!E17)+1)-FIND("/",Raw_Data!E17)-1)),VALUE(LEFT(Raw_Data!E17,FIND("/",Raw_Data!E17)-1))),IF(ISNUMBER(VALUE(LEFT(Raw_Data!E17,4))),DATE(VALUE(LEFT(Raw_Data!E17,4)),VALUE(MID(Raw_Data!E17,6,2)),VALUE(MID(Raw_Data!E17,9,2))),DATEVALUE(Raw_Data!E17))),"")</f>
        <v>45381</v>
      </c>
      <c r="F17" s="11" t="str">
        <f aca="false">Raw_Data!F17</f>
        <v>Female 45+</v>
      </c>
      <c r="G17" s="11" t="str">
        <f aca="false">IF(TRIM(Raw_Data!G17)="","Unspecified",IFERROR(INDEX(Lookup_Tables!$F$2:$F$24,MATCH(UPPER(TRIM(Raw_Data!G17)),Lookup_Tables!$G$2:$G$24,0)),"Unknown"))</f>
        <v>East</v>
      </c>
      <c r="H17" s="11" t="n">
        <f aca="false">IF(Raw_Data!H17="",ROUND(AVERAGEIFS(Raw_Data!$H$2:$H$839,Raw_Data!$C$2:$C$839,Raw_Data!C17),2),Raw_Data!H17)</f>
        <v>49962.66</v>
      </c>
      <c r="I17" s="11" t="n">
        <f aca="false">Raw_Data!I17</f>
        <v>1992159</v>
      </c>
      <c r="J17" s="11" t="n">
        <f aca="false">IF(Raw_Data!J17&lt;0,ABS(Raw_Data!J17),Raw_Data!J17)</f>
        <v>46750</v>
      </c>
      <c r="K17" s="11" t="n">
        <f aca="false">Raw_Data!K17</f>
        <v>2231</v>
      </c>
      <c r="L17" s="11" t="n">
        <f aca="false">IF(Raw_Data!L17="",ROUND(AVERAGEIFS(Raw_Data!$L$2:$L$839,Raw_Data!$C$2:$C$839,Raw_Data!C17),2),Raw_Data!L17)</f>
        <v>3348505.73</v>
      </c>
      <c r="M17" s="13" t="n">
        <f aca="false">IFERROR(J17/I17,0)</f>
        <v>0.0234670023828419</v>
      </c>
      <c r="N17" s="14" t="n">
        <f aca="false">IFERROR(H17/J17,0)</f>
        <v>1.06872</v>
      </c>
      <c r="O17" s="14" t="n">
        <f aca="false">IFERROR(H17/K17,0)</f>
        <v>22.3947377857463</v>
      </c>
      <c r="P17" s="15" t="n">
        <f aca="false">IFERROR(L17/H17,0)</f>
        <v>67.0201652594157</v>
      </c>
      <c r="Q17" s="13" t="n">
        <f aca="false">IFERROR(K17/J17,0)</f>
        <v>0.0477219251336898</v>
      </c>
      <c r="R17" s="11" t="str">
        <f aca="false">IF(COUNTIF($A$2:A17,A17)&gt;1,"Duplicate - Remove","Unique")</f>
        <v>Unique</v>
      </c>
      <c r="S17" s="11" t="str">
        <f aca="false">TRIM(IF(Raw_Data!G17="","Region missing; ","")&amp;IF(Raw_Data!H17="","Spend imputed; ","")&amp;IF(Raw_Data!L17="","Revenue imputed; ","")&amp;IF(Raw_Data!J17&lt;0,"Clicks corrected; ",""))</f>
        <v/>
      </c>
    </row>
    <row r="18" customFormat="false" ht="15" hidden="false" customHeight="true" outlineLevel="0" collapsed="false">
      <c r="A18" s="11" t="n">
        <f aca="false">Raw_Data!A18</f>
        <v>1819</v>
      </c>
      <c r="B18" s="11" t="str">
        <f aca="false">PROPER(TRIM(Raw_Data!B18))</f>
        <v>Festive Gift Bundle</v>
      </c>
      <c r="C18" s="11" t="str">
        <f aca="false">IFERROR(INDEX(Lookup_Tables!$B$2:$B$26,MATCH(UPPER(TRIM(Raw_Data!C18)),Lookup_Tables!$C$2:$C$26,0)),"Unknown")</f>
        <v>Instagram</v>
      </c>
      <c r="D18" s="12" t="n">
        <f aca="false">IFERROR(IF(ISNUMBER(SEARCH("/",Raw_Data!D18)),DATE(VALUE(RIGHT(Raw_Data!D18,4)),VALUE(MID(Raw_Data!D18,FIND("/",Raw_Data!D18)+1,FIND("/",Raw_Data!D18,FIND("/",Raw_Data!D18)+1)-FIND("/",Raw_Data!D18)-1)),VALUE(LEFT(Raw_Data!D18,FIND("/",Raw_Data!D18)-1))),IF(ISNUMBER(VALUE(LEFT(Raw_Data!D18,4))),DATE(VALUE(LEFT(Raw_Data!D18,4)),VALUE(MID(Raw_Data!D18,6,2)),VALUE(MID(Raw_Data!D18,9,2))),DATEVALUE(Raw_Data!D18))),"")</f>
        <v>45415</v>
      </c>
      <c r="E18" s="12" t="n">
        <f aca="false">IFERROR(IF(ISNUMBER(SEARCH("/",Raw_Data!E18)),DATE(VALUE(RIGHT(Raw_Data!E18,4)),VALUE(MID(Raw_Data!E18,FIND("/",Raw_Data!E18)+1,FIND("/",Raw_Data!E18,FIND("/",Raw_Data!E18)+1)-FIND("/",Raw_Data!E18)-1)),VALUE(LEFT(Raw_Data!E18,FIND("/",Raw_Data!E18)-1))),IF(ISNUMBER(VALUE(LEFT(Raw_Data!E18,4))),DATE(VALUE(LEFT(Raw_Data!E18,4)),VALUE(MID(Raw_Data!E18,6,2)),VALUE(MID(Raw_Data!E18,9,2))),DATEVALUE(Raw_Data!E18))),"")</f>
        <v>45437</v>
      </c>
      <c r="F18" s="11" t="str">
        <f aca="false">Raw_Data!F18</f>
        <v>Female 25-34</v>
      </c>
      <c r="G18" s="11" t="str">
        <f aca="false">IF(TRIM(Raw_Data!G18)="","Unspecified",IFERROR(INDEX(Lookup_Tables!$F$2:$F$24,MATCH(UPPER(TRIM(Raw_Data!G18)),Lookup_Tables!$G$2:$G$24,0)),"Unknown"))</f>
        <v>South</v>
      </c>
      <c r="H18" s="11" t="n">
        <f aca="false">IF(Raw_Data!H18="",ROUND(AVERAGEIFS(Raw_Data!$H$2:$H$839,Raw_Data!$C$2:$C$839,Raw_Data!C18),2),Raw_Data!H18)</f>
        <v>12345.53</v>
      </c>
      <c r="I18" s="11" t="n">
        <f aca="false">Raw_Data!I18</f>
        <v>347241</v>
      </c>
      <c r="J18" s="11" t="n">
        <f aca="false">IF(Raw_Data!J18&lt;0,ABS(Raw_Data!J18),Raw_Data!J18)</f>
        <v>2710</v>
      </c>
      <c r="K18" s="11" t="n">
        <f aca="false">Raw_Data!K18</f>
        <v>76</v>
      </c>
      <c r="L18" s="11" t="n">
        <f aca="false">IF(Raw_Data!L18="",ROUND(AVERAGEIFS(Raw_Data!$L$2:$L$839,Raw_Data!$C$2:$C$839,Raw_Data!C18),2),Raw_Data!L18)</f>
        <v>87089.6</v>
      </c>
      <c r="M18" s="13" t="n">
        <f aca="false">IFERROR(J18/I18,0)</f>
        <v>0.00780437793924105</v>
      </c>
      <c r="N18" s="14" t="n">
        <f aca="false">IFERROR(H18/J18,0)</f>
        <v>4.55554612546126</v>
      </c>
      <c r="O18" s="14" t="n">
        <f aca="false">IFERROR(H18/K18,0)</f>
        <v>162.441184210526</v>
      </c>
      <c r="P18" s="15" t="n">
        <f aca="false">IFERROR(L18/H18,0)</f>
        <v>7.05434274591694</v>
      </c>
      <c r="Q18" s="13" t="n">
        <f aca="false">IFERROR(K18/J18,0)</f>
        <v>0.0280442804428044</v>
      </c>
      <c r="R18" s="11" t="str">
        <f aca="false">IF(COUNTIF($A$2:A18,A18)&gt;1,"Duplicate - Remove","Unique")</f>
        <v>Unique</v>
      </c>
      <c r="S18" s="11" t="str">
        <f aca="false">TRIM(IF(Raw_Data!G18="","Region missing; ","")&amp;IF(Raw_Data!H18="","Spend imputed; ","")&amp;IF(Raw_Data!L18="","Revenue imputed; ","")&amp;IF(Raw_Data!J18&lt;0,"Clicks corrected; ",""))</f>
        <v/>
      </c>
    </row>
    <row r="19" customFormat="false" ht="15" hidden="false" customHeight="true" outlineLevel="0" collapsed="false">
      <c r="A19" s="11" t="n">
        <f aca="false">Raw_Data!A19</f>
        <v>1794</v>
      </c>
      <c r="B19" s="11" t="str">
        <f aca="false">PROPER(TRIM(Raw_Data!B19))</f>
        <v>Monsoon Skincare Push</v>
      </c>
      <c r="C19" s="11" t="str">
        <f aca="false">IFERROR(INDEX(Lookup_Tables!$B$2:$B$26,MATCH(UPPER(TRIM(Raw_Data!C19)),Lookup_Tables!$C$2:$C$26,0)),"Unknown")</f>
        <v>Facebook</v>
      </c>
      <c r="D19" s="12" t="n">
        <f aca="false">IFERROR(IF(ISNUMBER(SEARCH("/",Raw_Data!D19)),DATE(VALUE(RIGHT(Raw_Data!D19,4)),VALUE(MID(Raw_Data!D19,FIND("/",Raw_Data!D19)+1,FIND("/",Raw_Data!D19,FIND("/",Raw_Data!D19)+1)-FIND("/",Raw_Data!D19)-1)),VALUE(LEFT(Raw_Data!D19,FIND("/",Raw_Data!D19)-1))),IF(ISNUMBER(VALUE(LEFT(Raw_Data!D19,4))),DATE(VALUE(LEFT(Raw_Data!D19,4)),VALUE(MID(Raw_Data!D19,6,2)),VALUE(MID(Raw_Data!D19,9,2))),DATEVALUE(Raw_Data!D19))),"")</f>
        <v>45371</v>
      </c>
      <c r="E19" s="12" t="n">
        <f aca="false">IFERROR(IF(ISNUMBER(SEARCH("/",Raw_Data!E19)),DATE(VALUE(RIGHT(Raw_Data!E19,4)),VALUE(MID(Raw_Data!E19,FIND("/",Raw_Data!E19)+1,FIND("/",Raw_Data!E19,FIND("/",Raw_Data!E19)+1)-FIND("/",Raw_Data!E19)-1)),VALUE(LEFT(Raw_Data!E19,FIND("/",Raw_Data!E19)-1))),IF(ISNUMBER(VALUE(LEFT(Raw_Data!E19,4))),DATE(VALUE(LEFT(Raw_Data!E19,4)),VALUE(MID(Raw_Data!E19,6,2)),VALUE(MID(Raw_Data!E19,9,2))),DATEVALUE(Raw_Data!E19))),"")</f>
        <v>45379</v>
      </c>
      <c r="F19" s="11" t="str">
        <f aca="false">Raw_Data!F19</f>
        <v>Female 25-34</v>
      </c>
      <c r="G19" s="11" t="str">
        <f aca="false">IF(TRIM(Raw_Data!G19)="","Unspecified",IFERROR(INDEX(Lookup_Tables!$F$2:$F$24,MATCH(UPPER(TRIM(Raw_Data!G19)),Lookup_Tables!$G$2:$G$24,0)),"Unknown"))</f>
        <v>Central</v>
      </c>
      <c r="H19" s="11" t="n">
        <f aca="false">IF(Raw_Data!H19="",ROUND(AVERAGEIFS(Raw_Data!$H$2:$H$839,Raw_Data!$C$2:$C$839,Raw_Data!C19),2),Raw_Data!H19)</f>
        <v>47957.76</v>
      </c>
      <c r="I19" s="11" t="n">
        <f aca="false">Raw_Data!I19</f>
        <v>798475</v>
      </c>
      <c r="J19" s="11" t="n">
        <f aca="false">IF(Raw_Data!J19&lt;0,ABS(Raw_Data!J19),Raw_Data!J19)</f>
        <v>22445</v>
      </c>
      <c r="K19" s="11" t="n">
        <f aca="false">Raw_Data!K19</f>
        <v>1416</v>
      </c>
      <c r="L19" s="11" t="n">
        <f aca="false">IF(Raw_Data!L19="",ROUND(AVERAGEIFS(Raw_Data!$L$2:$L$839,Raw_Data!$C$2:$C$839,Raw_Data!C19),2),Raw_Data!L19)</f>
        <v>1050068.93</v>
      </c>
      <c r="M19" s="13" t="n">
        <f aca="false">IFERROR(J19/I19,0)</f>
        <v>0.0281098343717712</v>
      </c>
      <c r="N19" s="14" t="n">
        <f aca="false">IFERROR(H19/J19,0)</f>
        <v>2.13667899309423</v>
      </c>
      <c r="O19" s="14" t="n">
        <f aca="false">IFERROR(H19/K19,0)</f>
        <v>33.8684745762712</v>
      </c>
      <c r="P19" s="15" t="n">
        <f aca="false">IFERROR(L19/H19,0)</f>
        <v>21.8957042614167</v>
      </c>
      <c r="Q19" s="13" t="n">
        <f aca="false">IFERROR(K19/J19,0)</f>
        <v>0.0630875473379372</v>
      </c>
      <c r="R19" s="11" t="str">
        <f aca="false">IF(COUNTIF($A$2:A19,A19)&gt;1,"Duplicate - Remove","Unique")</f>
        <v>Unique</v>
      </c>
      <c r="S19" s="11" t="str">
        <f aca="false">TRIM(IF(Raw_Data!G19="","Region missing; ","")&amp;IF(Raw_Data!H19="","Spend imputed; ","")&amp;IF(Raw_Data!L19="","Revenue imputed; ","")&amp;IF(Raw_Data!J19&lt;0,"Clicks corrected; ",""))</f>
        <v/>
      </c>
    </row>
    <row r="20" customFormat="false" ht="15" hidden="false" customHeight="true" outlineLevel="0" collapsed="false">
      <c r="A20" s="11" t="n">
        <f aca="false">Raw_Data!A20</f>
        <v>1240</v>
      </c>
      <c r="B20" s="11" t="str">
        <f aca="false">PROPER(TRIM(Raw_Data!B20))</f>
        <v>Festive Gift Bundle</v>
      </c>
      <c r="C20" s="11" t="str">
        <f aca="false">IFERROR(INDEX(Lookup_Tables!$B$2:$B$26,MATCH(UPPER(TRIM(Raw_Data!C20)),Lookup_Tables!$C$2:$C$26,0)),"Unknown")</f>
        <v>Email</v>
      </c>
      <c r="D20" s="12" t="n">
        <f aca="false">IFERROR(IF(ISNUMBER(SEARCH("/",Raw_Data!D20)),DATE(VALUE(RIGHT(Raw_Data!D20,4)),VALUE(MID(Raw_Data!D20,FIND("/",Raw_Data!D20)+1,FIND("/",Raw_Data!D20,FIND("/",Raw_Data!D20)+1)-FIND("/",Raw_Data!D20)-1)),VALUE(LEFT(Raw_Data!D20,FIND("/",Raw_Data!D20)-1))),IF(ISNUMBER(VALUE(LEFT(Raw_Data!D20,4))),DATE(VALUE(LEFT(Raw_Data!D20,4)),VALUE(MID(Raw_Data!D20,6,2)),VALUE(MID(Raw_Data!D20,9,2))),DATEVALUE(Raw_Data!D20))),"")</f>
        <v>45360</v>
      </c>
      <c r="E20" s="12" t="n">
        <f aca="false">IFERROR(IF(ISNUMBER(SEARCH("/",Raw_Data!E20)),DATE(VALUE(RIGHT(Raw_Data!E20,4)),VALUE(MID(Raw_Data!E20,FIND("/",Raw_Data!E20)+1,FIND("/",Raw_Data!E20,FIND("/",Raw_Data!E20)+1)-FIND("/",Raw_Data!E20)-1)),VALUE(LEFT(Raw_Data!E20,FIND("/",Raw_Data!E20)-1))),IF(ISNUMBER(VALUE(LEFT(Raw_Data!E20,4))),DATE(VALUE(LEFT(Raw_Data!E20,4)),VALUE(MID(Raw_Data!E20,6,2)),VALUE(MID(Raw_Data!E20,9,2))),DATEVALUE(Raw_Data!E20))),"")</f>
        <v>45385</v>
      </c>
      <c r="F20" s="11" t="str">
        <f aca="false">Raw_Data!F20</f>
        <v>Male 45+</v>
      </c>
      <c r="G20" s="11" t="str">
        <f aca="false">IF(TRIM(Raw_Data!G20)="","Unspecified",IFERROR(INDEX(Lookup_Tables!$F$2:$F$24,MATCH(UPPER(TRIM(Raw_Data!G20)),Lookup_Tables!$G$2:$G$24,0)),"Unknown"))</f>
        <v>West</v>
      </c>
      <c r="H20" s="11" t="n">
        <f aca="false">IF(Raw_Data!H20="",ROUND(AVERAGEIFS(Raw_Data!$H$2:$H$839,Raw_Data!$C$2:$C$839,Raw_Data!C20),2),Raw_Data!H20)</f>
        <v>4737.88</v>
      </c>
      <c r="I20" s="11" t="n">
        <f aca="false">Raw_Data!I20</f>
        <v>108465</v>
      </c>
      <c r="J20" s="11" t="n">
        <f aca="false">IF(Raw_Data!J20&lt;0,ABS(Raw_Data!J20),Raw_Data!J20)</f>
        <v>2125</v>
      </c>
      <c r="K20" s="11" t="n">
        <f aca="false">Raw_Data!K20</f>
        <v>58</v>
      </c>
      <c r="L20" s="11" t="n">
        <f aca="false">IF(Raw_Data!L20="",ROUND(AVERAGEIFS(Raw_Data!$L$2:$L$839,Raw_Data!$C$2:$C$839,Raw_Data!C20),2),Raw_Data!L20)</f>
        <v>92500.02</v>
      </c>
      <c r="M20" s="13" t="n">
        <f aca="false">IFERROR(J20/I20,0)</f>
        <v>0.019591573318582</v>
      </c>
      <c r="N20" s="14" t="n">
        <f aca="false">IFERROR(H20/J20,0)</f>
        <v>2.22959058823529</v>
      </c>
      <c r="O20" s="14" t="n">
        <f aca="false">IFERROR(H20/K20,0)</f>
        <v>81.6875862068966</v>
      </c>
      <c r="P20" s="15" t="n">
        <f aca="false">IFERROR(L20/H20,0)</f>
        <v>19.5235041833056</v>
      </c>
      <c r="Q20" s="13" t="n">
        <f aca="false">IFERROR(K20/J20,0)</f>
        <v>0.0272941176470588</v>
      </c>
      <c r="R20" s="11" t="str">
        <f aca="false">IF(COUNTIF($A$2:A20,A20)&gt;1,"Duplicate - Remove","Unique")</f>
        <v>Unique</v>
      </c>
      <c r="S20" s="11" t="str">
        <f aca="false">TRIM(IF(Raw_Data!G20="","Region missing; ","")&amp;IF(Raw_Data!H20="","Spend imputed; ","")&amp;IF(Raw_Data!L20="","Revenue imputed; ","")&amp;IF(Raw_Data!J20&lt;0,"Clicks corrected; ",""))</f>
        <v/>
      </c>
    </row>
    <row r="21" customFormat="false" ht="15" hidden="false" customHeight="true" outlineLevel="0" collapsed="false">
      <c r="A21" s="11" t="n">
        <f aca="false">Raw_Data!A21</f>
        <v>1612</v>
      </c>
      <c r="B21" s="11" t="str">
        <f aca="false">PROPER(TRIM(Raw_Data!B21))</f>
        <v>Back To College Offer</v>
      </c>
      <c r="C21" s="11" t="str">
        <f aca="false">IFERROR(INDEX(Lookup_Tables!$B$2:$B$26,MATCH(UPPER(TRIM(Raw_Data!C21)),Lookup_Tables!$C$2:$C$26,0)),"Unknown")</f>
        <v>Facebook</v>
      </c>
      <c r="D21" s="12" t="n">
        <f aca="false">IFERROR(IF(ISNUMBER(SEARCH("/",Raw_Data!D21)),DATE(VALUE(RIGHT(Raw_Data!D21,4)),VALUE(MID(Raw_Data!D21,FIND("/",Raw_Data!D21)+1,FIND("/",Raw_Data!D21,FIND("/",Raw_Data!D21)+1)-FIND("/",Raw_Data!D21)-1)),VALUE(LEFT(Raw_Data!D21,FIND("/",Raw_Data!D21)-1))),IF(ISNUMBER(VALUE(LEFT(Raw_Data!D21,4))),DATE(VALUE(LEFT(Raw_Data!D21,4)),VALUE(MID(Raw_Data!D21,6,2)),VALUE(MID(Raw_Data!D21,9,2))),DATEVALUE(Raw_Data!D21))),"")</f>
        <v>45469</v>
      </c>
      <c r="E21" s="12" t="n">
        <f aca="false">IFERROR(IF(ISNUMBER(SEARCH("/",Raw_Data!E21)),DATE(VALUE(RIGHT(Raw_Data!E21,4)),VALUE(MID(Raw_Data!E21,FIND("/",Raw_Data!E21)+1,FIND("/",Raw_Data!E21,FIND("/",Raw_Data!E21)+1)-FIND("/",Raw_Data!E21)-1)),VALUE(LEFT(Raw_Data!E21,FIND("/",Raw_Data!E21)-1))),IF(ISNUMBER(VALUE(LEFT(Raw_Data!E21,4))),DATE(VALUE(LEFT(Raw_Data!E21,4)),VALUE(MID(Raw_Data!E21,6,2)),VALUE(MID(Raw_Data!E21,9,2))),DATEVALUE(Raw_Data!E21))),"")</f>
        <v>45494</v>
      </c>
      <c r="F21" s="11" t="str">
        <f aca="false">Raw_Data!F21</f>
        <v>Female 45+</v>
      </c>
      <c r="G21" s="11" t="str">
        <f aca="false">IF(TRIM(Raw_Data!G21)="","Unspecified",IFERROR(INDEX(Lookup_Tables!$F$2:$F$24,MATCH(UPPER(TRIM(Raw_Data!G21)),Lookup_Tables!$G$2:$G$24,0)),"Unknown"))</f>
        <v>Central</v>
      </c>
      <c r="H21" s="11" t="n">
        <f aca="false">IF(Raw_Data!H21="",ROUND(AVERAGEIFS(Raw_Data!$H$2:$H$839,Raw_Data!$C$2:$C$839,Raw_Data!C21),2),Raw_Data!H21)</f>
        <v>41035.94</v>
      </c>
      <c r="I21" s="11" t="n">
        <f aca="false">Raw_Data!I21</f>
        <v>828358</v>
      </c>
      <c r="J21" s="11" t="n">
        <f aca="false">IF(Raw_Data!J21&lt;0,ABS(Raw_Data!J21),Raw_Data!J21)</f>
        <v>21528</v>
      </c>
      <c r="K21" s="11" t="n">
        <f aca="false">Raw_Data!K21</f>
        <v>974</v>
      </c>
      <c r="L21" s="11" t="n">
        <f aca="false">IF(Raw_Data!L21="",ROUND(AVERAGEIFS(Raw_Data!$L$2:$L$839,Raw_Data!$C$2:$C$839,Raw_Data!C21),2),Raw_Data!L21)</f>
        <v>1512908.01</v>
      </c>
      <c r="M21" s="13" t="n">
        <f aca="false">IFERROR(J21/I21,0)</f>
        <v>0.0259887633124808</v>
      </c>
      <c r="N21" s="14" t="n">
        <f aca="false">IFERROR(H21/J21,0)</f>
        <v>1.90616592344853</v>
      </c>
      <c r="O21" s="14" t="n">
        <f aca="false">IFERROR(H21/K21,0)</f>
        <v>42.1313552361396</v>
      </c>
      <c r="P21" s="15" t="n">
        <f aca="false">IFERROR(L21/H21,0)</f>
        <v>36.8678775239461</v>
      </c>
      <c r="Q21" s="13" t="n">
        <f aca="false">IFERROR(K21/J21,0)</f>
        <v>0.0452434039390561</v>
      </c>
      <c r="R21" s="11" t="str">
        <f aca="false">IF(COUNTIF($A$2:A21,A21)&gt;1,"Duplicate - Remove","Unique")</f>
        <v>Unique</v>
      </c>
      <c r="S21" s="11" t="str">
        <f aca="false">TRIM(IF(Raw_Data!G21="","Region missing; ","")&amp;IF(Raw_Data!H21="","Spend imputed; ","")&amp;IF(Raw_Data!L21="","Revenue imputed; ","")&amp;IF(Raw_Data!J21&lt;0,"Clicks corrected; ",""))</f>
        <v/>
      </c>
    </row>
    <row r="22" customFormat="false" ht="15" hidden="false" customHeight="true" outlineLevel="0" collapsed="false">
      <c r="A22" s="11" t="n">
        <f aca="false">Raw_Data!A22</f>
        <v>1226</v>
      </c>
      <c r="B22" s="11" t="str">
        <f aca="false">PROPER(TRIM(Raw_Data!B22))</f>
        <v>Anti-Ageing Serum Push</v>
      </c>
      <c r="C22" s="11" t="str">
        <f aca="false">IFERROR(INDEX(Lookup_Tables!$B$2:$B$26,MATCH(UPPER(TRIM(Raw_Data!C22)),Lookup_Tables!$C$2:$C$26,0)),"Unknown")</f>
        <v>Facebook</v>
      </c>
      <c r="D22" s="12" t="n">
        <f aca="false">IFERROR(IF(ISNUMBER(SEARCH("/",Raw_Data!D22)),DATE(VALUE(RIGHT(Raw_Data!D22,4)),VALUE(MID(Raw_Data!D22,FIND("/",Raw_Data!D22)+1,FIND("/",Raw_Data!D22,FIND("/",Raw_Data!D22)+1)-FIND("/",Raw_Data!D22)-1)),VALUE(LEFT(Raw_Data!D22,FIND("/",Raw_Data!D22)-1))),IF(ISNUMBER(VALUE(LEFT(Raw_Data!D22,4))),DATE(VALUE(LEFT(Raw_Data!D22,4)),VALUE(MID(Raw_Data!D22,6,2)),VALUE(MID(Raw_Data!D22,9,2))),DATEVALUE(Raw_Data!D22))),"")</f>
        <v>45602</v>
      </c>
      <c r="E22" s="12" t="n">
        <f aca="false">IFERROR(IF(ISNUMBER(SEARCH("/",Raw_Data!E22)),DATE(VALUE(RIGHT(Raw_Data!E22,4)),VALUE(MID(Raw_Data!E22,FIND("/",Raw_Data!E22)+1,FIND("/",Raw_Data!E22,FIND("/",Raw_Data!E22)+1)-FIND("/",Raw_Data!E22)-1)),VALUE(LEFT(Raw_Data!E22,FIND("/",Raw_Data!E22)-1))),IF(ISNUMBER(VALUE(LEFT(Raw_Data!E22,4))),DATE(VALUE(LEFT(Raw_Data!E22,4)),VALUE(MID(Raw_Data!E22,6,2)),VALUE(MID(Raw_Data!E22,9,2))),DATEVALUE(Raw_Data!E22))),"")</f>
        <v>45610</v>
      </c>
      <c r="F22" s="11" t="str">
        <f aca="false">Raw_Data!F22</f>
        <v>Female 35-44</v>
      </c>
      <c r="G22" s="11" t="str">
        <f aca="false">IF(TRIM(Raw_Data!G22)="","Unspecified",IFERROR(INDEX(Lookup_Tables!$F$2:$F$24,MATCH(UPPER(TRIM(Raw_Data!G22)),Lookup_Tables!$G$2:$G$24,0)),"Unknown"))</f>
        <v>Central</v>
      </c>
      <c r="H22" s="11" t="n">
        <f aca="false">IF(Raw_Data!H22="",ROUND(AVERAGEIFS(Raw_Data!$H$2:$H$839,Raw_Data!$C$2:$C$839,Raw_Data!C22),2),Raw_Data!H22)</f>
        <v>26938.24</v>
      </c>
      <c r="I22" s="11" t="n">
        <f aca="false">Raw_Data!I22</f>
        <v>818079</v>
      </c>
      <c r="J22" s="11" t="n">
        <f aca="false">IF(Raw_Data!J22&lt;0,ABS(Raw_Data!J22),Raw_Data!J22)</f>
        <v>5048</v>
      </c>
      <c r="K22" s="11" t="n">
        <f aca="false">Raw_Data!K22</f>
        <v>327</v>
      </c>
      <c r="L22" s="11" t="n">
        <f aca="false">IF(Raw_Data!L22="",ROUND(AVERAGEIFS(Raw_Data!$L$2:$L$839,Raw_Data!$C$2:$C$839,Raw_Data!C22),2),Raw_Data!L22)</f>
        <v>353103.54</v>
      </c>
      <c r="M22" s="13" t="n">
        <f aca="false">IFERROR(J22/I22,0)</f>
        <v>0.00617055321063125</v>
      </c>
      <c r="N22" s="14" t="n">
        <f aca="false">IFERROR(H22/J22,0)</f>
        <v>5.33641838351823</v>
      </c>
      <c r="O22" s="14" t="n">
        <f aca="false">IFERROR(H22/K22,0)</f>
        <v>82.3799388379205</v>
      </c>
      <c r="P22" s="15" t="n">
        <f aca="false">IFERROR(L22/H22,0)</f>
        <v>13.1078919780951</v>
      </c>
      <c r="Q22" s="13" t="n">
        <f aca="false">IFERROR(K22/J22,0)</f>
        <v>0.0647781299524564</v>
      </c>
      <c r="R22" s="11" t="str">
        <f aca="false">IF(COUNTIF($A$2:A22,A22)&gt;1,"Duplicate - Remove","Unique")</f>
        <v>Unique</v>
      </c>
      <c r="S22" s="11" t="str">
        <f aca="false">TRIM(IF(Raw_Data!G22="","Region missing; ","")&amp;IF(Raw_Data!H22="","Spend imputed; ","")&amp;IF(Raw_Data!L22="","Revenue imputed; ","")&amp;IF(Raw_Data!J22&lt;0,"Clicks corrected; ",""))</f>
        <v/>
      </c>
    </row>
    <row r="23" customFormat="false" ht="15" hidden="false" customHeight="true" outlineLevel="0" collapsed="false">
      <c r="A23" s="11" t="n">
        <f aca="false">Raw_Data!A23</f>
        <v>1272</v>
      </c>
      <c r="B23" s="11" t="str">
        <f aca="false">PROPER(TRIM(Raw_Data!B23))</f>
        <v>Wedding Season Special</v>
      </c>
      <c r="C23" s="11" t="str">
        <f aca="false">IFERROR(INDEX(Lookup_Tables!$B$2:$B$26,MATCH(UPPER(TRIM(Raw_Data!C23)),Lookup_Tables!$C$2:$C$26,0)),"Unknown")</f>
        <v>Facebook</v>
      </c>
      <c r="D23" s="12" t="n">
        <f aca="false">IFERROR(IF(ISNUMBER(SEARCH("/",Raw_Data!D23)),DATE(VALUE(RIGHT(Raw_Data!D23,4)),VALUE(MID(Raw_Data!D23,FIND("/",Raw_Data!D23)+1,FIND("/",Raw_Data!D23,FIND("/",Raw_Data!D23)+1)-FIND("/",Raw_Data!D23)-1)),VALUE(LEFT(Raw_Data!D23,FIND("/",Raw_Data!D23)-1))),IF(ISNUMBER(VALUE(LEFT(Raw_Data!D23,4))),DATE(VALUE(LEFT(Raw_Data!D23,4)),VALUE(MID(Raw_Data!D23,6,2)),VALUE(MID(Raw_Data!D23,9,2))),DATEVALUE(Raw_Data!D23))),"")</f>
        <v>45307</v>
      </c>
      <c r="E23" s="12" t="n">
        <f aca="false">IFERROR(IF(ISNUMBER(SEARCH("/",Raw_Data!E23)),DATE(VALUE(RIGHT(Raw_Data!E23,4)),VALUE(MID(Raw_Data!E23,FIND("/",Raw_Data!E23)+1,FIND("/",Raw_Data!E23,FIND("/",Raw_Data!E23)+1)-FIND("/",Raw_Data!E23)-1)),VALUE(LEFT(Raw_Data!E23,FIND("/",Raw_Data!E23)-1))),IF(ISNUMBER(VALUE(LEFT(Raw_Data!E23,4))),DATE(VALUE(LEFT(Raw_Data!E23,4)),VALUE(MID(Raw_Data!E23,6,2)),VALUE(MID(Raw_Data!E23,9,2))),DATEVALUE(Raw_Data!E23))),"")</f>
        <v>45336</v>
      </c>
      <c r="F23" s="11" t="str">
        <f aca="false">Raw_Data!F23</f>
        <v>Female 35-44</v>
      </c>
      <c r="G23" s="11" t="str">
        <f aca="false">IF(TRIM(Raw_Data!G23)="","Unspecified",IFERROR(INDEX(Lookup_Tables!$F$2:$F$24,MATCH(UPPER(TRIM(Raw_Data!G23)),Lookup_Tables!$G$2:$G$24,0)),"Unknown"))</f>
        <v>Central</v>
      </c>
      <c r="H23" s="11" t="n">
        <f aca="false">IF(Raw_Data!H23="",ROUND(AVERAGEIFS(Raw_Data!$H$2:$H$839,Raw_Data!$C$2:$C$839,Raw_Data!C23),2),Raw_Data!H23)</f>
        <v>44725.8</v>
      </c>
      <c r="I23" s="11" t="n">
        <f aca="false">Raw_Data!I23</f>
        <v>1133843</v>
      </c>
      <c r="J23" s="11" t="n">
        <f aca="false">IF(Raw_Data!J23&lt;0,ABS(Raw_Data!J23),Raw_Data!J23)</f>
        <v>19658</v>
      </c>
      <c r="K23" s="11" t="n">
        <f aca="false">Raw_Data!K23</f>
        <v>806</v>
      </c>
      <c r="L23" s="11" t="n">
        <f aca="false">IF(Raw_Data!L23="",ROUND(AVERAGEIFS(Raw_Data!$L$2:$L$839,Raw_Data!$C$2:$C$839,Raw_Data!C23),2),Raw_Data!L23)</f>
        <v>1373395.27</v>
      </c>
      <c r="M23" s="13" t="n">
        <f aca="false">IFERROR(J23/I23,0)</f>
        <v>0.0173374973431066</v>
      </c>
      <c r="N23" s="14" t="n">
        <f aca="false">IFERROR(H23/J23,0)</f>
        <v>2.27519584901821</v>
      </c>
      <c r="O23" s="14" t="n">
        <f aca="false">IFERROR(H23/K23,0)</f>
        <v>55.4910669975186</v>
      </c>
      <c r="P23" s="15" t="n">
        <f aca="false">IFERROR(L23/H23,0)</f>
        <v>30.7070028931847</v>
      </c>
      <c r="Q23" s="13" t="n">
        <f aca="false">IFERROR(K23/J23,0)</f>
        <v>0.0410011191372469</v>
      </c>
      <c r="R23" s="11" t="str">
        <f aca="false">IF(COUNTIF($A$2:A23,A23)&gt;1,"Duplicate - Remove","Unique")</f>
        <v>Unique</v>
      </c>
      <c r="S23" s="11" t="str">
        <f aca="false">TRIM(IF(Raw_Data!G23="","Region missing; ","")&amp;IF(Raw_Data!H23="","Spend imputed; ","")&amp;IF(Raw_Data!L23="","Revenue imputed; ","")&amp;IF(Raw_Data!J23&lt;0,"Clicks corrected; ",""))</f>
        <v/>
      </c>
    </row>
    <row r="24" customFormat="false" ht="15" hidden="false" customHeight="true" outlineLevel="0" collapsed="false">
      <c r="A24" s="11" t="n">
        <f aca="false">Raw_Data!A24</f>
        <v>1205</v>
      </c>
      <c r="B24" s="11" t="str">
        <f aca="false">PROPER(TRIM(Raw_Data!B24))</f>
        <v>Wedding Season Special</v>
      </c>
      <c r="C24" s="11" t="str">
        <f aca="false">IFERROR(INDEX(Lookup_Tables!$B$2:$B$26,MATCH(UPPER(TRIM(Raw_Data!C24)),Lookup_Tables!$C$2:$C$26,0)),"Unknown")</f>
        <v>YouTube</v>
      </c>
      <c r="D24" s="12" t="n">
        <f aca="false">IFERROR(IF(ISNUMBER(SEARCH("/",Raw_Data!D24)),DATE(VALUE(RIGHT(Raw_Data!D24,4)),VALUE(MID(Raw_Data!D24,FIND("/",Raw_Data!D24)+1,FIND("/",Raw_Data!D24,FIND("/",Raw_Data!D24)+1)-FIND("/",Raw_Data!D24)-1)),VALUE(LEFT(Raw_Data!D24,FIND("/",Raw_Data!D24)-1))),IF(ISNUMBER(VALUE(LEFT(Raw_Data!D24,4))),DATE(VALUE(LEFT(Raw_Data!D24,4)),VALUE(MID(Raw_Data!D24,6,2)),VALUE(MID(Raw_Data!D24,9,2))),DATEVALUE(Raw_Data!D24))),"")</f>
        <v>45319</v>
      </c>
      <c r="E24" s="12" t="n">
        <f aca="false">IFERROR(IF(ISNUMBER(SEARCH("/",Raw_Data!E24)),DATE(VALUE(RIGHT(Raw_Data!E24,4)),VALUE(MID(Raw_Data!E24,FIND("/",Raw_Data!E24)+1,FIND("/",Raw_Data!E24,FIND("/",Raw_Data!E24)+1)-FIND("/",Raw_Data!E24)-1)),VALUE(LEFT(Raw_Data!E24,FIND("/",Raw_Data!E24)-1))),IF(ISNUMBER(VALUE(LEFT(Raw_Data!E24,4))),DATE(VALUE(LEFT(Raw_Data!E24,4)),VALUE(MID(Raw_Data!E24,6,2)),VALUE(MID(Raw_Data!E24,9,2))),DATEVALUE(Raw_Data!E24))),"")</f>
        <v>45345</v>
      </c>
      <c r="F24" s="11" t="str">
        <f aca="false">Raw_Data!F24</f>
        <v>Female 35-44</v>
      </c>
      <c r="G24" s="11" t="str">
        <f aca="false">IF(TRIM(Raw_Data!G24)="","Unspecified",IFERROR(INDEX(Lookup_Tables!$F$2:$F$24,MATCH(UPPER(TRIM(Raw_Data!G24)),Lookup_Tables!$G$2:$G$24,0)),"Unknown"))</f>
        <v>Unspecified</v>
      </c>
      <c r="H24" s="11" t="n">
        <f aca="false">IF(Raw_Data!H24="",ROUND(AVERAGEIFS(Raw_Data!$H$2:$H$839,Raw_Data!$C$2:$C$839,Raw_Data!C24),2),Raw_Data!H24)</f>
        <v>29992.68</v>
      </c>
      <c r="I24" s="11" t="n">
        <f aca="false">Raw_Data!I24</f>
        <v>1012391</v>
      </c>
      <c r="J24" s="11" t="n">
        <f aca="false">IF(Raw_Data!J24&lt;0,ABS(Raw_Data!J24),Raw_Data!J24)</f>
        <v>9949</v>
      </c>
      <c r="K24" s="11" t="n">
        <f aca="false">Raw_Data!K24</f>
        <v>299</v>
      </c>
      <c r="L24" s="11" t="n">
        <f aca="false">IF(Raw_Data!L24="",ROUND(AVERAGEIFS(Raw_Data!$L$2:$L$839,Raw_Data!$C$2:$C$839,Raw_Data!C24),2),Raw_Data!L24)</f>
        <v>213280.72</v>
      </c>
      <c r="M24" s="13" t="n">
        <f aca="false">IFERROR(J24/I24,0)</f>
        <v>0.00982723078336334</v>
      </c>
      <c r="N24" s="14" t="n">
        <f aca="false">IFERROR(H24/J24,0)</f>
        <v>3.01464267765605</v>
      </c>
      <c r="O24" s="14" t="n">
        <f aca="false">IFERROR(H24/K24,0)</f>
        <v>100.309966555184</v>
      </c>
      <c r="P24" s="15" t="n">
        <f aca="false">IFERROR(L24/H24,0)</f>
        <v>7.11109243988867</v>
      </c>
      <c r="Q24" s="13" t="n">
        <f aca="false">IFERROR(K24/J24,0)</f>
        <v>0.0300532716855965</v>
      </c>
      <c r="R24" s="11" t="str">
        <f aca="false">IF(COUNTIF($A$2:A24,A24)&gt;1,"Duplicate - Remove","Unique")</f>
        <v>Unique</v>
      </c>
      <c r="S24" s="11" t="str">
        <f aca="false">TRIM(IF(Raw_Data!G24="","Region missing; ","")&amp;IF(Raw_Data!H24="","Spend imputed; ","")&amp;IF(Raw_Data!L24="","Revenue imputed; ","")&amp;IF(Raw_Data!J24&lt;0,"Clicks corrected; ",""))</f>
        <v>Region missing;</v>
      </c>
    </row>
    <row r="25" customFormat="false" ht="15" hidden="false" customHeight="true" outlineLevel="0" collapsed="false">
      <c r="A25" s="11" t="n">
        <f aca="false">Raw_Data!A25</f>
        <v>1806</v>
      </c>
      <c r="B25" s="11" t="str">
        <f aca="false">PROPER(TRIM(Raw_Data!B25))</f>
        <v>Anti-Ageing Serum Push</v>
      </c>
      <c r="C25" s="11" t="str">
        <f aca="false">IFERROR(INDEX(Lookup_Tables!$B$2:$B$26,MATCH(UPPER(TRIM(Raw_Data!C25)),Lookup_Tables!$C$2:$C$26,0)),"Unknown")</f>
        <v>Instagram</v>
      </c>
      <c r="D25" s="12" t="n">
        <f aca="false">IFERROR(IF(ISNUMBER(SEARCH("/",Raw_Data!D25)),DATE(VALUE(RIGHT(Raw_Data!D25,4)),VALUE(MID(Raw_Data!D25,FIND("/",Raw_Data!D25)+1,FIND("/",Raw_Data!D25,FIND("/",Raw_Data!D25)+1)-FIND("/",Raw_Data!D25)-1)),VALUE(LEFT(Raw_Data!D25,FIND("/",Raw_Data!D25)-1))),IF(ISNUMBER(VALUE(LEFT(Raw_Data!D25,4))),DATE(VALUE(LEFT(Raw_Data!D25,4)),VALUE(MID(Raw_Data!D25,6,2)),VALUE(MID(Raw_Data!D25,9,2))),DATEVALUE(Raw_Data!D25))),"")</f>
        <v>45480</v>
      </c>
      <c r="E25" s="12" t="n">
        <f aca="false">IFERROR(IF(ISNUMBER(SEARCH("/",Raw_Data!E25)),DATE(VALUE(RIGHT(Raw_Data!E25,4)),VALUE(MID(Raw_Data!E25,FIND("/",Raw_Data!E25)+1,FIND("/",Raw_Data!E25,FIND("/",Raw_Data!E25)+1)-FIND("/",Raw_Data!E25)-1)),VALUE(LEFT(Raw_Data!E25,FIND("/",Raw_Data!E25)-1))),IF(ISNUMBER(VALUE(LEFT(Raw_Data!E25,4))),DATE(VALUE(LEFT(Raw_Data!E25,4)),VALUE(MID(Raw_Data!E25,6,2)),VALUE(MID(Raw_Data!E25,9,2))),DATEVALUE(Raw_Data!E25))),"")</f>
        <v>45495</v>
      </c>
      <c r="F25" s="11" t="str">
        <f aca="false">Raw_Data!F25</f>
        <v>Female 25-34</v>
      </c>
      <c r="G25" s="11" t="str">
        <f aca="false">IF(TRIM(Raw_Data!G25)="","Unspecified",IFERROR(INDEX(Lookup_Tables!$F$2:$F$24,MATCH(UPPER(TRIM(Raw_Data!G25)),Lookup_Tables!$G$2:$G$24,0)),"Unknown"))</f>
        <v>South</v>
      </c>
      <c r="H25" s="11" t="n">
        <f aca="false">IF(Raw_Data!H25="",ROUND(AVERAGEIFS(Raw_Data!$H$2:$H$839,Raw_Data!$C$2:$C$839,Raw_Data!C25),2),Raw_Data!H25)</f>
        <v>27693.68</v>
      </c>
      <c r="I25" s="11" t="n">
        <f aca="false">Raw_Data!I25</f>
        <v>774637</v>
      </c>
      <c r="J25" s="11" t="n">
        <f aca="false">IF(Raw_Data!J25&lt;0,ABS(Raw_Data!J25),Raw_Data!J25)</f>
        <v>10265</v>
      </c>
      <c r="K25" s="11" t="n">
        <f aca="false">Raw_Data!K25</f>
        <v>579</v>
      </c>
      <c r="L25" s="11" t="n">
        <f aca="false">IF(Raw_Data!L25="",ROUND(AVERAGEIFS(Raw_Data!$L$2:$L$839,Raw_Data!$C$2:$C$839,Raw_Data!C25),2),Raw_Data!L25)</f>
        <v>922779.24</v>
      </c>
      <c r="M25" s="13" t="n">
        <f aca="false">IFERROR(J25/I25,0)</f>
        <v>0.0132513680601366</v>
      </c>
      <c r="N25" s="14" t="n">
        <f aca="false">IFERROR(H25/J25,0)</f>
        <v>2.69787433024842</v>
      </c>
      <c r="O25" s="14" t="n">
        <f aca="false">IFERROR(H25/K25,0)</f>
        <v>47.8301899827289</v>
      </c>
      <c r="P25" s="15" t="n">
        <f aca="false">IFERROR(L25/H25,0)</f>
        <v>33.3209324293485</v>
      </c>
      <c r="Q25" s="13" t="n">
        <f aca="false">IFERROR(K25/J25,0)</f>
        <v>0.0564052605942523</v>
      </c>
      <c r="R25" s="11" t="str">
        <f aca="false">IF(COUNTIF($A$2:A25,A25)&gt;1,"Duplicate - Remove","Unique")</f>
        <v>Unique</v>
      </c>
      <c r="S25" s="11" t="str">
        <f aca="false">TRIM(IF(Raw_Data!G25="","Region missing; ","")&amp;IF(Raw_Data!H25="","Spend imputed; ","")&amp;IF(Raw_Data!L25="","Revenue imputed; ","")&amp;IF(Raw_Data!J25&lt;0,"Clicks corrected; ",""))</f>
        <v/>
      </c>
    </row>
    <row r="26" customFormat="false" ht="15" hidden="false" customHeight="true" outlineLevel="0" collapsed="false">
      <c r="A26" s="11" t="n">
        <f aca="false">Raw_Data!A26</f>
        <v>1241</v>
      </c>
      <c r="B26" s="11" t="str">
        <f aca="false">PROPER(TRIM(Raw_Data!B26))</f>
        <v>Sunscreen Season Campaign</v>
      </c>
      <c r="C26" s="11" t="str">
        <f aca="false">IFERROR(INDEX(Lookup_Tables!$B$2:$B$26,MATCH(UPPER(TRIM(Raw_Data!C26)),Lookup_Tables!$C$2:$C$26,0)),"Unknown")</f>
        <v>Facebook</v>
      </c>
      <c r="D26" s="12" t="n">
        <f aca="false">IFERROR(IF(ISNUMBER(SEARCH("/",Raw_Data!D26)),DATE(VALUE(RIGHT(Raw_Data!D26,4)),VALUE(MID(Raw_Data!D26,FIND("/",Raw_Data!D26)+1,FIND("/",Raw_Data!D26,FIND("/",Raw_Data!D26)+1)-FIND("/",Raw_Data!D26)-1)),VALUE(LEFT(Raw_Data!D26,FIND("/",Raw_Data!D26)-1))),IF(ISNUMBER(VALUE(LEFT(Raw_Data!D26,4))),DATE(VALUE(LEFT(Raw_Data!D26,4)),VALUE(MID(Raw_Data!D26,6,2)),VALUE(MID(Raw_Data!D26,9,2))),DATEVALUE(Raw_Data!D26))),"")</f>
        <v>45468</v>
      </c>
      <c r="E26" s="12" t="n">
        <f aca="false">IFERROR(IF(ISNUMBER(SEARCH("/",Raw_Data!E26)),DATE(VALUE(RIGHT(Raw_Data!E26,4)),VALUE(MID(Raw_Data!E26,FIND("/",Raw_Data!E26)+1,FIND("/",Raw_Data!E26,FIND("/",Raw_Data!E26)+1)-FIND("/",Raw_Data!E26)-1)),VALUE(LEFT(Raw_Data!E26,FIND("/",Raw_Data!E26)-1))),IF(ISNUMBER(VALUE(LEFT(Raw_Data!E26,4))),DATE(VALUE(LEFT(Raw_Data!E26,4)),VALUE(MID(Raw_Data!E26,6,2)),VALUE(MID(Raw_Data!E26,9,2))),DATEVALUE(Raw_Data!E26))),"")</f>
        <v>45473</v>
      </c>
      <c r="F26" s="11" t="str">
        <f aca="false">Raw_Data!F26</f>
        <v>Male 25-34</v>
      </c>
      <c r="G26" s="11" t="str">
        <f aca="false">IF(TRIM(Raw_Data!G26)="","Unspecified",IFERROR(INDEX(Lookup_Tables!$F$2:$F$24,MATCH(UPPER(TRIM(Raw_Data!G26)),Lookup_Tables!$G$2:$G$24,0)),"Unknown"))</f>
        <v>East</v>
      </c>
      <c r="H26" s="11" t="n">
        <f aca="false">IF(Raw_Data!H26="",ROUND(AVERAGEIFS(Raw_Data!$H$2:$H$839,Raw_Data!$C$2:$C$839,Raw_Data!C26),2),Raw_Data!H26)</f>
        <v>11334.45</v>
      </c>
      <c r="I26" s="11" t="n">
        <f aca="false">Raw_Data!I26</f>
        <v>415795</v>
      </c>
      <c r="J26" s="11" t="n">
        <f aca="false">IF(Raw_Data!J26&lt;0,ABS(Raw_Data!J26),Raw_Data!J26)</f>
        <v>14092</v>
      </c>
      <c r="K26" s="11" t="n">
        <f aca="false">Raw_Data!K26</f>
        <v>337</v>
      </c>
      <c r="L26" s="11" t="n">
        <f aca="false">IF(Raw_Data!L26="",ROUND(AVERAGEIFS(Raw_Data!$L$2:$L$839,Raw_Data!$C$2:$C$839,Raw_Data!C26),2),Raw_Data!L26)</f>
        <v>399360.83</v>
      </c>
      <c r="M26" s="13" t="n">
        <f aca="false">IFERROR(J26/I26,0)</f>
        <v>0.0338917014394113</v>
      </c>
      <c r="N26" s="14" t="n">
        <f aca="false">IFERROR(H26/J26,0)</f>
        <v>0.804318052795913</v>
      </c>
      <c r="O26" s="14" t="n">
        <f aca="false">IFERROR(H26/K26,0)</f>
        <v>33.6333827893175</v>
      </c>
      <c r="P26" s="15" t="n">
        <f aca="false">IFERROR(L26/H26,0)</f>
        <v>35.2342486843208</v>
      </c>
      <c r="Q26" s="13" t="n">
        <f aca="false">IFERROR(K26/J26,0)</f>
        <v>0.0239142776043145</v>
      </c>
      <c r="R26" s="11" t="str">
        <f aca="false">IF(COUNTIF($A$2:A26,A26)&gt;1,"Duplicate - Remove","Unique")</f>
        <v>Unique</v>
      </c>
      <c r="S26" s="11" t="str">
        <f aca="false">TRIM(IF(Raw_Data!G26="","Region missing; ","")&amp;IF(Raw_Data!H26="","Spend imputed; ","")&amp;IF(Raw_Data!L26="","Revenue imputed; ","")&amp;IF(Raw_Data!J26&lt;0,"Clicks corrected; ",""))</f>
        <v/>
      </c>
    </row>
    <row r="27" customFormat="false" ht="15" hidden="false" customHeight="true" outlineLevel="0" collapsed="false">
      <c r="A27" s="11" t="n">
        <f aca="false">Raw_Data!A27</f>
        <v>1278</v>
      </c>
      <c r="B27" s="11" t="str">
        <f aca="false">PROPER(TRIM(Raw_Data!B27))</f>
        <v>Monsoon Skincare Push</v>
      </c>
      <c r="C27" s="11" t="str">
        <f aca="false">IFERROR(INDEX(Lookup_Tables!$B$2:$B$26,MATCH(UPPER(TRIM(Raw_Data!C27)),Lookup_Tables!$C$2:$C$26,0)),"Unknown")</f>
        <v>Facebook</v>
      </c>
      <c r="D27" s="12" t="n">
        <f aca="false">IFERROR(IF(ISNUMBER(SEARCH("/",Raw_Data!D27)),DATE(VALUE(RIGHT(Raw_Data!D27,4)),VALUE(MID(Raw_Data!D27,FIND("/",Raw_Data!D27)+1,FIND("/",Raw_Data!D27,FIND("/",Raw_Data!D27)+1)-FIND("/",Raw_Data!D27)-1)),VALUE(LEFT(Raw_Data!D27,FIND("/",Raw_Data!D27)-1))),IF(ISNUMBER(VALUE(LEFT(Raw_Data!D27,4))),DATE(VALUE(LEFT(Raw_Data!D27,4)),VALUE(MID(Raw_Data!D27,6,2)),VALUE(MID(Raw_Data!D27,9,2))),DATEVALUE(Raw_Data!D27))),"")</f>
        <v>45553</v>
      </c>
      <c r="E27" s="12" t="n">
        <f aca="false">IFERROR(IF(ISNUMBER(SEARCH("/",Raw_Data!E27)),DATE(VALUE(RIGHT(Raw_Data!E27,4)),VALUE(MID(Raw_Data!E27,FIND("/",Raw_Data!E27)+1,FIND("/",Raw_Data!E27,FIND("/",Raw_Data!E27)+1)-FIND("/",Raw_Data!E27)-1)),VALUE(LEFT(Raw_Data!E27,FIND("/",Raw_Data!E27)-1))),IF(ISNUMBER(VALUE(LEFT(Raw_Data!E27,4))),DATE(VALUE(LEFT(Raw_Data!E27,4)),VALUE(MID(Raw_Data!E27,6,2)),VALUE(MID(Raw_Data!E27,9,2))),DATEVALUE(Raw_Data!E27))),"")</f>
        <v>45577</v>
      </c>
      <c r="F27" s="11" t="str">
        <f aca="false">Raw_Data!F27</f>
        <v>Female 45+</v>
      </c>
      <c r="G27" s="11" t="str">
        <f aca="false">IF(TRIM(Raw_Data!G27)="","Unspecified",IFERROR(INDEX(Lookup_Tables!$F$2:$F$24,MATCH(UPPER(TRIM(Raw_Data!G27)),Lookup_Tables!$G$2:$G$24,0)),"Unknown"))</f>
        <v>East</v>
      </c>
      <c r="H27" s="11" t="n">
        <f aca="false">IF(Raw_Data!H27="",ROUND(AVERAGEIFS(Raw_Data!$H$2:$H$839,Raw_Data!$C$2:$C$839,Raw_Data!C27),2),Raw_Data!H27)</f>
        <v>22661.86</v>
      </c>
      <c r="I27" s="11" t="n">
        <f aca="false">Raw_Data!I27</f>
        <v>555559</v>
      </c>
      <c r="J27" s="11" t="n">
        <f aca="false">IF(Raw_Data!J27&lt;0,ABS(Raw_Data!J27),Raw_Data!J27)</f>
        <v>15582</v>
      </c>
      <c r="K27" s="11" t="n">
        <f aca="false">Raw_Data!K27</f>
        <v>1150</v>
      </c>
      <c r="L27" s="11" t="n">
        <f aca="false">IF(Raw_Data!L27="",ROUND(AVERAGEIFS(Raw_Data!$L$2:$L$839,Raw_Data!$C$2:$C$839,Raw_Data!C27),2),Raw_Data!L27)</f>
        <v>1345457.21</v>
      </c>
      <c r="M27" s="13" t="n">
        <f aca="false">IFERROR(J27/I27,0)</f>
        <v>0.0280474261059581</v>
      </c>
      <c r="N27" s="14" t="n">
        <f aca="false">IFERROR(H27/J27,0)</f>
        <v>1.45436144269028</v>
      </c>
      <c r="O27" s="14" t="n">
        <f aca="false">IFERROR(H27/K27,0)</f>
        <v>19.7059652173913</v>
      </c>
      <c r="P27" s="15" t="n">
        <f aca="false">IFERROR(L27/H27,0)</f>
        <v>59.370996467192</v>
      </c>
      <c r="Q27" s="13" t="n">
        <f aca="false">IFERROR(K27/J27,0)</f>
        <v>0.0738031061481196</v>
      </c>
      <c r="R27" s="11" t="str">
        <f aca="false">IF(COUNTIF($A$2:A27,A27)&gt;1,"Duplicate - Remove","Unique")</f>
        <v>Unique</v>
      </c>
      <c r="S27" s="11" t="str">
        <f aca="false">TRIM(IF(Raw_Data!G27="","Region missing; ","")&amp;IF(Raw_Data!H27="","Spend imputed; ","")&amp;IF(Raw_Data!L27="","Revenue imputed; ","")&amp;IF(Raw_Data!J27&lt;0,"Clicks corrected; ",""))</f>
        <v/>
      </c>
    </row>
    <row r="28" customFormat="false" ht="15" hidden="false" customHeight="true" outlineLevel="0" collapsed="false">
      <c r="A28" s="11" t="n">
        <f aca="false">Raw_Data!A28</f>
        <v>1250</v>
      </c>
      <c r="B28" s="11" t="str">
        <f aca="false">PROPER(TRIM(Raw_Data!B28))</f>
        <v>Men'S Grooming Drive</v>
      </c>
      <c r="C28" s="11" t="str">
        <f aca="false">IFERROR(INDEX(Lookup_Tables!$B$2:$B$26,MATCH(UPPER(TRIM(Raw_Data!C28)),Lookup_Tables!$C$2:$C$26,0)),"Unknown")</f>
        <v>Facebook</v>
      </c>
      <c r="D28" s="12" t="n">
        <f aca="false">IFERROR(IF(ISNUMBER(SEARCH("/",Raw_Data!D28)),DATE(VALUE(RIGHT(Raw_Data!D28,4)),VALUE(MID(Raw_Data!D28,FIND("/",Raw_Data!D28)+1,FIND("/",Raw_Data!D28,FIND("/",Raw_Data!D28)+1)-FIND("/",Raw_Data!D28)-1)),VALUE(LEFT(Raw_Data!D28,FIND("/",Raw_Data!D28)-1))),IF(ISNUMBER(VALUE(LEFT(Raw_Data!D28,4))),DATE(VALUE(LEFT(Raw_Data!D28,4)),VALUE(MID(Raw_Data!D28,6,2)),VALUE(MID(Raw_Data!D28,9,2))),DATEVALUE(Raw_Data!D28))),"")</f>
        <v>45487</v>
      </c>
      <c r="E28" s="12" t="n">
        <f aca="false">IFERROR(IF(ISNUMBER(SEARCH("/",Raw_Data!E28)),DATE(VALUE(RIGHT(Raw_Data!E28,4)),VALUE(MID(Raw_Data!E28,FIND("/",Raw_Data!E28)+1,FIND("/",Raw_Data!E28,FIND("/",Raw_Data!E28)+1)-FIND("/",Raw_Data!E28)-1)),VALUE(LEFT(Raw_Data!E28,FIND("/",Raw_Data!E28)-1))),IF(ISNUMBER(VALUE(LEFT(Raw_Data!E28,4))),DATE(VALUE(LEFT(Raw_Data!E28,4)),VALUE(MID(Raw_Data!E28,6,2)),VALUE(MID(Raw_Data!E28,9,2))),DATEVALUE(Raw_Data!E28))),"")</f>
        <v>45492</v>
      </c>
      <c r="F28" s="11" t="str">
        <f aca="false">Raw_Data!F28</f>
        <v>Male 25-34</v>
      </c>
      <c r="G28" s="11" t="str">
        <f aca="false">IF(TRIM(Raw_Data!G28)="","Unspecified",IFERROR(INDEX(Lookup_Tables!$F$2:$F$24,MATCH(UPPER(TRIM(Raw_Data!G28)),Lookup_Tables!$G$2:$G$24,0)),"Unknown"))</f>
        <v>West</v>
      </c>
      <c r="H28" s="11" t="n">
        <f aca="false">IF(Raw_Data!H28="",ROUND(AVERAGEIFS(Raw_Data!$H$2:$H$839,Raw_Data!$C$2:$C$839,Raw_Data!C28),2),Raw_Data!H28)</f>
        <v>48882.33</v>
      </c>
      <c r="I28" s="11" t="n">
        <f aca="false">Raw_Data!I28</f>
        <v>1606618</v>
      </c>
      <c r="J28" s="11" t="n">
        <f aca="false">IF(Raw_Data!J28&lt;0,ABS(Raw_Data!J28),Raw_Data!J28)</f>
        <v>26579</v>
      </c>
      <c r="K28" s="11" t="n">
        <f aca="false">Raw_Data!K28</f>
        <v>2079</v>
      </c>
      <c r="L28" s="11" t="n">
        <f aca="false">IF(Raw_Data!L28="",ROUND(AVERAGEIFS(Raw_Data!$L$2:$L$839,Raw_Data!$C$2:$C$839,Raw_Data!C28),2),Raw_Data!L28)</f>
        <v>1472732.78</v>
      </c>
      <c r="M28" s="13" t="n">
        <f aca="false">IFERROR(J28/I28,0)</f>
        <v>0.0165434471666569</v>
      </c>
      <c r="N28" s="14" t="n">
        <f aca="false">IFERROR(H28/J28,0)</f>
        <v>1.83913352646826</v>
      </c>
      <c r="O28" s="14" t="n">
        <f aca="false">IFERROR(H28/K28,0)</f>
        <v>23.5124242424242</v>
      </c>
      <c r="P28" s="15" t="n">
        <f aca="false">IFERROR(L28/H28,0)</f>
        <v>30.1281215523073</v>
      </c>
      <c r="Q28" s="13" t="n">
        <f aca="false">IFERROR(K28/J28,0)</f>
        <v>0.0782196470898078</v>
      </c>
      <c r="R28" s="11" t="str">
        <f aca="false">IF(COUNTIF($A$2:A28,A28)&gt;1,"Duplicate - Remove","Unique")</f>
        <v>Unique</v>
      </c>
      <c r="S28" s="11" t="str">
        <f aca="false">TRIM(IF(Raw_Data!G28="","Region missing; ","")&amp;IF(Raw_Data!H28="","Spend imputed; ","")&amp;IF(Raw_Data!L28="","Revenue imputed; ","")&amp;IF(Raw_Data!J28&lt;0,"Clicks corrected; ",""))</f>
        <v/>
      </c>
    </row>
    <row r="29" customFormat="false" ht="15" hidden="false" customHeight="true" outlineLevel="0" collapsed="false">
      <c r="A29" s="11" t="n">
        <f aca="false">Raw_Data!A29</f>
        <v>1547</v>
      </c>
      <c r="B29" s="11" t="str">
        <f aca="false">PROPER(TRIM(Raw_Data!B29))</f>
        <v>Baby Care Trust Campaign</v>
      </c>
      <c r="C29" s="11" t="str">
        <f aca="false">IFERROR(INDEX(Lookup_Tables!$B$2:$B$26,MATCH(UPPER(TRIM(Raw_Data!C29)),Lookup_Tables!$C$2:$C$26,0)),"Unknown")</f>
        <v>Facebook</v>
      </c>
      <c r="D29" s="12" t="n">
        <f aca="false">IFERROR(IF(ISNUMBER(SEARCH("/",Raw_Data!D29)),DATE(VALUE(RIGHT(Raw_Data!D29,4)),VALUE(MID(Raw_Data!D29,FIND("/",Raw_Data!D29)+1,FIND("/",Raw_Data!D29,FIND("/",Raw_Data!D29)+1)-FIND("/",Raw_Data!D29)-1)),VALUE(LEFT(Raw_Data!D29,FIND("/",Raw_Data!D29)-1))),IF(ISNUMBER(VALUE(LEFT(Raw_Data!D29,4))),DATE(VALUE(LEFT(Raw_Data!D29,4)),VALUE(MID(Raw_Data!D29,6,2)),VALUE(MID(Raw_Data!D29,9,2))),DATEVALUE(Raw_Data!D29))),"")</f>
        <v>45618</v>
      </c>
      <c r="E29" s="12" t="n">
        <f aca="false">IFERROR(IF(ISNUMBER(SEARCH("/",Raw_Data!E29)),DATE(VALUE(RIGHT(Raw_Data!E29,4)),VALUE(MID(Raw_Data!E29,FIND("/",Raw_Data!E29)+1,FIND("/",Raw_Data!E29,FIND("/",Raw_Data!E29)+1)-FIND("/",Raw_Data!E29)-1)),VALUE(LEFT(Raw_Data!E29,FIND("/",Raw_Data!E29)-1))),IF(ISNUMBER(VALUE(LEFT(Raw_Data!E29,4))),DATE(VALUE(LEFT(Raw_Data!E29,4)),VALUE(MID(Raw_Data!E29,6,2)),VALUE(MID(Raw_Data!E29,9,2))),DATEVALUE(Raw_Data!E29))),"")</f>
        <v>45635</v>
      </c>
      <c r="F29" s="11" t="str">
        <f aca="false">Raw_Data!F29</f>
        <v>Male 18-24</v>
      </c>
      <c r="G29" s="11" t="str">
        <f aca="false">IF(TRIM(Raw_Data!G29)="","Unspecified",IFERROR(INDEX(Lookup_Tables!$F$2:$F$24,MATCH(UPPER(TRIM(Raw_Data!G29)),Lookup_Tables!$G$2:$G$24,0)),"Unknown"))</f>
        <v>North</v>
      </c>
      <c r="H29" s="11" t="n">
        <f aca="false">IF(Raw_Data!H29="",ROUND(AVERAGEIFS(Raw_Data!$H$2:$H$839,Raw_Data!$C$2:$C$839,Raw_Data!C29),2),Raw_Data!H29)</f>
        <v>23561</v>
      </c>
      <c r="I29" s="11" t="n">
        <f aca="false">Raw_Data!I29</f>
        <v>885989</v>
      </c>
      <c r="J29" s="11" t="n">
        <f aca="false">IF(Raw_Data!J29&lt;0,ABS(Raw_Data!J29),Raw_Data!J29)</f>
        <v>28166</v>
      </c>
      <c r="K29" s="11" t="n">
        <f aca="false">Raw_Data!K29</f>
        <v>2095</v>
      </c>
      <c r="L29" s="11" t="n">
        <f aca="false">IF(Raw_Data!L29="",ROUND(AVERAGEIFS(Raw_Data!$L$2:$L$839,Raw_Data!$C$2:$C$839,Raw_Data!C29),2),Raw_Data!L29)</f>
        <v>2546904.59</v>
      </c>
      <c r="M29" s="13" t="n">
        <f aca="false">IFERROR(J29/I29,0)</f>
        <v>0.0317904624098042</v>
      </c>
      <c r="N29" s="14" t="n">
        <f aca="false">IFERROR(H29/J29,0)</f>
        <v>0.836505006035646</v>
      </c>
      <c r="O29" s="14" t="n">
        <f aca="false">IFERROR(H29/K29,0)</f>
        <v>11.2463007159905</v>
      </c>
      <c r="P29" s="15" t="n">
        <f aca="false">IFERROR(L29/H29,0)</f>
        <v>108.09832307627</v>
      </c>
      <c r="Q29" s="13" t="n">
        <f aca="false">IFERROR(K29/J29,0)</f>
        <v>0.0743804587090819</v>
      </c>
      <c r="R29" s="11" t="str">
        <f aca="false">IF(COUNTIF($A$2:A29,A29)&gt;1,"Duplicate - Remove","Unique")</f>
        <v>Unique</v>
      </c>
      <c r="S29" s="11" t="str">
        <f aca="false">TRIM(IF(Raw_Data!G29="","Region missing; ","")&amp;IF(Raw_Data!H29="","Spend imputed; ","")&amp;IF(Raw_Data!L29="","Revenue imputed; ","")&amp;IF(Raw_Data!J29&lt;0,"Clicks corrected; ",""))</f>
        <v/>
      </c>
    </row>
    <row r="30" customFormat="false" ht="15" hidden="false" customHeight="true" outlineLevel="0" collapsed="false">
      <c r="A30" s="11" t="n">
        <f aca="false">Raw_Data!A30</f>
        <v>1339</v>
      </c>
      <c r="B30" s="11" t="str">
        <f aca="false">PROPER(TRIM(Raw_Data!B30))</f>
        <v>Herbal Range Awareness</v>
      </c>
      <c r="C30" s="11" t="str">
        <f aca="false">IFERROR(INDEX(Lookup_Tables!$B$2:$B$26,MATCH(UPPER(TRIM(Raw_Data!C30)),Lookup_Tables!$C$2:$C$26,0)),"Unknown")</f>
        <v>Instagram</v>
      </c>
      <c r="D30" s="12" t="n">
        <f aca="false">IFERROR(IF(ISNUMBER(SEARCH("/",Raw_Data!D30)),DATE(VALUE(RIGHT(Raw_Data!D30,4)),VALUE(MID(Raw_Data!D30,FIND("/",Raw_Data!D30)+1,FIND("/",Raw_Data!D30,FIND("/",Raw_Data!D30)+1)-FIND("/",Raw_Data!D30)-1)),VALUE(LEFT(Raw_Data!D30,FIND("/",Raw_Data!D30)-1))),IF(ISNUMBER(VALUE(LEFT(Raw_Data!D30,4))),DATE(VALUE(LEFT(Raw_Data!D30,4)),VALUE(MID(Raw_Data!D30,6,2)),VALUE(MID(Raw_Data!D30,9,2))),DATEVALUE(Raw_Data!D30))),"")</f>
        <v>45506</v>
      </c>
      <c r="E30" s="12" t="n">
        <f aca="false">IFERROR(IF(ISNUMBER(SEARCH("/",Raw_Data!E30)),DATE(VALUE(RIGHT(Raw_Data!E30,4)),VALUE(MID(Raw_Data!E30,FIND("/",Raw_Data!E30)+1,FIND("/",Raw_Data!E30,FIND("/",Raw_Data!E30)+1)-FIND("/",Raw_Data!E30)-1)),VALUE(LEFT(Raw_Data!E30,FIND("/",Raw_Data!E30)-1))),IF(ISNUMBER(VALUE(LEFT(Raw_Data!E30,4))),DATE(VALUE(LEFT(Raw_Data!E30,4)),VALUE(MID(Raw_Data!E30,6,2)),VALUE(MID(Raw_Data!E30,9,2))),DATEVALUE(Raw_Data!E30))),"")</f>
        <v>45531</v>
      </c>
      <c r="F30" s="11" t="str">
        <f aca="false">Raw_Data!F30</f>
        <v>Male 35-44</v>
      </c>
      <c r="G30" s="11" t="str">
        <f aca="false">IF(TRIM(Raw_Data!G30)="","Unspecified",IFERROR(INDEX(Lookup_Tables!$F$2:$F$24,MATCH(UPPER(TRIM(Raw_Data!G30)),Lookup_Tables!$G$2:$G$24,0)),"Unknown"))</f>
        <v>East</v>
      </c>
      <c r="H30" s="11" t="n">
        <f aca="false">IF(Raw_Data!H30="",ROUND(AVERAGEIFS(Raw_Data!$H$2:$H$839,Raw_Data!$C$2:$C$839,Raw_Data!C30),2),Raw_Data!H30)</f>
        <v>10533.17</v>
      </c>
      <c r="I30" s="11" t="n">
        <f aca="false">Raw_Data!I30</f>
        <v>234801</v>
      </c>
      <c r="J30" s="11" t="n">
        <f aca="false">IF(Raw_Data!J30&lt;0,ABS(Raw_Data!J30),Raw_Data!J30)</f>
        <v>5674</v>
      </c>
      <c r="K30" s="11" t="n">
        <f aca="false">Raw_Data!K30</f>
        <v>87</v>
      </c>
      <c r="L30" s="11" t="n">
        <f aca="false">IF(Raw_Data!L30="",ROUND(AVERAGEIFS(Raw_Data!$L$2:$L$839,Raw_Data!$C$2:$C$839,Raw_Data!C30),2),Raw_Data!L30)</f>
        <v>54899.74</v>
      </c>
      <c r="M30" s="13" t="n">
        <f aca="false">IFERROR(J30/I30,0)</f>
        <v>0.0241651441007491</v>
      </c>
      <c r="N30" s="14" t="n">
        <f aca="false">IFERROR(H30/J30,0)</f>
        <v>1.85639231582658</v>
      </c>
      <c r="O30" s="14" t="n">
        <f aca="false">IFERROR(H30/K30,0)</f>
        <v>121.07091954023</v>
      </c>
      <c r="P30" s="15" t="n">
        <f aca="false">IFERROR(L30/H30,0)</f>
        <v>5.21208145316177</v>
      </c>
      <c r="Q30" s="13" t="n">
        <f aca="false">IFERROR(K30/J30,0)</f>
        <v>0.0153330983433204</v>
      </c>
      <c r="R30" s="11" t="str">
        <f aca="false">IF(COUNTIF($A$2:A30,A30)&gt;1,"Duplicate - Remove","Unique")</f>
        <v>Unique</v>
      </c>
      <c r="S30" s="11" t="str">
        <f aca="false">TRIM(IF(Raw_Data!G30="","Region missing; ","")&amp;IF(Raw_Data!H30="","Spend imputed; ","")&amp;IF(Raw_Data!L30="","Revenue imputed; ","")&amp;IF(Raw_Data!J30&lt;0,"Clicks corrected; ",""))</f>
        <v/>
      </c>
    </row>
    <row r="31" customFormat="false" ht="15" hidden="false" customHeight="true" outlineLevel="0" collapsed="false">
      <c r="A31" s="11" t="n">
        <f aca="false">Raw_Data!A31</f>
        <v>1717</v>
      </c>
      <c r="B31" s="11" t="str">
        <f aca="false">PROPER(TRIM(Raw_Data!B31))</f>
        <v>Ayurvedic Range Launch</v>
      </c>
      <c r="C31" s="11" t="str">
        <f aca="false">IFERROR(INDEX(Lookup_Tables!$B$2:$B$26,MATCH(UPPER(TRIM(Raw_Data!C31)),Lookup_Tables!$C$2:$C$26,0)),"Unknown")</f>
        <v>YouTube</v>
      </c>
      <c r="D31" s="12" t="n">
        <f aca="false">IFERROR(IF(ISNUMBER(SEARCH("/",Raw_Data!D31)),DATE(VALUE(RIGHT(Raw_Data!D31,4)),VALUE(MID(Raw_Data!D31,FIND("/",Raw_Data!D31)+1,FIND("/",Raw_Data!D31,FIND("/",Raw_Data!D31)+1)-FIND("/",Raw_Data!D31)-1)),VALUE(LEFT(Raw_Data!D31,FIND("/",Raw_Data!D31)-1))),IF(ISNUMBER(VALUE(LEFT(Raw_Data!D31,4))),DATE(VALUE(LEFT(Raw_Data!D31,4)),VALUE(MID(Raw_Data!D31,6,2)),VALUE(MID(Raw_Data!D31,9,2))),DATEVALUE(Raw_Data!D31))),"")</f>
        <v>45544</v>
      </c>
      <c r="E31" s="12" t="n">
        <f aca="false">IFERROR(IF(ISNUMBER(SEARCH("/",Raw_Data!E31)),DATE(VALUE(RIGHT(Raw_Data!E31,4)),VALUE(MID(Raw_Data!E31,FIND("/",Raw_Data!E31)+1,FIND("/",Raw_Data!E31,FIND("/",Raw_Data!E31)+1)-FIND("/",Raw_Data!E31)-1)),VALUE(LEFT(Raw_Data!E31,FIND("/",Raw_Data!E31)-1))),IF(ISNUMBER(VALUE(LEFT(Raw_Data!E31,4))),DATE(VALUE(LEFT(Raw_Data!E31,4)),VALUE(MID(Raw_Data!E31,6,2)),VALUE(MID(Raw_Data!E31,9,2))),DATEVALUE(Raw_Data!E31))),"")</f>
        <v>45560</v>
      </c>
      <c r="F31" s="11" t="str">
        <f aca="false">Raw_Data!F31</f>
        <v>Female 25-34</v>
      </c>
      <c r="G31" s="11" t="str">
        <f aca="false">IF(TRIM(Raw_Data!G31)="","Unspecified",IFERROR(INDEX(Lookup_Tables!$F$2:$F$24,MATCH(UPPER(TRIM(Raw_Data!G31)),Lookup_Tables!$G$2:$G$24,0)),"Unknown"))</f>
        <v>East</v>
      </c>
      <c r="H31" s="11" t="n">
        <f aca="false">IF(Raw_Data!H31="",ROUND(AVERAGEIFS(Raw_Data!$H$2:$H$839,Raw_Data!$C$2:$C$839,Raw_Data!C31),2),Raw_Data!H31)</f>
        <v>19530.3</v>
      </c>
      <c r="I31" s="11" t="n">
        <f aca="false">Raw_Data!I31</f>
        <v>661906</v>
      </c>
      <c r="J31" s="11" t="n">
        <f aca="false">IF(Raw_Data!J31&lt;0,ABS(Raw_Data!J31),Raw_Data!J31)</f>
        <v>11849</v>
      </c>
      <c r="K31" s="11" t="n">
        <f aca="false">Raw_Data!K31</f>
        <v>677</v>
      </c>
      <c r="L31" s="11" t="n">
        <f aca="false">IF(Raw_Data!L31="",ROUND(AVERAGEIFS(Raw_Data!$L$2:$L$839,Raw_Data!$C$2:$C$839,Raw_Data!C31),2),Raw_Data!L31)</f>
        <v>1119099.65</v>
      </c>
      <c r="M31" s="13" t="n">
        <f aca="false">IFERROR(J31/I31,0)</f>
        <v>0.0179013334219663</v>
      </c>
      <c r="N31" s="14" t="n">
        <f aca="false">IFERROR(H31/J31,0)</f>
        <v>1.64826567642839</v>
      </c>
      <c r="O31" s="14" t="n">
        <f aca="false">IFERROR(H31/K31,0)</f>
        <v>28.8483013293944</v>
      </c>
      <c r="P31" s="15" t="n">
        <f aca="false">IFERROR(L31/H31,0)</f>
        <v>57.300689185522</v>
      </c>
      <c r="Q31" s="13" t="n">
        <f aca="false">IFERROR(K31/J31,0)</f>
        <v>0.0571356232593468</v>
      </c>
      <c r="R31" s="11" t="str">
        <f aca="false">IF(COUNTIF($A$2:A31,A31)&gt;1,"Duplicate - Remove","Unique")</f>
        <v>Unique</v>
      </c>
      <c r="S31" s="11" t="str">
        <f aca="false">TRIM(IF(Raw_Data!G31="","Region missing; ","")&amp;IF(Raw_Data!H31="","Spend imputed; ","")&amp;IF(Raw_Data!L31="","Revenue imputed; ","")&amp;IF(Raw_Data!J31&lt;0,"Clicks corrected; ",""))</f>
        <v/>
      </c>
    </row>
    <row r="32" customFormat="false" ht="15" hidden="false" customHeight="true" outlineLevel="0" collapsed="false">
      <c r="A32" s="11" t="n">
        <f aca="false">Raw_Data!A32</f>
        <v>1238</v>
      </c>
      <c r="B32" s="11" t="str">
        <f aca="false">PROPER(TRIM(Raw_Data!B32))</f>
        <v>Summer Glow Launch</v>
      </c>
      <c r="C32" s="11" t="str">
        <f aca="false">IFERROR(INDEX(Lookup_Tables!$B$2:$B$26,MATCH(UPPER(TRIM(Raw_Data!C32)),Lookup_Tables!$C$2:$C$26,0)),"Unknown")</f>
        <v>Email</v>
      </c>
      <c r="D32" s="12" t="n">
        <f aca="false">IFERROR(IF(ISNUMBER(SEARCH("/",Raw_Data!D32)),DATE(VALUE(RIGHT(Raw_Data!D32,4)),VALUE(MID(Raw_Data!D32,FIND("/",Raw_Data!D32)+1,FIND("/",Raw_Data!D32,FIND("/",Raw_Data!D32)+1)-FIND("/",Raw_Data!D32)-1)),VALUE(LEFT(Raw_Data!D32,FIND("/",Raw_Data!D32)-1))),IF(ISNUMBER(VALUE(LEFT(Raw_Data!D32,4))),DATE(VALUE(LEFT(Raw_Data!D32,4)),VALUE(MID(Raw_Data!D32,6,2)),VALUE(MID(Raw_Data!D32,9,2))),DATEVALUE(Raw_Data!D32))),"")</f>
        <v>45453</v>
      </c>
      <c r="E32" s="12" t="n">
        <f aca="false">IFERROR(IF(ISNUMBER(SEARCH("/",Raw_Data!E32)),DATE(VALUE(RIGHT(Raw_Data!E32,4)),VALUE(MID(Raw_Data!E32,FIND("/",Raw_Data!E32)+1,FIND("/",Raw_Data!E32,FIND("/",Raw_Data!E32)+1)-FIND("/",Raw_Data!E32)-1)),VALUE(LEFT(Raw_Data!E32,FIND("/",Raw_Data!E32)-1))),IF(ISNUMBER(VALUE(LEFT(Raw_Data!E32,4))),DATE(VALUE(LEFT(Raw_Data!E32,4)),VALUE(MID(Raw_Data!E32,6,2)),VALUE(MID(Raw_Data!E32,9,2))),DATEVALUE(Raw_Data!E32))),"")</f>
        <v>45480</v>
      </c>
      <c r="F32" s="11" t="str">
        <f aca="false">Raw_Data!F32</f>
        <v>Male 45+</v>
      </c>
      <c r="G32" s="11" t="str">
        <f aca="false">IF(TRIM(Raw_Data!G32)="","Unspecified",IFERROR(INDEX(Lookup_Tables!$F$2:$F$24,MATCH(UPPER(TRIM(Raw_Data!G32)),Lookup_Tables!$G$2:$G$24,0)),"Unknown"))</f>
        <v>South</v>
      </c>
      <c r="H32" s="11" t="n">
        <f aca="false">IF(Raw_Data!H32="",ROUND(AVERAGEIFS(Raw_Data!$H$2:$H$839,Raw_Data!$C$2:$C$839,Raw_Data!C32),2),Raw_Data!H32)</f>
        <v>1082.74</v>
      </c>
      <c r="I32" s="11" t="n">
        <f aca="false">Raw_Data!I32</f>
        <v>21945</v>
      </c>
      <c r="J32" s="11" t="n">
        <f aca="false">IF(Raw_Data!J32&lt;0,ABS(Raw_Data!J32),Raw_Data!J32)</f>
        <v>492</v>
      </c>
      <c r="K32" s="11" t="n">
        <f aca="false">Raw_Data!K32</f>
        <v>16</v>
      </c>
      <c r="L32" s="11" t="n">
        <f aca="false">IF(Raw_Data!L32="",ROUND(AVERAGEIFS(Raw_Data!$L$2:$L$839,Raw_Data!$C$2:$C$839,Raw_Data!C32),2),Raw_Data!L32)</f>
        <v>19816.45</v>
      </c>
      <c r="M32" s="13" t="n">
        <f aca="false">IFERROR(J32/I32,0)</f>
        <v>0.0224196855775803</v>
      </c>
      <c r="N32" s="14" t="n">
        <f aca="false">IFERROR(H32/J32,0)</f>
        <v>2.20069105691057</v>
      </c>
      <c r="O32" s="14" t="n">
        <f aca="false">IFERROR(H32/K32,0)</f>
        <v>67.67125</v>
      </c>
      <c r="P32" s="15" t="n">
        <f aca="false">IFERROR(L32/H32,0)</f>
        <v>18.3021316290153</v>
      </c>
      <c r="Q32" s="13" t="n">
        <f aca="false">IFERROR(K32/J32,0)</f>
        <v>0.032520325203252</v>
      </c>
      <c r="R32" s="11" t="str">
        <f aca="false">IF(COUNTIF($A$2:A32,A32)&gt;1,"Duplicate - Remove","Unique")</f>
        <v>Unique</v>
      </c>
      <c r="S32" s="11" t="str">
        <f aca="false">TRIM(IF(Raw_Data!G32="","Region missing; ","")&amp;IF(Raw_Data!H32="","Spend imputed; ","")&amp;IF(Raw_Data!L32="","Revenue imputed; ","")&amp;IF(Raw_Data!J32&lt;0,"Clicks corrected; ",""))</f>
        <v/>
      </c>
    </row>
    <row r="33" customFormat="false" ht="15" hidden="false" customHeight="true" outlineLevel="0" collapsed="false">
      <c r="A33" s="11" t="n">
        <f aca="false">Raw_Data!A33</f>
        <v>1645</v>
      </c>
      <c r="B33" s="11" t="str">
        <f aca="false">PROPER(TRIM(Raw_Data!B33))</f>
        <v>Sunscreen Season Campaign</v>
      </c>
      <c r="C33" s="11" t="str">
        <f aca="false">IFERROR(INDEX(Lookup_Tables!$B$2:$B$26,MATCH(UPPER(TRIM(Raw_Data!C33)),Lookup_Tables!$C$2:$C$26,0)),"Unknown")</f>
        <v>Instagram</v>
      </c>
      <c r="D33" s="12" t="n">
        <f aca="false">IFERROR(IF(ISNUMBER(SEARCH("/",Raw_Data!D33)),DATE(VALUE(RIGHT(Raw_Data!D33,4)),VALUE(MID(Raw_Data!D33,FIND("/",Raw_Data!D33)+1,FIND("/",Raw_Data!D33,FIND("/",Raw_Data!D33)+1)-FIND("/",Raw_Data!D33)-1)),VALUE(LEFT(Raw_Data!D33,FIND("/",Raw_Data!D33)-1))),IF(ISNUMBER(VALUE(LEFT(Raw_Data!D33,4))),DATE(VALUE(LEFT(Raw_Data!D33,4)),VALUE(MID(Raw_Data!D33,6,2)),VALUE(MID(Raw_Data!D33,9,2))),DATEVALUE(Raw_Data!D33))),"")</f>
        <v>45325</v>
      </c>
      <c r="E33" s="12" t="n">
        <f aca="false">IFERROR(IF(ISNUMBER(SEARCH("/",Raw_Data!E33)),DATE(VALUE(RIGHT(Raw_Data!E33,4)),VALUE(MID(Raw_Data!E33,FIND("/",Raw_Data!E33)+1,FIND("/",Raw_Data!E33,FIND("/",Raw_Data!E33)+1)-FIND("/",Raw_Data!E33)-1)),VALUE(LEFT(Raw_Data!E33,FIND("/",Raw_Data!E33)-1))),IF(ISNUMBER(VALUE(LEFT(Raw_Data!E33,4))),DATE(VALUE(LEFT(Raw_Data!E33,4)),VALUE(MID(Raw_Data!E33,6,2)),VALUE(MID(Raw_Data!E33,9,2))),DATEVALUE(Raw_Data!E33))),"")</f>
        <v>45354</v>
      </c>
      <c r="F33" s="11" t="str">
        <f aca="false">Raw_Data!F33</f>
        <v>Female 35-44</v>
      </c>
      <c r="G33" s="11" t="str">
        <f aca="false">IF(TRIM(Raw_Data!G33)="","Unspecified",IFERROR(INDEX(Lookup_Tables!$F$2:$F$24,MATCH(UPPER(TRIM(Raw_Data!G33)),Lookup_Tables!$G$2:$G$24,0)),"Unknown"))</f>
        <v>Central</v>
      </c>
      <c r="H33" s="11" t="n">
        <f aca="false">IF(Raw_Data!H33="",ROUND(AVERAGEIFS(Raw_Data!$H$2:$H$839,Raw_Data!$C$2:$C$839,Raw_Data!C33),2),Raw_Data!H33)</f>
        <v>42994.76</v>
      </c>
      <c r="I33" s="11" t="n">
        <f aca="false">Raw_Data!I33</f>
        <v>746569</v>
      </c>
      <c r="J33" s="11" t="n">
        <f aca="false">IF(Raw_Data!J33&lt;0,ABS(Raw_Data!J33),Raw_Data!J33)</f>
        <v>23039</v>
      </c>
      <c r="K33" s="11" t="n">
        <f aca="false">Raw_Data!K33</f>
        <v>782</v>
      </c>
      <c r="L33" s="11" t="n">
        <f aca="false">IF(Raw_Data!L33="",ROUND(AVERAGEIFS(Raw_Data!$L$2:$L$839,Raw_Data!$C$2:$C$839,Raw_Data!C33),2),Raw_Data!L33)</f>
        <v>1052642.73</v>
      </c>
      <c r="M33" s="13" t="n">
        <f aca="false">IFERROR(J33/I33,0)</f>
        <v>0.0308598401487337</v>
      </c>
      <c r="N33" s="14" t="n">
        <f aca="false">IFERROR(H33/J33,0)</f>
        <v>1.86617301098138</v>
      </c>
      <c r="O33" s="14" t="n">
        <f aca="false">IFERROR(H33/K33,0)</f>
        <v>54.9805115089514</v>
      </c>
      <c r="P33" s="15" t="n">
        <f aca="false">IFERROR(L33/H33,0)</f>
        <v>24.4830470038674</v>
      </c>
      <c r="Q33" s="13" t="n">
        <f aca="false">IFERROR(K33/J33,0)</f>
        <v>0.033942445418638</v>
      </c>
      <c r="R33" s="11" t="str">
        <f aca="false">IF(COUNTIF($A$2:A33,A33)&gt;1,"Duplicate - Remove","Unique")</f>
        <v>Unique</v>
      </c>
      <c r="S33" s="11" t="str">
        <f aca="false">TRIM(IF(Raw_Data!G33="","Region missing; ","")&amp;IF(Raw_Data!H33="","Spend imputed; ","")&amp;IF(Raw_Data!L33="","Revenue imputed; ","")&amp;IF(Raw_Data!J33&lt;0,"Clicks corrected; ",""))</f>
        <v/>
      </c>
    </row>
    <row r="34" customFormat="false" ht="15" hidden="false" customHeight="true" outlineLevel="0" collapsed="false">
      <c r="A34" s="11" t="n">
        <f aca="false">Raw_Data!A34</f>
        <v>1169</v>
      </c>
      <c r="B34" s="11" t="str">
        <f aca="false">PROPER(TRIM(Raw_Data!B34))</f>
        <v>Men'S Grooming Drive</v>
      </c>
      <c r="C34" s="11" t="str">
        <f aca="false">IFERROR(INDEX(Lookup_Tables!$B$2:$B$26,MATCH(UPPER(TRIM(Raw_Data!C34)),Lookup_Tables!$C$2:$C$26,0)),"Unknown")</f>
        <v>Instagram</v>
      </c>
      <c r="D34" s="12" t="n">
        <f aca="false">IFERROR(IF(ISNUMBER(SEARCH("/",Raw_Data!D34)),DATE(VALUE(RIGHT(Raw_Data!D34,4)),VALUE(MID(Raw_Data!D34,FIND("/",Raw_Data!D34)+1,FIND("/",Raw_Data!D34,FIND("/",Raw_Data!D34)+1)-FIND("/",Raw_Data!D34)-1)),VALUE(LEFT(Raw_Data!D34,FIND("/",Raw_Data!D34)-1))),IF(ISNUMBER(VALUE(LEFT(Raw_Data!D34,4))),DATE(VALUE(LEFT(Raw_Data!D34,4)),VALUE(MID(Raw_Data!D34,6,2)),VALUE(MID(Raw_Data!D34,9,2))),DATEVALUE(Raw_Data!D34))),"")</f>
        <v>45377</v>
      </c>
      <c r="E34" s="12" t="n">
        <f aca="false">IFERROR(IF(ISNUMBER(SEARCH("/",Raw_Data!E34)),DATE(VALUE(RIGHT(Raw_Data!E34,4)),VALUE(MID(Raw_Data!E34,FIND("/",Raw_Data!E34)+1,FIND("/",Raw_Data!E34,FIND("/",Raw_Data!E34)+1)-FIND("/",Raw_Data!E34)-1)),VALUE(LEFT(Raw_Data!E34,FIND("/",Raw_Data!E34)-1))),IF(ISNUMBER(VALUE(LEFT(Raw_Data!E34,4))),DATE(VALUE(LEFT(Raw_Data!E34,4)),VALUE(MID(Raw_Data!E34,6,2)),VALUE(MID(Raw_Data!E34,9,2))),DATEVALUE(Raw_Data!E34))),"")</f>
        <v>45395</v>
      </c>
      <c r="F34" s="11" t="str">
        <f aca="false">Raw_Data!F34</f>
        <v>Female 45+</v>
      </c>
      <c r="G34" s="11" t="str">
        <f aca="false">IF(TRIM(Raw_Data!G34)="","Unspecified",IFERROR(INDEX(Lookup_Tables!$F$2:$F$24,MATCH(UPPER(TRIM(Raw_Data!G34)),Lookup_Tables!$G$2:$G$24,0)),"Unknown"))</f>
        <v>North</v>
      </c>
      <c r="H34" s="11" t="n">
        <f aca="false">IF(Raw_Data!H34="",ROUND(AVERAGEIFS(Raw_Data!$H$2:$H$839,Raw_Data!$C$2:$C$839,Raw_Data!C34),2),Raw_Data!H34)</f>
        <v>53852.07</v>
      </c>
      <c r="I34" s="11" t="n">
        <f aca="false">Raw_Data!I34</f>
        <v>1280644</v>
      </c>
      <c r="J34" s="11" t="n">
        <f aca="false">IF(Raw_Data!J34&lt;0,ABS(Raw_Data!J34),Raw_Data!J34)</f>
        <v>20823</v>
      </c>
      <c r="K34" s="11" t="n">
        <f aca="false">Raw_Data!K34</f>
        <v>1416</v>
      </c>
      <c r="L34" s="11" t="n">
        <f aca="false">IF(Raw_Data!L34="",ROUND(AVERAGEIFS(Raw_Data!$L$2:$L$839,Raw_Data!$C$2:$C$839,Raw_Data!C34),2),Raw_Data!L34)</f>
        <v>2115020.42</v>
      </c>
      <c r="M34" s="13" t="n">
        <f aca="false">IFERROR(J34/I34,0)</f>
        <v>0.0162597880441403</v>
      </c>
      <c r="N34" s="14" t="n">
        <f aca="false">IFERROR(H34/J34,0)</f>
        <v>2.58618210632474</v>
      </c>
      <c r="O34" s="14" t="n">
        <f aca="false">IFERROR(H34/K34,0)</f>
        <v>38.0311228813559</v>
      </c>
      <c r="P34" s="15" t="n">
        <f aca="false">IFERROR(L34/H34,0)</f>
        <v>39.2746354968342</v>
      </c>
      <c r="Q34" s="13" t="n">
        <f aca="false">IFERROR(K34/J34,0)</f>
        <v>0.0680017288575133</v>
      </c>
      <c r="R34" s="11" t="str">
        <f aca="false">IF(COUNTIF($A$2:A34,A34)&gt;1,"Duplicate - Remove","Unique")</f>
        <v>Unique</v>
      </c>
      <c r="S34" s="11" t="str">
        <f aca="false">TRIM(IF(Raw_Data!G34="","Region missing; ","")&amp;IF(Raw_Data!H34="","Spend imputed; ","")&amp;IF(Raw_Data!L34="","Revenue imputed; ","")&amp;IF(Raw_Data!J34&lt;0,"Clicks corrected; ",""))</f>
        <v/>
      </c>
    </row>
    <row r="35" customFormat="false" ht="15" hidden="false" customHeight="true" outlineLevel="0" collapsed="false">
      <c r="A35" s="11" t="n">
        <f aca="false">Raw_Data!A35</f>
        <v>1653</v>
      </c>
      <c r="B35" s="11" t="str">
        <f aca="false">PROPER(TRIM(Raw_Data!B35))</f>
        <v>Baby Care Trust Campaign</v>
      </c>
      <c r="C35" s="11" t="str">
        <f aca="false">IFERROR(INDEX(Lookup_Tables!$B$2:$B$26,MATCH(UPPER(TRIM(Raw_Data!C35)),Lookup_Tables!$C$2:$C$26,0)),"Unknown")</f>
        <v>Instagram</v>
      </c>
      <c r="D35" s="12" t="n">
        <f aca="false">IFERROR(IF(ISNUMBER(SEARCH("/",Raw_Data!D35)),DATE(VALUE(RIGHT(Raw_Data!D35,4)),VALUE(MID(Raw_Data!D35,FIND("/",Raw_Data!D35)+1,FIND("/",Raw_Data!D35,FIND("/",Raw_Data!D35)+1)-FIND("/",Raw_Data!D35)-1)),VALUE(LEFT(Raw_Data!D35,FIND("/",Raw_Data!D35)-1))),IF(ISNUMBER(VALUE(LEFT(Raw_Data!D35,4))),DATE(VALUE(LEFT(Raw_Data!D35,4)),VALUE(MID(Raw_Data!D35,6,2)),VALUE(MID(Raw_Data!D35,9,2))),DATEVALUE(Raw_Data!D35))),"")</f>
        <v>45585</v>
      </c>
      <c r="E35" s="12" t="n">
        <f aca="false">IFERROR(IF(ISNUMBER(SEARCH("/",Raw_Data!E35)),DATE(VALUE(RIGHT(Raw_Data!E35,4)),VALUE(MID(Raw_Data!E35,FIND("/",Raw_Data!E35)+1,FIND("/",Raw_Data!E35,FIND("/",Raw_Data!E35)+1)-FIND("/",Raw_Data!E35)-1)),VALUE(LEFT(Raw_Data!E35,FIND("/",Raw_Data!E35)-1))),IF(ISNUMBER(VALUE(LEFT(Raw_Data!E35,4))),DATE(VALUE(LEFT(Raw_Data!E35,4)),VALUE(MID(Raw_Data!E35,6,2)),VALUE(MID(Raw_Data!E35,9,2))),DATEVALUE(Raw_Data!E35))),"")</f>
        <v>45604</v>
      </c>
      <c r="F35" s="11" t="str">
        <f aca="false">Raw_Data!F35</f>
        <v>Female 25-34</v>
      </c>
      <c r="G35" s="11" t="str">
        <f aca="false">IF(TRIM(Raw_Data!G35)="","Unspecified",IFERROR(INDEX(Lookup_Tables!$F$2:$F$24,MATCH(UPPER(TRIM(Raw_Data!G35)),Lookup_Tables!$G$2:$G$24,0)),"Unknown"))</f>
        <v>North</v>
      </c>
      <c r="H35" s="11" t="n">
        <f aca="false">IF(Raw_Data!H35="",ROUND(AVERAGEIFS(Raw_Data!$H$2:$H$839,Raw_Data!$C$2:$C$839,Raw_Data!C35),2),Raw_Data!H35)</f>
        <v>41809.05</v>
      </c>
      <c r="I35" s="11" t="n">
        <f aca="false">Raw_Data!I35</f>
        <v>826656</v>
      </c>
      <c r="J35" s="11" t="n">
        <f aca="false">IF(Raw_Data!J35&lt;0,ABS(Raw_Data!J35),Raw_Data!J35)</f>
        <v>5945</v>
      </c>
      <c r="K35" s="11" t="n">
        <f aca="false">Raw_Data!K35</f>
        <v>344</v>
      </c>
      <c r="L35" s="11" t="n">
        <f aca="false">IF(Raw_Data!L35="",ROUND(AVERAGEIFS(Raw_Data!$L$2:$L$839,Raw_Data!$C$2:$C$839,Raw_Data!C35),2),Raw_Data!L35)</f>
        <v>528296.58</v>
      </c>
      <c r="M35" s="13" t="n">
        <f aca="false">IFERROR(J35/I35,0)</f>
        <v>0.00719162505322649</v>
      </c>
      <c r="N35" s="14" t="n">
        <f aca="false">IFERROR(H35/J35,0)</f>
        <v>7.03264087468461</v>
      </c>
      <c r="O35" s="14" t="n">
        <f aca="false">IFERROR(H35/K35,0)</f>
        <v>121.537936046512</v>
      </c>
      <c r="P35" s="15" t="n">
        <f aca="false">IFERROR(L35/H35,0)</f>
        <v>12.6359383913291</v>
      </c>
      <c r="Q35" s="13" t="n">
        <f aca="false">IFERROR(K35/J35,0)</f>
        <v>0.0578637510513036</v>
      </c>
      <c r="R35" s="11" t="str">
        <f aca="false">IF(COUNTIF($A$2:A35,A35)&gt;1,"Duplicate - Remove","Unique")</f>
        <v>Unique</v>
      </c>
      <c r="S35" s="11" t="str">
        <f aca="false">TRIM(IF(Raw_Data!G35="","Region missing; ","")&amp;IF(Raw_Data!H35="","Spend imputed; ","")&amp;IF(Raw_Data!L35="","Revenue imputed; ","")&amp;IF(Raw_Data!J35&lt;0,"Clicks corrected; ",""))</f>
        <v/>
      </c>
    </row>
    <row r="36" customFormat="false" ht="15" hidden="false" customHeight="true" outlineLevel="0" collapsed="false">
      <c r="A36" s="11" t="n">
        <f aca="false">Raw_Data!A36</f>
        <v>1233</v>
      </c>
      <c r="B36" s="11" t="str">
        <f aca="false">PROPER(TRIM(Raw_Data!B36))</f>
        <v>Hair Care Revamp</v>
      </c>
      <c r="C36" s="11" t="str">
        <f aca="false">IFERROR(INDEX(Lookup_Tables!$B$2:$B$26,MATCH(UPPER(TRIM(Raw_Data!C36)),Lookup_Tables!$C$2:$C$26,0)),"Unknown")</f>
        <v>YouTube</v>
      </c>
      <c r="D36" s="12" t="n">
        <f aca="false">IFERROR(IF(ISNUMBER(SEARCH("/",Raw_Data!D36)),DATE(VALUE(RIGHT(Raw_Data!D36,4)),VALUE(MID(Raw_Data!D36,FIND("/",Raw_Data!D36)+1,FIND("/",Raw_Data!D36,FIND("/",Raw_Data!D36)+1)-FIND("/",Raw_Data!D36)-1)),VALUE(LEFT(Raw_Data!D36,FIND("/",Raw_Data!D36)-1))),IF(ISNUMBER(VALUE(LEFT(Raw_Data!D36,4))),DATE(VALUE(LEFT(Raw_Data!D36,4)),VALUE(MID(Raw_Data!D36,6,2)),VALUE(MID(Raw_Data!D36,9,2))),DATEVALUE(Raw_Data!D36))),"")</f>
        <v>45469</v>
      </c>
      <c r="E36" s="12" t="n">
        <f aca="false">IFERROR(IF(ISNUMBER(SEARCH("/",Raw_Data!E36)),DATE(VALUE(RIGHT(Raw_Data!E36,4)),VALUE(MID(Raw_Data!E36,FIND("/",Raw_Data!E36)+1,FIND("/",Raw_Data!E36,FIND("/",Raw_Data!E36)+1)-FIND("/",Raw_Data!E36)-1)),VALUE(LEFT(Raw_Data!E36,FIND("/",Raw_Data!E36)-1))),IF(ISNUMBER(VALUE(LEFT(Raw_Data!E36,4))),DATE(VALUE(LEFT(Raw_Data!E36,4)),VALUE(MID(Raw_Data!E36,6,2)),VALUE(MID(Raw_Data!E36,9,2))),DATEVALUE(Raw_Data!E36))),"")</f>
        <v>45482</v>
      </c>
      <c r="F36" s="11" t="str">
        <f aca="false">Raw_Data!F36</f>
        <v>Male 35-44</v>
      </c>
      <c r="G36" s="11" t="str">
        <f aca="false">IF(TRIM(Raw_Data!G36)="","Unspecified",IFERROR(INDEX(Lookup_Tables!$F$2:$F$24,MATCH(UPPER(TRIM(Raw_Data!G36)),Lookup_Tables!$G$2:$G$24,0)),"Unknown"))</f>
        <v>North</v>
      </c>
      <c r="H36" s="11" t="n">
        <f aca="false">IF(Raw_Data!H36="",ROUND(AVERAGEIFS(Raw_Data!$H$2:$H$839,Raw_Data!$C$2:$C$839,Raw_Data!C36),2),Raw_Data!H36)</f>
        <v>60477.26</v>
      </c>
      <c r="I36" s="11" t="n">
        <f aca="false">Raw_Data!I36</f>
        <v>1201267</v>
      </c>
      <c r="J36" s="11" t="n">
        <f aca="false">IF(Raw_Data!J36&lt;0,ABS(Raw_Data!J36),Raw_Data!J36)</f>
        <v>39511</v>
      </c>
      <c r="K36" s="11" t="n">
        <f aca="false">Raw_Data!K36</f>
        <v>1985</v>
      </c>
      <c r="L36" s="11" t="n">
        <f aca="false">IF(Raw_Data!L36="",ROUND(AVERAGEIFS(Raw_Data!$L$2:$L$839,Raw_Data!$C$2:$C$839,Raw_Data!C36),2),Raw_Data!L36)</f>
        <v>1446282.68</v>
      </c>
      <c r="M36" s="13" t="n">
        <f aca="false">IFERROR(J36/I36,0)</f>
        <v>0.0328911058074516</v>
      </c>
      <c r="N36" s="14" t="n">
        <f aca="false">IFERROR(H36/J36,0)</f>
        <v>1.5306436182329</v>
      </c>
      <c r="O36" s="14" t="n">
        <f aca="false">IFERROR(H36/K36,0)</f>
        <v>30.4671335012594</v>
      </c>
      <c r="P36" s="15" t="n">
        <f aca="false">IFERROR(L36/H36,0)</f>
        <v>23.9144875280395</v>
      </c>
      <c r="Q36" s="13" t="n">
        <f aca="false">IFERROR(K36/J36,0)</f>
        <v>0.050239173900939</v>
      </c>
      <c r="R36" s="11" t="str">
        <f aca="false">IF(COUNTIF($A$2:A36,A36)&gt;1,"Duplicate - Remove","Unique")</f>
        <v>Unique</v>
      </c>
      <c r="S36" s="11" t="str">
        <f aca="false">TRIM(IF(Raw_Data!G36="","Region missing; ","")&amp;IF(Raw_Data!H36="","Spend imputed; ","")&amp;IF(Raw_Data!L36="","Revenue imputed; ","")&amp;IF(Raw_Data!J36&lt;0,"Clicks corrected; ",""))</f>
        <v/>
      </c>
    </row>
    <row r="37" customFormat="false" ht="15" hidden="false" customHeight="true" outlineLevel="0" collapsed="false">
      <c r="A37" s="11" t="n">
        <f aca="false">Raw_Data!A37</f>
        <v>1525</v>
      </c>
      <c r="B37" s="11" t="str">
        <f aca="false">PROPER(TRIM(Raw_Data!B37))</f>
        <v>Ayurvedic Range Launch</v>
      </c>
      <c r="C37" s="11" t="str">
        <f aca="false">IFERROR(INDEX(Lookup_Tables!$B$2:$B$26,MATCH(UPPER(TRIM(Raw_Data!C37)),Lookup_Tables!$C$2:$C$26,0)),"Unknown")</f>
        <v>Instagram</v>
      </c>
      <c r="D37" s="12" t="n">
        <f aca="false">IFERROR(IF(ISNUMBER(SEARCH("/",Raw_Data!D37)),DATE(VALUE(RIGHT(Raw_Data!D37,4)),VALUE(MID(Raw_Data!D37,FIND("/",Raw_Data!D37)+1,FIND("/",Raw_Data!D37,FIND("/",Raw_Data!D37)+1)-FIND("/",Raw_Data!D37)-1)),VALUE(LEFT(Raw_Data!D37,FIND("/",Raw_Data!D37)-1))),IF(ISNUMBER(VALUE(LEFT(Raw_Data!D37,4))),DATE(VALUE(LEFT(Raw_Data!D37,4)),VALUE(MID(Raw_Data!D37,6,2)),VALUE(MID(Raw_Data!D37,9,2))),DATEVALUE(Raw_Data!D37))),"")</f>
        <v>45539</v>
      </c>
      <c r="E37" s="12" t="n">
        <f aca="false">IFERROR(IF(ISNUMBER(SEARCH("/",Raw_Data!E37)),DATE(VALUE(RIGHT(Raw_Data!E37,4)),VALUE(MID(Raw_Data!E37,FIND("/",Raw_Data!E37)+1,FIND("/",Raw_Data!E37,FIND("/",Raw_Data!E37)+1)-FIND("/",Raw_Data!E37)-1)),VALUE(LEFT(Raw_Data!E37,FIND("/",Raw_Data!E37)-1))),IF(ISNUMBER(VALUE(LEFT(Raw_Data!E37,4))),DATE(VALUE(LEFT(Raw_Data!E37,4)),VALUE(MID(Raw_Data!E37,6,2)),VALUE(MID(Raw_Data!E37,9,2))),DATEVALUE(Raw_Data!E37))),"")</f>
        <v>45563</v>
      </c>
      <c r="F37" s="11" t="str">
        <f aca="false">Raw_Data!F37</f>
        <v>Male 35-44</v>
      </c>
      <c r="G37" s="11" t="str">
        <f aca="false">IF(TRIM(Raw_Data!G37)="","Unspecified",IFERROR(INDEX(Lookup_Tables!$F$2:$F$24,MATCH(UPPER(TRIM(Raw_Data!G37)),Lookup_Tables!$G$2:$G$24,0)),"Unknown"))</f>
        <v>North</v>
      </c>
      <c r="H37" s="11" t="n">
        <f aca="false">IF(Raw_Data!H37="",ROUND(AVERAGEIFS(Raw_Data!$H$2:$H$839,Raw_Data!$C$2:$C$839,Raw_Data!C37),2),Raw_Data!H37)</f>
        <v>36417.1</v>
      </c>
      <c r="I37" s="11" t="n">
        <f aca="false">Raw_Data!I37</f>
        <v>690457</v>
      </c>
      <c r="J37" s="11" t="n">
        <f aca="false">IF(Raw_Data!J37&lt;0,ABS(Raw_Data!J37),Raw_Data!J37)</f>
        <v>18815</v>
      </c>
      <c r="K37" s="11" t="n">
        <f aca="false">Raw_Data!K37</f>
        <v>1408</v>
      </c>
      <c r="L37" s="11" t="n">
        <f aca="false">IF(Raw_Data!L37="",ROUND(AVERAGEIFS(Raw_Data!$L$2:$L$839,Raw_Data!$C$2:$C$839,Raw_Data!C37),2),Raw_Data!L37)</f>
        <v>956998.6</v>
      </c>
      <c r="M37" s="13" t="n">
        <f aca="false">IFERROR(J37/I37,0)</f>
        <v>0.0272500677087784</v>
      </c>
      <c r="N37" s="14" t="n">
        <f aca="false">IFERROR(H37/J37,0)</f>
        <v>1.93553547701302</v>
      </c>
      <c r="O37" s="14" t="n">
        <f aca="false">IFERROR(H37/K37,0)</f>
        <v>25.8644176136364</v>
      </c>
      <c r="P37" s="15" t="n">
        <f aca="false">IFERROR(L37/H37,0)</f>
        <v>26.2788250574593</v>
      </c>
      <c r="Q37" s="13" t="n">
        <f aca="false">IFERROR(K37/J37,0)</f>
        <v>0.0748339091150678</v>
      </c>
      <c r="R37" s="11" t="str">
        <f aca="false">IF(COUNTIF($A$2:A37,A37)&gt;1,"Duplicate - Remove","Unique")</f>
        <v>Unique</v>
      </c>
      <c r="S37" s="11" t="str">
        <f aca="false">TRIM(IF(Raw_Data!G37="","Region missing; ","")&amp;IF(Raw_Data!H37="","Spend imputed; ","")&amp;IF(Raw_Data!L37="","Revenue imputed; ","")&amp;IF(Raw_Data!J37&lt;0,"Clicks corrected; ",""))</f>
        <v>Revenue imputed;</v>
      </c>
    </row>
    <row r="38" customFormat="false" ht="15" hidden="false" customHeight="true" outlineLevel="0" collapsed="false">
      <c r="A38" s="11" t="n">
        <f aca="false">Raw_Data!A38</f>
        <v>1231</v>
      </c>
      <c r="B38" s="11" t="str">
        <f aca="false">PROPER(TRIM(Raw_Data!B38))</f>
        <v>Sunscreen Season Campaign</v>
      </c>
      <c r="C38" s="11" t="str">
        <f aca="false">IFERROR(INDEX(Lookup_Tables!$B$2:$B$26,MATCH(UPPER(TRIM(Raw_Data!C38)),Lookup_Tables!$C$2:$C$26,0)),"Unknown")</f>
        <v>Instagram</v>
      </c>
      <c r="D38" s="12" t="n">
        <f aca="false">IFERROR(IF(ISNUMBER(SEARCH("/",Raw_Data!D38)),DATE(VALUE(RIGHT(Raw_Data!D38,4)),VALUE(MID(Raw_Data!D38,FIND("/",Raw_Data!D38)+1,FIND("/",Raw_Data!D38,FIND("/",Raw_Data!D38)+1)-FIND("/",Raw_Data!D38)-1)),VALUE(LEFT(Raw_Data!D38,FIND("/",Raw_Data!D38)-1))),IF(ISNUMBER(VALUE(LEFT(Raw_Data!D38,4))),DATE(VALUE(LEFT(Raw_Data!D38,4)),VALUE(MID(Raw_Data!D38,6,2)),VALUE(MID(Raw_Data!D38,9,2))),DATEVALUE(Raw_Data!D38))),"")</f>
        <v>45603</v>
      </c>
      <c r="E38" s="12" t="n">
        <f aca="false">IFERROR(IF(ISNUMBER(SEARCH("/",Raw_Data!E38)),DATE(VALUE(RIGHT(Raw_Data!E38,4)),VALUE(MID(Raw_Data!E38,FIND("/",Raw_Data!E38)+1,FIND("/",Raw_Data!E38,FIND("/",Raw_Data!E38)+1)-FIND("/",Raw_Data!E38)-1)),VALUE(LEFT(Raw_Data!E38,FIND("/",Raw_Data!E38)-1))),IF(ISNUMBER(VALUE(LEFT(Raw_Data!E38,4))),DATE(VALUE(LEFT(Raw_Data!E38,4)),VALUE(MID(Raw_Data!E38,6,2)),VALUE(MID(Raw_Data!E38,9,2))),DATEVALUE(Raw_Data!E38))),"")</f>
        <v>45609</v>
      </c>
      <c r="F38" s="11" t="str">
        <f aca="false">Raw_Data!F38</f>
        <v>Female 25-34</v>
      </c>
      <c r="G38" s="11" t="str">
        <f aca="false">IF(TRIM(Raw_Data!G38)="","Unspecified",IFERROR(INDEX(Lookup_Tables!$F$2:$F$24,MATCH(UPPER(TRIM(Raw_Data!G38)),Lookup_Tables!$G$2:$G$24,0)),"Unknown"))</f>
        <v>North</v>
      </c>
      <c r="H38" s="11" t="n">
        <f aca="false">IF(Raw_Data!H38="",ROUND(AVERAGEIFS(Raw_Data!$H$2:$H$839,Raw_Data!$C$2:$C$839,Raw_Data!C38),2),Raw_Data!H38)</f>
        <v>27984.95</v>
      </c>
      <c r="I38" s="11" t="n">
        <f aca="false">Raw_Data!I38</f>
        <v>1108517</v>
      </c>
      <c r="J38" s="11" t="n">
        <f aca="false">IF(Raw_Data!J38&lt;0,ABS(Raw_Data!J38),Raw_Data!J38)</f>
        <v>25960</v>
      </c>
      <c r="K38" s="11" t="n">
        <f aca="false">Raw_Data!K38</f>
        <v>1206</v>
      </c>
      <c r="L38" s="11" t="n">
        <f aca="false">IF(Raw_Data!L38="",ROUND(AVERAGEIFS(Raw_Data!$L$2:$L$839,Raw_Data!$C$2:$C$839,Raw_Data!C38),2),Raw_Data!L38)</f>
        <v>1666485.12</v>
      </c>
      <c r="M38" s="13" t="n">
        <f aca="false">IFERROR(J38/I38,0)</f>
        <v>0.023418675581881</v>
      </c>
      <c r="N38" s="14" t="n">
        <f aca="false">IFERROR(H38/J38,0)</f>
        <v>1.07800269645609</v>
      </c>
      <c r="O38" s="14" t="n">
        <f aca="false">IFERROR(H38/K38,0)</f>
        <v>23.204767827529</v>
      </c>
      <c r="P38" s="15" t="n">
        <f aca="false">IFERROR(L38/H38,0)</f>
        <v>59.5493334810318</v>
      </c>
      <c r="Q38" s="13" t="n">
        <f aca="false">IFERROR(K38/J38,0)</f>
        <v>0.0464560862865948</v>
      </c>
      <c r="R38" s="11" t="str">
        <f aca="false">IF(COUNTIF($A$2:A38,A38)&gt;1,"Duplicate - Remove","Unique")</f>
        <v>Unique</v>
      </c>
      <c r="S38" s="11" t="str">
        <f aca="false">TRIM(IF(Raw_Data!G38="","Region missing; ","")&amp;IF(Raw_Data!H38="","Spend imputed; ","")&amp;IF(Raw_Data!L38="","Revenue imputed; ","")&amp;IF(Raw_Data!J38&lt;0,"Clicks corrected; ",""))</f>
        <v/>
      </c>
    </row>
    <row r="39" customFormat="false" ht="15" hidden="false" customHeight="true" outlineLevel="0" collapsed="false">
      <c r="A39" s="11" t="n">
        <f aca="false">Raw_Data!A39</f>
        <v>1047</v>
      </c>
      <c r="B39" s="11" t="str">
        <f aca="false">PROPER(TRIM(Raw_Data!B39))</f>
        <v>Herbal Range Awareness</v>
      </c>
      <c r="C39" s="11" t="str">
        <f aca="false">IFERROR(INDEX(Lookup_Tables!$B$2:$B$26,MATCH(UPPER(TRIM(Raw_Data!C39)),Lookup_Tables!$C$2:$C$26,0)),"Unknown")</f>
        <v>Email</v>
      </c>
      <c r="D39" s="12" t="n">
        <f aca="false">IFERROR(IF(ISNUMBER(SEARCH("/",Raw_Data!D39)),DATE(VALUE(RIGHT(Raw_Data!D39,4)),VALUE(MID(Raw_Data!D39,FIND("/",Raw_Data!D39)+1,FIND("/",Raw_Data!D39,FIND("/",Raw_Data!D39)+1)-FIND("/",Raw_Data!D39)-1)),VALUE(LEFT(Raw_Data!D39,FIND("/",Raw_Data!D39)-1))),IF(ISNUMBER(VALUE(LEFT(Raw_Data!D39,4))),DATE(VALUE(LEFT(Raw_Data!D39,4)),VALUE(MID(Raw_Data!D39,6,2)),VALUE(MID(Raw_Data!D39,9,2))),DATEVALUE(Raw_Data!D39))),"")</f>
        <v>45545</v>
      </c>
      <c r="E39" s="12" t="n">
        <f aca="false">IFERROR(IF(ISNUMBER(SEARCH("/",Raw_Data!E39)),DATE(VALUE(RIGHT(Raw_Data!E39,4)),VALUE(MID(Raw_Data!E39,FIND("/",Raw_Data!E39)+1,FIND("/",Raw_Data!E39,FIND("/",Raw_Data!E39)+1)-FIND("/",Raw_Data!E39)-1)),VALUE(LEFT(Raw_Data!E39,FIND("/",Raw_Data!E39)-1))),IF(ISNUMBER(VALUE(LEFT(Raw_Data!E39,4))),DATE(VALUE(LEFT(Raw_Data!E39,4)),VALUE(MID(Raw_Data!E39,6,2)),VALUE(MID(Raw_Data!E39,9,2))),DATEVALUE(Raw_Data!E39))),"")</f>
        <v>45551</v>
      </c>
      <c r="F39" s="11" t="str">
        <f aca="false">Raw_Data!F39</f>
        <v>Female 35-44</v>
      </c>
      <c r="G39" s="11" t="str">
        <f aca="false">IF(TRIM(Raw_Data!G39)="","Unspecified",IFERROR(INDEX(Lookup_Tables!$F$2:$F$24,MATCH(UPPER(TRIM(Raw_Data!G39)),Lookup_Tables!$G$2:$G$24,0)),"Unknown"))</f>
        <v>West</v>
      </c>
      <c r="H39" s="11" t="n">
        <f aca="false">IF(Raw_Data!H39="",ROUND(AVERAGEIFS(Raw_Data!$H$2:$H$839,Raw_Data!$C$2:$C$839,Raw_Data!C39),2),Raw_Data!H39)</f>
        <v>4516.04</v>
      </c>
      <c r="I39" s="11" t="n">
        <f aca="false">Raw_Data!I39</f>
        <v>134372</v>
      </c>
      <c r="J39" s="11" t="n">
        <f aca="false">IF(Raw_Data!J39&lt;0,ABS(Raw_Data!J39),Raw_Data!J39)</f>
        <v>4177</v>
      </c>
      <c r="K39" s="11" t="n">
        <f aca="false">Raw_Data!K39</f>
        <v>297</v>
      </c>
      <c r="L39" s="11" t="n">
        <f aca="false">IF(Raw_Data!L39="",ROUND(AVERAGEIFS(Raw_Data!$L$2:$L$839,Raw_Data!$C$2:$C$839,Raw_Data!C39),2),Raw_Data!L39)</f>
        <v>293567.87</v>
      </c>
      <c r="M39" s="13" t="n">
        <f aca="false">IFERROR(J39/I39,0)</f>
        <v>0.0310853451611943</v>
      </c>
      <c r="N39" s="14" t="n">
        <f aca="false">IFERROR(H39/J39,0)</f>
        <v>1.08116830260953</v>
      </c>
      <c r="O39" s="14" t="n">
        <f aca="false">IFERROR(H39/K39,0)</f>
        <v>15.2055218855219</v>
      </c>
      <c r="P39" s="15" t="n">
        <f aca="false">IFERROR(L39/H39,0)</f>
        <v>65.0055956103135</v>
      </c>
      <c r="Q39" s="13" t="n">
        <f aca="false">IFERROR(K39/J39,0)</f>
        <v>0.0711036629159684</v>
      </c>
      <c r="R39" s="11" t="str">
        <f aca="false">IF(COUNTIF($A$2:A39,A39)&gt;1,"Duplicate - Remove","Unique")</f>
        <v>Unique</v>
      </c>
      <c r="S39" s="11" t="str">
        <f aca="false">TRIM(IF(Raw_Data!G39="","Region missing; ","")&amp;IF(Raw_Data!H39="","Spend imputed; ","")&amp;IF(Raw_Data!L39="","Revenue imputed; ","")&amp;IF(Raw_Data!J39&lt;0,"Clicks corrected; ",""))</f>
        <v/>
      </c>
    </row>
    <row r="40" customFormat="false" ht="15" hidden="false" customHeight="true" outlineLevel="0" collapsed="false">
      <c r="A40" s="11" t="n">
        <f aca="false">Raw_Data!A40</f>
        <v>1497</v>
      </c>
      <c r="B40" s="11" t="str">
        <f aca="false">PROPER(TRIM(Raw_Data!B40))</f>
        <v>Baby Care Trust Campaign</v>
      </c>
      <c r="C40" s="11" t="str">
        <f aca="false">IFERROR(INDEX(Lookup_Tables!$B$2:$B$26,MATCH(UPPER(TRIM(Raw_Data!C40)),Lookup_Tables!$C$2:$C$26,0)),"Unknown")</f>
        <v>Instagram</v>
      </c>
      <c r="D40" s="12" t="n">
        <f aca="false">IFERROR(IF(ISNUMBER(SEARCH("/",Raw_Data!D40)),DATE(VALUE(RIGHT(Raw_Data!D40,4)),VALUE(MID(Raw_Data!D40,FIND("/",Raw_Data!D40)+1,FIND("/",Raw_Data!D40,FIND("/",Raw_Data!D40)+1)-FIND("/",Raw_Data!D40)-1)),VALUE(LEFT(Raw_Data!D40,FIND("/",Raw_Data!D40)-1))),IF(ISNUMBER(VALUE(LEFT(Raw_Data!D40,4))),DATE(VALUE(LEFT(Raw_Data!D40,4)),VALUE(MID(Raw_Data!D40,6,2)),VALUE(MID(Raw_Data!D40,9,2))),DATEVALUE(Raw_Data!D40))),"")</f>
        <v>45385</v>
      </c>
      <c r="E40" s="12" t="n">
        <f aca="false">IFERROR(IF(ISNUMBER(SEARCH("/",Raw_Data!E40)),DATE(VALUE(RIGHT(Raw_Data!E40,4)),VALUE(MID(Raw_Data!E40,FIND("/",Raw_Data!E40)+1,FIND("/",Raw_Data!E40,FIND("/",Raw_Data!E40)+1)-FIND("/",Raw_Data!E40)-1)),VALUE(LEFT(Raw_Data!E40,FIND("/",Raw_Data!E40)-1))),IF(ISNUMBER(VALUE(LEFT(Raw_Data!E40,4))),DATE(VALUE(LEFT(Raw_Data!E40,4)),VALUE(MID(Raw_Data!E40,6,2)),VALUE(MID(Raw_Data!E40,9,2))),DATEVALUE(Raw_Data!E40))),"")</f>
        <v>45414</v>
      </c>
      <c r="F40" s="11" t="str">
        <f aca="false">Raw_Data!F40</f>
        <v>Female 35-44</v>
      </c>
      <c r="G40" s="11" t="str">
        <f aca="false">IF(TRIM(Raw_Data!G40)="","Unspecified",IFERROR(INDEX(Lookup_Tables!$F$2:$F$24,MATCH(UPPER(TRIM(Raw_Data!G40)),Lookup_Tables!$G$2:$G$24,0)),"Unknown"))</f>
        <v>South</v>
      </c>
      <c r="H40" s="11" t="n">
        <f aca="false">IF(Raw_Data!H40="",ROUND(AVERAGEIFS(Raw_Data!$H$2:$H$839,Raw_Data!$C$2:$C$839,Raw_Data!C40),2),Raw_Data!H40)</f>
        <v>26335.66</v>
      </c>
      <c r="I40" s="11" t="n">
        <f aca="false">Raw_Data!I40</f>
        <v>720416</v>
      </c>
      <c r="J40" s="11" t="n">
        <f aca="false">IF(Raw_Data!J40&lt;0,ABS(Raw_Data!J40),Raw_Data!J40)</f>
        <v>14003</v>
      </c>
      <c r="K40" s="11" t="n">
        <f aca="false">Raw_Data!K40</f>
        <v>1093</v>
      </c>
      <c r="L40" s="11" t="n">
        <f aca="false">IF(Raw_Data!L40="",ROUND(AVERAGEIFS(Raw_Data!$L$2:$L$839,Raw_Data!$C$2:$C$839,Raw_Data!C40),2),Raw_Data!L40)</f>
        <v>1336222.58</v>
      </c>
      <c r="M40" s="13" t="n">
        <f aca="false">IFERROR(J40/I40,0)</f>
        <v>0.0194373806245281</v>
      </c>
      <c r="N40" s="14" t="n">
        <f aca="false">IFERROR(H40/J40,0)</f>
        <v>1.88071556095122</v>
      </c>
      <c r="O40" s="14" t="n">
        <f aca="false">IFERROR(H40/K40,0)</f>
        <v>24.0948398902104</v>
      </c>
      <c r="P40" s="15" t="n">
        <f aca="false">IFERROR(L40/H40,0)</f>
        <v>50.7381466802047</v>
      </c>
      <c r="Q40" s="13" t="n">
        <f aca="false">IFERROR(K40/J40,0)</f>
        <v>0.0780547025637363</v>
      </c>
      <c r="R40" s="11" t="str">
        <f aca="false">IF(COUNTIF($A$2:A40,A40)&gt;1,"Duplicate - Remove","Unique")</f>
        <v>Unique</v>
      </c>
      <c r="S40" s="11" t="str">
        <f aca="false">TRIM(IF(Raw_Data!G40="","Region missing; ","")&amp;IF(Raw_Data!H40="","Spend imputed; ","")&amp;IF(Raw_Data!L40="","Revenue imputed; ","")&amp;IF(Raw_Data!J40&lt;0,"Clicks corrected; ",""))</f>
        <v/>
      </c>
    </row>
    <row r="41" customFormat="false" ht="15" hidden="false" customHeight="true" outlineLevel="0" collapsed="false">
      <c r="A41" s="11" t="n">
        <f aca="false">Raw_Data!A41</f>
        <v>1082</v>
      </c>
      <c r="B41" s="11" t="str">
        <f aca="false">PROPER(TRIM(Raw_Data!B41))</f>
        <v>Clearance Sale Push</v>
      </c>
      <c r="C41" s="11" t="str">
        <f aca="false">IFERROR(INDEX(Lookup_Tables!$B$2:$B$26,MATCH(UPPER(TRIM(Raw_Data!C41)),Lookup_Tables!$C$2:$C$26,0)),"Unknown")</f>
        <v>Facebook</v>
      </c>
      <c r="D41" s="12" t="n">
        <f aca="false">IFERROR(IF(ISNUMBER(SEARCH("/",Raw_Data!D41)),DATE(VALUE(RIGHT(Raw_Data!D41,4)),VALUE(MID(Raw_Data!D41,FIND("/",Raw_Data!D41)+1,FIND("/",Raw_Data!D41,FIND("/",Raw_Data!D41)+1)-FIND("/",Raw_Data!D41)-1)),VALUE(LEFT(Raw_Data!D41,FIND("/",Raw_Data!D41)-1))),IF(ISNUMBER(VALUE(LEFT(Raw_Data!D41,4))),DATE(VALUE(LEFT(Raw_Data!D41,4)),VALUE(MID(Raw_Data!D41,6,2)),VALUE(MID(Raw_Data!D41,9,2))),DATEVALUE(Raw_Data!D41))),"")</f>
        <v>45310</v>
      </c>
      <c r="E41" s="12" t="n">
        <f aca="false">IFERROR(IF(ISNUMBER(SEARCH("/",Raw_Data!E41)),DATE(VALUE(RIGHT(Raw_Data!E41,4)),VALUE(MID(Raw_Data!E41,FIND("/",Raw_Data!E41)+1,FIND("/",Raw_Data!E41,FIND("/",Raw_Data!E41)+1)-FIND("/",Raw_Data!E41)-1)),VALUE(LEFT(Raw_Data!E41,FIND("/",Raw_Data!E41)-1))),IF(ISNUMBER(VALUE(LEFT(Raw_Data!E41,4))),DATE(VALUE(LEFT(Raw_Data!E41,4)),VALUE(MID(Raw_Data!E41,6,2)),VALUE(MID(Raw_Data!E41,9,2))),DATEVALUE(Raw_Data!E41))),"")</f>
        <v>45324</v>
      </c>
      <c r="F41" s="11" t="str">
        <f aca="false">Raw_Data!F41</f>
        <v>Male 45+</v>
      </c>
      <c r="G41" s="11" t="str">
        <f aca="false">IF(TRIM(Raw_Data!G41)="","Unspecified",IFERROR(INDEX(Lookup_Tables!$F$2:$F$24,MATCH(UPPER(TRIM(Raw_Data!G41)),Lookup_Tables!$G$2:$G$24,0)),"Unknown"))</f>
        <v>South</v>
      </c>
      <c r="H41" s="11" t="n">
        <f aca="false">IF(Raw_Data!H41="",ROUND(AVERAGEIFS(Raw_Data!$H$2:$H$839,Raw_Data!$C$2:$C$839,Raw_Data!C41),2),Raw_Data!H41)</f>
        <v>7927.48</v>
      </c>
      <c r="I41" s="11" t="n">
        <f aca="false">Raw_Data!I41</f>
        <v>158444</v>
      </c>
      <c r="J41" s="11" t="n">
        <f aca="false">IF(Raw_Data!J41&lt;0,ABS(Raw_Data!J41),Raw_Data!J41)</f>
        <v>991</v>
      </c>
      <c r="K41" s="11" t="n">
        <f aca="false">Raw_Data!K41</f>
        <v>74</v>
      </c>
      <c r="L41" s="11" t="n">
        <f aca="false">IF(Raw_Data!L41="",ROUND(AVERAGEIFS(Raw_Data!$L$2:$L$839,Raw_Data!$C$2:$C$839,Raw_Data!C41),2),Raw_Data!L41)</f>
        <v>81200.66</v>
      </c>
      <c r="M41" s="13" t="n">
        <f aca="false">IFERROR(J41/I41,0)</f>
        <v>0.00625457574916059</v>
      </c>
      <c r="N41" s="14" t="n">
        <f aca="false">IFERROR(H41/J41,0)</f>
        <v>7.99947527749748</v>
      </c>
      <c r="O41" s="14" t="n">
        <f aca="false">IFERROR(H41/K41,0)</f>
        <v>107.128108108108</v>
      </c>
      <c r="P41" s="15" t="n">
        <f aca="false">IFERROR(L41/H41,0)</f>
        <v>10.2429347030835</v>
      </c>
      <c r="Q41" s="13" t="n">
        <f aca="false">IFERROR(K41/J41,0)</f>
        <v>0.0746720484359233</v>
      </c>
      <c r="R41" s="11" t="str">
        <f aca="false">IF(COUNTIF($A$2:A41,A41)&gt;1,"Duplicate - Remove","Unique")</f>
        <v>Unique</v>
      </c>
      <c r="S41" s="11" t="str">
        <f aca="false">TRIM(IF(Raw_Data!G41="","Region missing; ","")&amp;IF(Raw_Data!H41="","Spend imputed; ","")&amp;IF(Raw_Data!L41="","Revenue imputed; ","")&amp;IF(Raw_Data!J41&lt;0,"Clicks corrected; ",""))</f>
        <v/>
      </c>
    </row>
    <row r="42" customFormat="false" ht="15" hidden="false" customHeight="true" outlineLevel="0" collapsed="false">
      <c r="A42" s="11" t="n">
        <f aca="false">Raw_Data!A42</f>
        <v>1536</v>
      </c>
      <c r="B42" s="11" t="str">
        <f aca="false">PROPER(TRIM(Raw_Data!B42))</f>
        <v>Back To College Offer</v>
      </c>
      <c r="C42" s="11" t="str">
        <f aca="false">IFERROR(INDEX(Lookup_Tables!$B$2:$B$26,MATCH(UPPER(TRIM(Raw_Data!C42)),Lookup_Tables!$C$2:$C$26,0)),"Unknown")</f>
        <v>Google Ads</v>
      </c>
      <c r="D42" s="12" t="n">
        <f aca="false">IFERROR(IF(ISNUMBER(SEARCH("/",Raw_Data!D42)),DATE(VALUE(RIGHT(Raw_Data!D42,4)),VALUE(MID(Raw_Data!D42,FIND("/",Raw_Data!D42)+1,FIND("/",Raw_Data!D42,FIND("/",Raw_Data!D42)+1)-FIND("/",Raw_Data!D42)-1)),VALUE(LEFT(Raw_Data!D42,FIND("/",Raw_Data!D42)-1))),IF(ISNUMBER(VALUE(LEFT(Raw_Data!D42,4))),DATE(VALUE(LEFT(Raw_Data!D42,4)),VALUE(MID(Raw_Data!D42,6,2)),VALUE(MID(Raw_Data!D42,9,2))),DATEVALUE(Raw_Data!D42))),"")</f>
        <v>45550</v>
      </c>
      <c r="E42" s="12" t="n">
        <f aca="false">IFERROR(IF(ISNUMBER(SEARCH("/",Raw_Data!E42)),DATE(VALUE(RIGHT(Raw_Data!E42,4)),VALUE(MID(Raw_Data!E42,FIND("/",Raw_Data!E42)+1,FIND("/",Raw_Data!E42,FIND("/",Raw_Data!E42)+1)-FIND("/",Raw_Data!E42)-1)),VALUE(LEFT(Raw_Data!E42,FIND("/",Raw_Data!E42)-1))),IF(ISNUMBER(VALUE(LEFT(Raw_Data!E42,4))),DATE(VALUE(LEFT(Raw_Data!E42,4)),VALUE(MID(Raw_Data!E42,6,2)),VALUE(MID(Raw_Data!E42,9,2))),DATEVALUE(Raw_Data!E42))),"")</f>
        <v>45558</v>
      </c>
      <c r="F42" s="11" t="str">
        <f aca="false">Raw_Data!F42</f>
        <v>Female 35-44</v>
      </c>
      <c r="G42" s="11" t="str">
        <f aca="false">IF(TRIM(Raw_Data!G42)="","Unspecified",IFERROR(INDEX(Lookup_Tables!$F$2:$F$24,MATCH(UPPER(TRIM(Raw_Data!G42)),Lookup_Tables!$G$2:$G$24,0)),"Unknown"))</f>
        <v>East</v>
      </c>
      <c r="H42" s="11" t="n">
        <f aca="false">IF(Raw_Data!H42="",ROUND(AVERAGEIFS(Raw_Data!$H$2:$H$839,Raw_Data!$C$2:$C$839,Raw_Data!C42),2),Raw_Data!H42)</f>
        <v>25314.94</v>
      </c>
      <c r="I42" s="11" t="n">
        <f aca="false">Raw_Data!I42</f>
        <v>609864</v>
      </c>
      <c r="J42" s="11" t="n">
        <f aca="false">IF(Raw_Data!J42&lt;0,ABS(Raw_Data!J42),Raw_Data!J42)</f>
        <v>20889</v>
      </c>
      <c r="K42" s="11" t="n">
        <f aca="false">Raw_Data!K42</f>
        <v>1477</v>
      </c>
      <c r="L42" s="11" t="n">
        <f aca="false">IF(Raw_Data!L42="",ROUND(AVERAGEIFS(Raw_Data!$L$2:$L$839,Raw_Data!$C$2:$C$839,Raw_Data!C42),2),Raw_Data!L42)</f>
        <v>1616610.27</v>
      </c>
      <c r="M42" s="13" t="n">
        <f aca="false">IFERROR(J42/I42,0)</f>
        <v>0.0342518987839912</v>
      </c>
      <c r="N42" s="14" t="n">
        <f aca="false">IFERROR(H42/J42,0)</f>
        <v>1.21187897936713</v>
      </c>
      <c r="O42" s="14" t="n">
        <f aca="false">IFERROR(H42/K42,0)</f>
        <v>17.1394312796209</v>
      </c>
      <c r="P42" s="15" t="n">
        <f aca="false">IFERROR(L42/H42,0)</f>
        <v>63.8599289589468</v>
      </c>
      <c r="Q42" s="13" t="n">
        <f aca="false">IFERROR(K42/J42,0)</f>
        <v>0.0707070707070707</v>
      </c>
      <c r="R42" s="11" t="str">
        <f aca="false">IF(COUNTIF($A$2:A42,A42)&gt;1,"Duplicate - Remove","Unique")</f>
        <v>Unique</v>
      </c>
      <c r="S42" s="11" t="str">
        <f aca="false">TRIM(IF(Raw_Data!G42="","Region missing; ","")&amp;IF(Raw_Data!H42="","Spend imputed; ","")&amp;IF(Raw_Data!L42="","Revenue imputed; ","")&amp;IF(Raw_Data!J42&lt;0,"Clicks corrected; ",""))</f>
        <v/>
      </c>
    </row>
    <row r="43" customFormat="false" ht="15" hidden="false" customHeight="true" outlineLevel="0" collapsed="false">
      <c r="A43" s="11" t="n">
        <f aca="false">Raw_Data!A43</f>
        <v>1365</v>
      </c>
      <c r="B43" s="11" t="str">
        <f aca="false">PROPER(TRIM(Raw_Data!B43))</f>
        <v>Back To College Offer</v>
      </c>
      <c r="C43" s="11" t="str">
        <f aca="false">IFERROR(INDEX(Lookup_Tables!$B$2:$B$26,MATCH(UPPER(TRIM(Raw_Data!C43)),Lookup_Tables!$C$2:$C$26,0)),"Unknown")</f>
        <v>YouTube</v>
      </c>
      <c r="D43" s="12" t="n">
        <f aca="false">IFERROR(IF(ISNUMBER(SEARCH("/",Raw_Data!D43)),DATE(VALUE(RIGHT(Raw_Data!D43,4)),VALUE(MID(Raw_Data!D43,FIND("/",Raw_Data!D43)+1,FIND("/",Raw_Data!D43,FIND("/",Raw_Data!D43)+1)-FIND("/",Raw_Data!D43)-1)),VALUE(LEFT(Raw_Data!D43,FIND("/",Raw_Data!D43)-1))),IF(ISNUMBER(VALUE(LEFT(Raw_Data!D43,4))),DATE(VALUE(LEFT(Raw_Data!D43,4)),VALUE(MID(Raw_Data!D43,6,2)),VALUE(MID(Raw_Data!D43,9,2))),DATEVALUE(Raw_Data!D43))),"")</f>
        <v>45425</v>
      </c>
      <c r="E43" s="12" t="n">
        <f aca="false">IFERROR(IF(ISNUMBER(SEARCH("/",Raw_Data!E43)),DATE(VALUE(RIGHT(Raw_Data!E43,4)),VALUE(MID(Raw_Data!E43,FIND("/",Raw_Data!E43)+1,FIND("/",Raw_Data!E43,FIND("/",Raw_Data!E43)+1)-FIND("/",Raw_Data!E43)-1)),VALUE(LEFT(Raw_Data!E43,FIND("/",Raw_Data!E43)-1))),IF(ISNUMBER(VALUE(LEFT(Raw_Data!E43,4))),DATE(VALUE(LEFT(Raw_Data!E43,4)),VALUE(MID(Raw_Data!E43,6,2)),VALUE(MID(Raw_Data!E43,9,2))),DATEVALUE(Raw_Data!E43))),"")</f>
        <v>45435</v>
      </c>
      <c r="F43" s="11" t="str">
        <f aca="false">Raw_Data!F43</f>
        <v>Female 35-44</v>
      </c>
      <c r="G43" s="11" t="str">
        <f aca="false">IF(TRIM(Raw_Data!G43)="","Unspecified",IFERROR(INDEX(Lookup_Tables!$F$2:$F$24,MATCH(UPPER(TRIM(Raw_Data!G43)),Lookup_Tables!$G$2:$G$24,0)),"Unknown"))</f>
        <v>East</v>
      </c>
      <c r="H43" s="11" t="n">
        <f aca="false">IF(Raw_Data!H43="",ROUND(AVERAGEIFS(Raw_Data!$H$2:$H$839,Raw_Data!$C$2:$C$839,Raw_Data!C43),2),Raw_Data!H43)</f>
        <v>59476.53</v>
      </c>
      <c r="I43" s="11" t="n">
        <f aca="false">Raw_Data!I43</f>
        <v>1379231</v>
      </c>
      <c r="J43" s="11" t="n">
        <f aca="false">IF(Raw_Data!J43&lt;0,ABS(Raw_Data!J43),Raw_Data!J43)</f>
        <v>18556</v>
      </c>
      <c r="K43" s="11" t="n">
        <f aca="false">Raw_Data!K43</f>
        <v>295</v>
      </c>
      <c r="L43" s="11" t="n">
        <f aca="false">IF(Raw_Data!L43="",ROUND(AVERAGEIFS(Raw_Data!$L$2:$L$839,Raw_Data!$C$2:$C$839,Raw_Data!C43),2),Raw_Data!L43)</f>
        <v>260490.71</v>
      </c>
      <c r="M43" s="13" t="n">
        <f aca="false">IFERROR(J43/I43,0)</f>
        <v>0.0134538739340981</v>
      </c>
      <c r="N43" s="14" t="n">
        <f aca="false">IFERROR(H43/J43,0)</f>
        <v>3.2052452037077</v>
      </c>
      <c r="O43" s="14" t="n">
        <f aca="false">IFERROR(H43/K43,0)</f>
        <v>201.615355932203</v>
      </c>
      <c r="P43" s="15" t="n">
        <f aca="false">IFERROR(L43/H43,0)</f>
        <v>4.37972272424097</v>
      </c>
      <c r="Q43" s="13" t="n">
        <f aca="false">IFERROR(K43/J43,0)</f>
        <v>0.0158978228066394</v>
      </c>
      <c r="R43" s="11" t="str">
        <f aca="false">IF(COUNTIF($A$2:A43,A43)&gt;1,"Duplicate - Remove","Unique")</f>
        <v>Unique</v>
      </c>
      <c r="S43" s="11" t="str">
        <f aca="false">TRIM(IF(Raw_Data!G43="","Region missing; ","")&amp;IF(Raw_Data!H43="","Spend imputed; ","")&amp;IF(Raw_Data!L43="","Revenue imputed; ","")&amp;IF(Raw_Data!J43&lt;0,"Clicks corrected; ",""))</f>
        <v/>
      </c>
    </row>
    <row r="44" customFormat="false" ht="15" hidden="false" customHeight="true" outlineLevel="0" collapsed="false">
      <c r="A44" s="11" t="n">
        <f aca="false">Raw_Data!A44</f>
        <v>1675</v>
      </c>
      <c r="B44" s="11" t="str">
        <f aca="false">PROPER(TRIM(Raw_Data!B44))</f>
        <v>Back To College Offer</v>
      </c>
      <c r="C44" s="11" t="str">
        <f aca="false">IFERROR(INDEX(Lookup_Tables!$B$2:$B$26,MATCH(UPPER(TRIM(Raw_Data!C44)),Lookup_Tables!$C$2:$C$26,0)),"Unknown")</f>
        <v>YouTube</v>
      </c>
      <c r="D44" s="12" t="n">
        <f aca="false">IFERROR(IF(ISNUMBER(SEARCH("/",Raw_Data!D44)),DATE(VALUE(RIGHT(Raw_Data!D44,4)),VALUE(MID(Raw_Data!D44,FIND("/",Raw_Data!D44)+1,FIND("/",Raw_Data!D44,FIND("/",Raw_Data!D44)+1)-FIND("/",Raw_Data!D44)-1)),VALUE(LEFT(Raw_Data!D44,FIND("/",Raw_Data!D44)-1))),IF(ISNUMBER(VALUE(LEFT(Raw_Data!D44,4))),DATE(VALUE(LEFT(Raw_Data!D44,4)),VALUE(MID(Raw_Data!D44,6,2)),VALUE(MID(Raw_Data!D44,9,2))),DATEVALUE(Raw_Data!D44))),"")</f>
        <v>45496</v>
      </c>
      <c r="E44" s="12" t="n">
        <f aca="false">IFERROR(IF(ISNUMBER(SEARCH("/",Raw_Data!E44)),DATE(VALUE(RIGHT(Raw_Data!E44,4)),VALUE(MID(Raw_Data!E44,FIND("/",Raw_Data!E44)+1,FIND("/",Raw_Data!E44,FIND("/",Raw_Data!E44)+1)-FIND("/",Raw_Data!E44)-1)),VALUE(LEFT(Raw_Data!E44,FIND("/",Raw_Data!E44)-1))),IF(ISNUMBER(VALUE(LEFT(Raw_Data!E44,4))),DATE(VALUE(LEFT(Raw_Data!E44,4)),VALUE(MID(Raw_Data!E44,6,2)),VALUE(MID(Raw_Data!E44,9,2))),DATEVALUE(Raw_Data!E44))),"")</f>
        <v>45526</v>
      </c>
      <c r="F44" s="11" t="str">
        <f aca="false">Raw_Data!F44</f>
        <v>Female 18-24</v>
      </c>
      <c r="G44" s="11" t="str">
        <f aca="false">IF(TRIM(Raw_Data!G44)="","Unspecified",IFERROR(INDEX(Lookup_Tables!$F$2:$F$24,MATCH(UPPER(TRIM(Raw_Data!G44)),Lookup_Tables!$G$2:$G$24,0)),"Unknown"))</f>
        <v>East</v>
      </c>
      <c r="H44" s="11" t="n">
        <f aca="false">IF(Raw_Data!H44="",ROUND(AVERAGEIFS(Raw_Data!$H$2:$H$839,Raw_Data!$C$2:$C$839,Raw_Data!C44),2),Raw_Data!H44)</f>
        <v>70828.98</v>
      </c>
      <c r="I44" s="11" t="n">
        <f aca="false">Raw_Data!I44</f>
        <v>1827028</v>
      </c>
      <c r="J44" s="11" t="n">
        <f aca="false">IF(Raw_Data!J44&lt;0,ABS(Raw_Data!J44),Raw_Data!J44)</f>
        <v>58907</v>
      </c>
      <c r="K44" s="11" t="n">
        <f aca="false">Raw_Data!K44</f>
        <v>1479</v>
      </c>
      <c r="L44" s="11" t="n">
        <f aca="false">IF(Raw_Data!L44="",ROUND(AVERAGEIFS(Raw_Data!$L$2:$L$839,Raw_Data!$C$2:$C$839,Raw_Data!C44),2),Raw_Data!L44)</f>
        <v>905251.01</v>
      </c>
      <c r="M44" s="13" t="n">
        <f aca="false">IFERROR(J44/I44,0)</f>
        <v>0.032241979871135</v>
      </c>
      <c r="N44" s="14" t="n">
        <f aca="false">IFERROR(H44/J44,0)</f>
        <v>1.20238647359397</v>
      </c>
      <c r="O44" s="14" t="n">
        <f aca="false">IFERROR(H44/K44,0)</f>
        <v>47.8897768762677</v>
      </c>
      <c r="P44" s="15" t="n">
        <f aca="false">IFERROR(L44/H44,0)</f>
        <v>12.78079975174</v>
      </c>
      <c r="Q44" s="13" t="n">
        <f aca="false">IFERROR(K44/J44,0)</f>
        <v>0.0251073726382264</v>
      </c>
      <c r="R44" s="11" t="str">
        <f aca="false">IF(COUNTIF($A$2:A44,A44)&gt;1,"Duplicate - Remove","Unique")</f>
        <v>Unique</v>
      </c>
      <c r="S44" s="11" t="str">
        <f aca="false">TRIM(IF(Raw_Data!G44="","Region missing; ","")&amp;IF(Raw_Data!H44="","Spend imputed; ","")&amp;IF(Raw_Data!L44="","Revenue imputed; ","")&amp;IF(Raw_Data!J44&lt;0,"Clicks corrected; ",""))</f>
        <v/>
      </c>
    </row>
    <row r="45" customFormat="false" ht="15" hidden="false" customHeight="true" outlineLevel="0" collapsed="false">
      <c r="A45" s="11" t="n">
        <f aca="false">Raw_Data!A45</f>
        <v>1702</v>
      </c>
      <c r="B45" s="11" t="str">
        <f aca="false">PROPER(TRIM(Raw_Data!B45))</f>
        <v>Wedding Season Special</v>
      </c>
      <c r="C45" s="11" t="str">
        <f aca="false">IFERROR(INDEX(Lookup_Tables!$B$2:$B$26,MATCH(UPPER(TRIM(Raw_Data!C45)),Lookup_Tables!$C$2:$C$26,0)),"Unknown")</f>
        <v>Email</v>
      </c>
      <c r="D45" s="12" t="n">
        <f aca="false">IFERROR(IF(ISNUMBER(SEARCH("/",Raw_Data!D45)),DATE(VALUE(RIGHT(Raw_Data!D45,4)),VALUE(MID(Raw_Data!D45,FIND("/",Raw_Data!D45)+1,FIND("/",Raw_Data!D45,FIND("/",Raw_Data!D45)+1)-FIND("/",Raw_Data!D45)-1)),VALUE(LEFT(Raw_Data!D45,FIND("/",Raw_Data!D45)-1))),IF(ISNUMBER(VALUE(LEFT(Raw_Data!D45,4))),DATE(VALUE(LEFT(Raw_Data!D45,4)),VALUE(MID(Raw_Data!D45,6,2)),VALUE(MID(Raw_Data!D45,9,2))),DATEVALUE(Raw_Data!D45))),"")</f>
        <v>45480</v>
      </c>
      <c r="E45" s="12" t="n">
        <f aca="false">IFERROR(IF(ISNUMBER(SEARCH("/",Raw_Data!E45)),DATE(VALUE(RIGHT(Raw_Data!E45,4)),VALUE(MID(Raw_Data!E45,FIND("/",Raw_Data!E45)+1,FIND("/",Raw_Data!E45,FIND("/",Raw_Data!E45)+1)-FIND("/",Raw_Data!E45)-1)),VALUE(LEFT(Raw_Data!E45,FIND("/",Raw_Data!E45)-1))),IF(ISNUMBER(VALUE(LEFT(Raw_Data!E45,4))),DATE(VALUE(LEFT(Raw_Data!E45,4)),VALUE(MID(Raw_Data!E45,6,2)),VALUE(MID(Raw_Data!E45,9,2))),DATEVALUE(Raw_Data!E45))),"")</f>
        <v>45508</v>
      </c>
      <c r="F45" s="11" t="str">
        <f aca="false">Raw_Data!F45</f>
        <v>Female 35-44</v>
      </c>
      <c r="G45" s="11" t="str">
        <f aca="false">IF(TRIM(Raw_Data!G45)="","Unspecified",IFERROR(INDEX(Lookup_Tables!$F$2:$F$24,MATCH(UPPER(TRIM(Raw_Data!G45)),Lookup_Tables!$G$2:$G$24,0)),"Unknown"))</f>
        <v>South</v>
      </c>
      <c r="H45" s="11" t="n">
        <f aca="false">IF(Raw_Data!H45="",ROUND(AVERAGEIFS(Raw_Data!$H$2:$H$839,Raw_Data!$C$2:$C$839,Raw_Data!C45),2),Raw_Data!H45)</f>
        <v>4022.16</v>
      </c>
      <c r="I45" s="11" t="n">
        <f aca="false">Raw_Data!I45</f>
        <v>90484</v>
      </c>
      <c r="J45" s="11" t="n">
        <f aca="false">IF(Raw_Data!J45&lt;0,ABS(Raw_Data!J45),Raw_Data!J45)</f>
        <v>567</v>
      </c>
      <c r="K45" s="11" t="n">
        <f aca="false">Raw_Data!K45</f>
        <v>21</v>
      </c>
      <c r="L45" s="11" t="n">
        <f aca="false">IF(Raw_Data!L45="",ROUND(AVERAGEIFS(Raw_Data!$L$2:$L$839,Raw_Data!$C$2:$C$839,Raw_Data!C45),2),Raw_Data!L45)</f>
        <v>34140.06</v>
      </c>
      <c r="M45" s="13" t="n">
        <f aca="false">IFERROR(J45/I45,0)</f>
        <v>0.00626630122452588</v>
      </c>
      <c r="N45" s="14" t="n">
        <f aca="false">IFERROR(H45/J45,0)</f>
        <v>7.09375661375661</v>
      </c>
      <c r="O45" s="14" t="n">
        <f aca="false">IFERROR(H45/K45,0)</f>
        <v>191.531428571429</v>
      </c>
      <c r="P45" s="15" t="n">
        <f aca="false">IFERROR(L45/H45,0)</f>
        <v>8.48799152694075</v>
      </c>
      <c r="Q45" s="13" t="n">
        <f aca="false">IFERROR(K45/J45,0)</f>
        <v>0.037037037037037</v>
      </c>
      <c r="R45" s="11" t="str">
        <f aca="false">IF(COUNTIF($A$2:A45,A45)&gt;1,"Duplicate - Remove","Unique")</f>
        <v>Unique</v>
      </c>
      <c r="S45" s="11" t="str">
        <f aca="false">TRIM(IF(Raw_Data!G45="","Region missing; ","")&amp;IF(Raw_Data!H45="","Spend imputed; ","")&amp;IF(Raw_Data!L45="","Revenue imputed; ","")&amp;IF(Raw_Data!J45&lt;0,"Clicks corrected; ",""))</f>
        <v/>
      </c>
    </row>
    <row r="46" customFormat="false" ht="15" hidden="false" customHeight="true" outlineLevel="0" collapsed="false">
      <c r="A46" s="11" t="n">
        <f aca="false">Raw_Data!A46</f>
        <v>1033</v>
      </c>
      <c r="B46" s="11" t="str">
        <f aca="false">PROPER(TRIM(Raw_Data!B46))</f>
        <v>Clearance Sale Push</v>
      </c>
      <c r="C46" s="11" t="str">
        <f aca="false">IFERROR(INDEX(Lookup_Tables!$B$2:$B$26,MATCH(UPPER(TRIM(Raw_Data!C46)),Lookup_Tables!$C$2:$C$26,0)),"Unknown")</f>
        <v>Email</v>
      </c>
      <c r="D46" s="12" t="n">
        <f aca="false">IFERROR(IF(ISNUMBER(SEARCH("/",Raw_Data!D46)),DATE(VALUE(RIGHT(Raw_Data!D46,4)),VALUE(MID(Raw_Data!D46,FIND("/",Raw_Data!D46)+1,FIND("/",Raw_Data!D46,FIND("/",Raw_Data!D46)+1)-FIND("/",Raw_Data!D46)-1)),VALUE(LEFT(Raw_Data!D46,FIND("/",Raw_Data!D46)-1))),IF(ISNUMBER(VALUE(LEFT(Raw_Data!D46,4))),DATE(VALUE(LEFT(Raw_Data!D46,4)),VALUE(MID(Raw_Data!D46,6,2)),VALUE(MID(Raw_Data!D46,9,2))),DATEVALUE(Raw_Data!D46))),"")</f>
        <v>45515</v>
      </c>
      <c r="E46" s="12" t="n">
        <f aca="false">IFERROR(IF(ISNUMBER(SEARCH("/",Raw_Data!E46)),DATE(VALUE(RIGHT(Raw_Data!E46,4)),VALUE(MID(Raw_Data!E46,FIND("/",Raw_Data!E46)+1,FIND("/",Raw_Data!E46,FIND("/",Raw_Data!E46)+1)-FIND("/",Raw_Data!E46)-1)),VALUE(LEFT(Raw_Data!E46,FIND("/",Raw_Data!E46)-1))),IF(ISNUMBER(VALUE(LEFT(Raw_Data!E46,4))),DATE(VALUE(LEFT(Raw_Data!E46,4)),VALUE(MID(Raw_Data!E46,6,2)),VALUE(MID(Raw_Data!E46,9,2))),DATEVALUE(Raw_Data!E46))),"")</f>
        <v>45543</v>
      </c>
      <c r="F46" s="11" t="str">
        <f aca="false">Raw_Data!F46</f>
        <v>Male 45+</v>
      </c>
      <c r="G46" s="11" t="str">
        <f aca="false">IF(TRIM(Raw_Data!G46)="","Unspecified",IFERROR(INDEX(Lookup_Tables!$F$2:$F$24,MATCH(UPPER(TRIM(Raw_Data!G46)),Lookup_Tables!$G$2:$G$24,0)),"Unknown"))</f>
        <v>Central</v>
      </c>
      <c r="H46" s="11" t="n">
        <f aca="false">IF(Raw_Data!H46="",ROUND(AVERAGEIFS(Raw_Data!$H$2:$H$839,Raw_Data!$C$2:$C$839,Raw_Data!C46),2),Raw_Data!H46)</f>
        <v>2878.77</v>
      </c>
      <c r="I46" s="11" t="n">
        <f aca="false">Raw_Data!I46</f>
        <v>104478</v>
      </c>
      <c r="J46" s="11" t="n">
        <f aca="false">IF(Raw_Data!J46&lt;0,ABS(Raw_Data!J46),Raw_Data!J46)</f>
        <v>3126</v>
      </c>
      <c r="K46" s="11" t="n">
        <f aca="false">Raw_Data!K46</f>
        <v>50</v>
      </c>
      <c r="L46" s="11" t="n">
        <f aca="false">IF(Raw_Data!L46="",ROUND(AVERAGEIFS(Raw_Data!$L$2:$L$839,Raw_Data!$C$2:$C$839,Raw_Data!C46),2),Raw_Data!L46)</f>
        <v>81418.26</v>
      </c>
      <c r="M46" s="13" t="n">
        <f aca="false">IFERROR(J46/I46,0)</f>
        <v>0.0299201745822087</v>
      </c>
      <c r="N46" s="14" t="n">
        <f aca="false">IFERROR(H46/J46,0)</f>
        <v>0.920911708253359</v>
      </c>
      <c r="O46" s="14" t="n">
        <f aca="false">IFERROR(H46/K46,0)</f>
        <v>57.5754</v>
      </c>
      <c r="P46" s="15" t="n">
        <f aca="false">IFERROR(L46/H46,0)</f>
        <v>28.2823080690712</v>
      </c>
      <c r="Q46" s="13" t="n">
        <f aca="false">IFERROR(K46/J46,0)</f>
        <v>0.0159948816378759</v>
      </c>
      <c r="R46" s="11" t="str">
        <f aca="false">IF(COUNTIF($A$2:A46,A46)&gt;1,"Duplicate - Remove","Unique")</f>
        <v>Unique</v>
      </c>
      <c r="S46" s="11" t="str">
        <f aca="false">TRIM(IF(Raw_Data!G46="","Region missing; ","")&amp;IF(Raw_Data!H46="","Spend imputed; ","")&amp;IF(Raw_Data!L46="","Revenue imputed; ","")&amp;IF(Raw_Data!J46&lt;0,"Clicks corrected; ",""))</f>
        <v/>
      </c>
    </row>
    <row r="47" customFormat="false" ht="15" hidden="false" customHeight="true" outlineLevel="0" collapsed="false">
      <c r="A47" s="11" t="n">
        <f aca="false">Raw_Data!A47</f>
        <v>1668</v>
      </c>
      <c r="B47" s="11" t="str">
        <f aca="false">PROPER(TRIM(Raw_Data!B47))</f>
        <v>Hair Care Revamp</v>
      </c>
      <c r="C47" s="11" t="str">
        <f aca="false">IFERROR(INDEX(Lookup_Tables!$B$2:$B$26,MATCH(UPPER(TRIM(Raw_Data!C47)),Lookup_Tables!$C$2:$C$26,0)),"Unknown")</f>
        <v>YouTube</v>
      </c>
      <c r="D47" s="12" t="n">
        <f aca="false">IFERROR(IF(ISNUMBER(SEARCH("/",Raw_Data!D47)),DATE(VALUE(RIGHT(Raw_Data!D47,4)),VALUE(MID(Raw_Data!D47,FIND("/",Raw_Data!D47)+1,FIND("/",Raw_Data!D47,FIND("/",Raw_Data!D47)+1)-FIND("/",Raw_Data!D47)-1)),VALUE(LEFT(Raw_Data!D47,FIND("/",Raw_Data!D47)-1))),IF(ISNUMBER(VALUE(LEFT(Raw_Data!D47,4))),DATE(VALUE(LEFT(Raw_Data!D47,4)),VALUE(MID(Raw_Data!D47,6,2)),VALUE(MID(Raw_Data!D47,9,2))),DATEVALUE(Raw_Data!D47))),"")</f>
        <v>45376</v>
      </c>
      <c r="E47" s="12" t="n">
        <f aca="false">IFERROR(IF(ISNUMBER(SEARCH("/",Raw_Data!E47)),DATE(VALUE(RIGHT(Raw_Data!E47,4)),VALUE(MID(Raw_Data!E47,FIND("/",Raw_Data!E47)+1,FIND("/",Raw_Data!E47,FIND("/",Raw_Data!E47)+1)-FIND("/",Raw_Data!E47)-1)),VALUE(LEFT(Raw_Data!E47,FIND("/",Raw_Data!E47)-1))),IF(ISNUMBER(VALUE(LEFT(Raw_Data!E47,4))),DATE(VALUE(LEFT(Raw_Data!E47,4)),VALUE(MID(Raw_Data!E47,6,2)),VALUE(MID(Raw_Data!E47,9,2))),DATEVALUE(Raw_Data!E47))),"")</f>
        <v>45401</v>
      </c>
      <c r="F47" s="11" t="str">
        <f aca="false">Raw_Data!F47</f>
        <v>Female 25-34</v>
      </c>
      <c r="G47" s="11" t="str">
        <f aca="false">IF(TRIM(Raw_Data!G47)="","Unspecified",IFERROR(INDEX(Lookup_Tables!$F$2:$F$24,MATCH(UPPER(TRIM(Raw_Data!G47)),Lookup_Tables!$G$2:$G$24,0)),"Unknown"))</f>
        <v>Central</v>
      </c>
      <c r="H47" s="11" t="n">
        <f aca="false">IF(Raw_Data!H47="",ROUND(AVERAGEIFS(Raw_Data!$H$2:$H$839,Raw_Data!$C$2:$C$839,Raw_Data!C47),2),Raw_Data!H47)</f>
        <v>79420.56</v>
      </c>
      <c r="I47" s="11" t="n">
        <f aca="false">Raw_Data!I47</f>
        <v>1640545</v>
      </c>
      <c r="J47" s="11" t="n">
        <f aca="false">IF(Raw_Data!J47&lt;0,ABS(Raw_Data!J47),Raw_Data!J47)</f>
        <v>54005</v>
      </c>
      <c r="K47" s="11" t="n">
        <f aca="false">Raw_Data!K47</f>
        <v>3247</v>
      </c>
      <c r="L47" s="11" t="n">
        <f aca="false">IF(Raw_Data!L47="",ROUND(AVERAGEIFS(Raw_Data!$L$2:$L$839,Raw_Data!$C$2:$C$839,Raw_Data!C47),2),Raw_Data!L47)</f>
        <v>3682719.06</v>
      </c>
      <c r="M47" s="13" t="n">
        <f aca="false">IFERROR(J47/I47,0)</f>
        <v>0.0329189385234785</v>
      </c>
      <c r="N47" s="14" t="n">
        <f aca="false">IFERROR(H47/J47,0)</f>
        <v>1.47061494306083</v>
      </c>
      <c r="O47" s="14" t="n">
        <f aca="false">IFERROR(H47/K47,0)</f>
        <v>24.4596735448106</v>
      </c>
      <c r="P47" s="15" t="n">
        <f aca="false">IFERROR(L47/H47,0)</f>
        <v>46.3698450376074</v>
      </c>
      <c r="Q47" s="13" t="n">
        <f aca="false">IFERROR(K47/J47,0)</f>
        <v>0.0601240625867975</v>
      </c>
      <c r="R47" s="11" t="str">
        <f aca="false">IF(COUNTIF($A$2:A47,A47)&gt;1,"Duplicate - Remove","Unique")</f>
        <v>Unique</v>
      </c>
      <c r="S47" s="11" t="str">
        <f aca="false">TRIM(IF(Raw_Data!G47="","Region missing; ","")&amp;IF(Raw_Data!H47="","Spend imputed; ","")&amp;IF(Raw_Data!L47="","Revenue imputed; ","")&amp;IF(Raw_Data!J47&lt;0,"Clicks corrected; ",""))</f>
        <v/>
      </c>
    </row>
    <row r="48" customFormat="false" ht="15" hidden="false" customHeight="true" outlineLevel="0" collapsed="false">
      <c r="A48" s="11" t="n">
        <f aca="false">Raw_Data!A48</f>
        <v>1032</v>
      </c>
      <c r="B48" s="11" t="str">
        <f aca="false">PROPER(TRIM(Raw_Data!B48))</f>
        <v>Influencer Collab - Skincare</v>
      </c>
      <c r="C48" s="11" t="str">
        <f aca="false">IFERROR(INDEX(Lookup_Tables!$B$2:$B$26,MATCH(UPPER(TRIM(Raw_Data!C48)),Lookup_Tables!$C$2:$C$26,0)),"Unknown")</f>
        <v>Google Ads</v>
      </c>
      <c r="D48" s="12" t="n">
        <f aca="false">IFERROR(IF(ISNUMBER(SEARCH("/",Raw_Data!D48)),DATE(VALUE(RIGHT(Raw_Data!D48,4)),VALUE(MID(Raw_Data!D48,FIND("/",Raw_Data!D48)+1,FIND("/",Raw_Data!D48,FIND("/",Raw_Data!D48)+1)-FIND("/",Raw_Data!D48)-1)),VALUE(LEFT(Raw_Data!D48,FIND("/",Raw_Data!D48)-1))),IF(ISNUMBER(VALUE(LEFT(Raw_Data!D48,4))),DATE(VALUE(LEFT(Raw_Data!D48,4)),VALUE(MID(Raw_Data!D48,6,2)),VALUE(MID(Raw_Data!D48,9,2))),DATEVALUE(Raw_Data!D48))),"")</f>
        <v>45327</v>
      </c>
      <c r="E48" s="12" t="n">
        <f aca="false">IFERROR(IF(ISNUMBER(SEARCH("/",Raw_Data!E48)),DATE(VALUE(RIGHT(Raw_Data!E48,4)),VALUE(MID(Raw_Data!E48,FIND("/",Raw_Data!E48)+1,FIND("/",Raw_Data!E48,FIND("/",Raw_Data!E48)+1)-FIND("/",Raw_Data!E48)-1)),VALUE(LEFT(Raw_Data!E48,FIND("/",Raw_Data!E48)-1))),IF(ISNUMBER(VALUE(LEFT(Raw_Data!E48,4))),DATE(VALUE(LEFT(Raw_Data!E48,4)),VALUE(MID(Raw_Data!E48,6,2)),VALUE(MID(Raw_Data!E48,9,2))),DATEVALUE(Raw_Data!E48))),"")</f>
        <v>45348</v>
      </c>
      <c r="F48" s="11" t="str">
        <f aca="false">Raw_Data!F48</f>
        <v>Male 35-44</v>
      </c>
      <c r="G48" s="11" t="str">
        <f aca="false">IF(TRIM(Raw_Data!G48)="","Unspecified",IFERROR(INDEX(Lookup_Tables!$F$2:$F$24,MATCH(UPPER(TRIM(Raw_Data!G48)),Lookup_Tables!$G$2:$G$24,0)),"Unknown"))</f>
        <v>North</v>
      </c>
      <c r="H48" s="11" t="n">
        <f aca="false">IF(Raw_Data!H48="",ROUND(AVERAGEIFS(Raw_Data!$H$2:$H$839,Raw_Data!$C$2:$C$839,Raw_Data!C48),2),Raw_Data!H48)</f>
        <v>33886.18</v>
      </c>
      <c r="I48" s="11" t="n">
        <f aca="false">Raw_Data!I48</f>
        <v>1228014</v>
      </c>
      <c r="J48" s="11" t="n">
        <f aca="false">IF(Raw_Data!J48&lt;0,ABS(Raw_Data!J48),Raw_Data!J48)</f>
        <v>36435</v>
      </c>
      <c r="K48" s="11" t="n">
        <f aca="false">Raw_Data!K48</f>
        <v>633</v>
      </c>
      <c r="L48" s="11" t="n">
        <f aca="false">IF(Raw_Data!L48="",ROUND(AVERAGEIFS(Raw_Data!$L$2:$L$839,Raw_Data!$C$2:$C$839,Raw_Data!C48),2),Raw_Data!L48)</f>
        <v>1103408.87</v>
      </c>
      <c r="M48" s="13" t="n">
        <f aca="false">IFERROR(J48/I48,0)</f>
        <v>0.0296698571840386</v>
      </c>
      <c r="N48" s="14" t="n">
        <f aca="false">IFERROR(H48/J48,0)</f>
        <v>0.930044737203239</v>
      </c>
      <c r="O48" s="14" t="n">
        <f aca="false">IFERROR(H48/K48,0)</f>
        <v>53.5326698262243</v>
      </c>
      <c r="P48" s="15" t="n">
        <f aca="false">IFERROR(L48/H48,0)</f>
        <v>32.5622088414805</v>
      </c>
      <c r="Q48" s="13" t="n">
        <f aca="false">IFERROR(K48/J48,0)</f>
        <v>0.0173734046932894</v>
      </c>
      <c r="R48" s="11" t="str">
        <f aca="false">IF(COUNTIF($A$2:A48,A48)&gt;1,"Duplicate - Remove","Unique")</f>
        <v>Unique</v>
      </c>
      <c r="S48" s="11" t="str">
        <f aca="false">TRIM(IF(Raw_Data!G48="","Region missing; ","")&amp;IF(Raw_Data!H48="","Spend imputed; ","")&amp;IF(Raw_Data!L48="","Revenue imputed; ","")&amp;IF(Raw_Data!J48&lt;0,"Clicks corrected; ",""))</f>
        <v/>
      </c>
    </row>
    <row r="49" customFormat="false" ht="15" hidden="false" customHeight="true" outlineLevel="0" collapsed="false">
      <c r="A49" s="11" t="n">
        <f aca="false">Raw_Data!A49</f>
        <v>1285</v>
      </c>
      <c r="B49" s="11" t="str">
        <f aca="false">PROPER(TRIM(Raw_Data!B49))</f>
        <v>Men'S Grooming Drive</v>
      </c>
      <c r="C49" s="11" t="str">
        <f aca="false">IFERROR(INDEX(Lookup_Tables!$B$2:$B$26,MATCH(UPPER(TRIM(Raw_Data!C49)),Lookup_Tables!$C$2:$C$26,0)),"Unknown")</f>
        <v>Instagram</v>
      </c>
      <c r="D49" s="12" t="n">
        <f aca="false">IFERROR(IF(ISNUMBER(SEARCH("/",Raw_Data!D49)),DATE(VALUE(RIGHT(Raw_Data!D49,4)),VALUE(MID(Raw_Data!D49,FIND("/",Raw_Data!D49)+1,FIND("/",Raw_Data!D49,FIND("/",Raw_Data!D49)+1)-FIND("/",Raw_Data!D49)-1)),VALUE(LEFT(Raw_Data!D49,FIND("/",Raw_Data!D49)-1))),IF(ISNUMBER(VALUE(LEFT(Raw_Data!D49,4))),DATE(VALUE(LEFT(Raw_Data!D49,4)),VALUE(MID(Raw_Data!D49,6,2)),VALUE(MID(Raw_Data!D49,9,2))),DATEVALUE(Raw_Data!D49))),"")</f>
        <v>45494</v>
      </c>
      <c r="E49" s="12" t="n">
        <f aca="false">IFERROR(IF(ISNUMBER(SEARCH("/",Raw_Data!E49)),DATE(VALUE(RIGHT(Raw_Data!E49,4)),VALUE(MID(Raw_Data!E49,FIND("/",Raw_Data!E49)+1,FIND("/",Raw_Data!E49,FIND("/",Raw_Data!E49)+1)-FIND("/",Raw_Data!E49)-1)),VALUE(LEFT(Raw_Data!E49,FIND("/",Raw_Data!E49)-1))),IF(ISNUMBER(VALUE(LEFT(Raw_Data!E49,4))),DATE(VALUE(LEFT(Raw_Data!E49,4)),VALUE(MID(Raw_Data!E49,6,2)),VALUE(MID(Raw_Data!E49,9,2))),DATEVALUE(Raw_Data!E49))),"")</f>
        <v>45522</v>
      </c>
      <c r="F49" s="11" t="str">
        <f aca="false">Raw_Data!F49</f>
        <v>Male 35-44</v>
      </c>
      <c r="G49" s="11" t="str">
        <f aca="false">IF(TRIM(Raw_Data!G49)="","Unspecified",IFERROR(INDEX(Lookup_Tables!$F$2:$F$24,MATCH(UPPER(TRIM(Raw_Data!G49)),Lookup_Tables!$G$2:$G$24,0)),"Unknown"))</f>
        <v>North</v>
      </c>
      <c r="H49" s="11" t="n">
        <f aca="false">IF(Raw_Data!H49="",ROUND(AVERAGEIFS(Raw_Data!$H$2:$H$839,Raw_Data!$C$2:$C$839,Raw_Data!C49),2),Raw_Data!H49)</f>
        <v>40031.65</v>
      </c>
      <c r="I49" s="11" t="n">
        <f aca="false">Raw_Data!I49</f>
        <v>629615</v>
      </c>
      <c r="J49" s="11" t="n">
        <f aca="false">IF(Raw_Data!J49&lt;0,ABS(Raw_Data!J49),Raw_Data!J49)</f>
        <v>6465</v>
      </c>
      <c r="K49" s="11" t="n">
        <f aca="false">Raw_Data!K49</f>
        <v>214</v>
      </c>
      <c r="L49" s="11" t="n">
        <f aca="false">IF(Raw_Data!L49="",ROUND(AVERAGEIFS(Raw_Data!$L$2:$L$839,Raw_Data!$C$2:$C$839,Raw_Data!C49),2),Raw_Data!L49)</f>
        <v>179761.81</v>
      </c>
      <c r="M49" s="13" t="n">
        <f aca="false">IFERROR(J49/I49,0)</f>
        <v>0.0102681797606474</v>
      </c>
      <c r="N49" s="14" t="n">
        <f aca="false">IFERROR(H49/J49,0)</f>
        <v>6.19205723124517</v>
      </c>
      <c r="O49" s="14" t="n">
        <f aca="false">IFERROR(H49/K49,0)</f>
        <v>187.063785046729</v>
      </c>
      <c r="P49" s="15" t="n">
        <f aca="false">IFERROR(L49/H49,0)</f>
        <v>4.49049214808783</v>
      </c>
      <c r="Q49" s="13" t="n">
        <f aca="false">IFERROR(K49/J49,0)</f>
        <v>0.0331013147718484</v>
      </c>
      <c r="R49" s="11" t="str">
        <f aca="false">IF(COUNTIF($A$2:A49,A49)&gt;1,"Duplicate - Remove","Unique")</f>
        <v>Unique</v>
      </c>
      <c r="S49" s="11" t="str">
        <f aca="false">TRIM(IF(Raw_Data!G49="","Region missing; ","")&amp;IF(Raw_Data!H49="","Spend imputed; ","")&amp;IF(Raw_Data!L49="","Revenue imputed; ","")&amp;IF(Raw_Data!J49&lt;0,"Clicks corrected; ",""))</f>
        <v/>
      </c>
    </row>
    <row r="50" customFormat="false" ht="15" hidden="false" customHeight="true" outlineLevel="0" collapsed="false">
      <c r="A50" s="11" t="n">
        <f aca="false">Raw_Data!A50</f>
        <v>1609</v>
      </c>
      <c r="B50" s="11" t="str">
        <f aca="false">PROPER(TRIM(Raw_Data!B50))</f>
        <v>Men'S Grooming Drive</v>
      </c>
      <c r="C50" s="11" t="str">
        <f aca="false">IFERROR(INDEX(Lookup_Tables!$B$2:$B$26,MATCH(UPPER(TRIM(Raw_Data!C50)),Lookup_Tables!$C$2:$C$26,0)),"Unknown")</f>
        <v>Email</v>
      </c>
      <c r="D50" s="12" t="n">
        <f aca="false">IFERROR(IF(ISNUMBER(SEARCH("/",Raw_Data!D50)),DATE(VALUE(RIGHT(Raw_Data!D50,4)),VALUE(MID(Raw_Data!D50,FIND("/",Raw_Data!D50)+1,FIND("/",Raw_Data!D50,FIND("/",Raw_Data!D50)+1)-FIND("/",Raw_Data!D50)-1)),VALUE(LEFT(Raw_Data!D50,FIND("/",Raw_Data!D50)-1))),IF(ISNUMBER(VALUE(LEFT(Raw_Data!D50,4))),DATE(VALUE(LEFT(Raw_Data!D50,4)),VALUE(MID(Raw_Data!D50,6,2)),VALUE(MID(Raw_Data!D50,9,2))),DATEVALUE(Raw_Data!D50))),"")</f>
        <v>45451</v>
      </c>
      <c r="E50" s="12" t="n">
        <f aca="false">IFERROR(IF(ISNUMBER(SEARCH("/",Raw_Data!E50)),DATE(VALUE(RIGHT(Raw_Data!E50,4)),VALUE(MID(Raw_Data!E50,FIND("/",Raw_Data!E50)+1,FIND("/",Raw_Data!E50,FIND("/",Raw_Data!E50)+1)-FIND("/",Raw_Data!E50)-1)),VALUE(LEFT(Raw_Data!E50,FIND("/",Raw_Data!E50)-1))),IF(ISNUMBER(VALUE(LEFT(Raw_Data!E50,4))),DATE(VALUE(LEFT(Raw_Data!E50,4)),VALUE(MID(Raw_Data!E50,6,2)),VALUE(MID(Raw_Data!E50,9,2))),DATEVALUE(Raw_Data!E50))),"")</f>
        <v>45464</v>
      </c>
      <c r="F50" s="11" t="str">
        <f aca="false">Raw_Data!F50</f>
        <v>Female 18-24</v>
      </c>
      <c r="G50" s="11" t="str">
        <f aca="false">IF(TRIM(Raw_Data!G50)="","Unspecified",IFERROR(INDEX(Lookup_Tables!$F$2:$F$24,MATCH(UPPER(TRIM(Raw_Data!G50)),Lookup_Tables!$G$2:$G$24,0)),"Unknown"))</f>
        <v>West</v>
      </c>
      <c r="H50" s="11" t="n">
        <f aca="false">IF(Raw_Data!H50="",ROUND(AVERAGEIFS(Raw_Data!$H$2:$H$839,Raw_Data!$C$2:$C$839,Raw_Data!C50),2),Raw_Data!H50)</f>
        <v>3454.79</v>
      </c>
      <c r="I50" s="11" t="n">
        <f aca="false">Raw_Data!I50</f>
        <v>81313</v>
      </c>
      <c r="J50" s="11" t="n">
        <f aca="false">IF(Raw_Data!J50&lt;0,ABS(Raw_Data!J50),Raw_Data!J50)</f>
        <v>1792</v>
      </c>
      <c r="K50" s="11" t="n">
        <f aca="false">Raw_Data!K50</f>
        <v>105</v>
      </c>
      <c r="L50" s="11" t="n">
        <f aca="false">IF(Raw_Data!L50="",ROUND(AVERAGEIFS(Raw_Data!$L$2:$L$839,Raw_Data!$C$2:$C$839,Raw_Data!C50),2),Raw_Data!L50)</f>
        <v>122952.32</v>
      </c>
      <c r="M50" s="13" t="n">
        <f aca="false">IFERROR(J50/I50,0)</f>
        <v>0.0220382964593607</v>
      </c>
      <c r="N50" s="14" t="n">
        <f aca="false">IFERROR(H50/J50,0)</f>
        <v>1.92789620535714</v>
      </c>
      <c r="O50" s="14" t="n">
        <f aca="false">IFERROR(H50/K50,0)</f>
        <v>32.9027619047619</v>
      </c>
      <c r="P50" s="15" t="n">
        <f aca="false">IFERROR(L50/H50,0)</f>
        <v>35.5889417301775</v>
      </c>
      <c r="Q50" s="13" t="n">
        <f aca="false">IFERROR(K50/J50,0)</f>
        <v>0.05859375</v>
      </c>
      <c r="R50" s="11" t="str">
        <f aca="false">IF(COUNTIF($A$2:A50,A50)&gt;1,"Duplicate - Remove","Unique")</f>
        <v>Unique</v>
      </c>
      <c r="S50" s="11" t="str">
        <f aca="false">TRIM(IF(Raw_Data!G50="","Region missing; ","")&amp;IF(Raw_Data!H50="","Spend imputed; ","")&amp;IF(Raw_Data!L50="","Revenue imputed; ","")&amp;IF(Raw_Data!J50&lt;0,"Clicks corrected; ",""))</f>
        <v/>
      </c>
    </row>
    <row r="51" customFormat="false" ht="15" hidden="false" customHeight="true" outlineLevel="0" collapsed="false">
      <c r="A51" s="11" t="n">
        <f aca="false">Raw_Data!A51</f>
        <v>1550</v>
      </c>
      <c r="B51" s="11" t="str">
        <f aca="false">PROPER(TRIM(Raw_Data!B51))</f>
        <v>Anti-Ageing Serum Push</v>
      </c>
      <c r="C51" s="11" t="str">
        <f aca="false">IFERROR(INDEX(Lookup_Tables!$B$2:$B$26,MATCH(UPPER(TRIM(Raw_Data!C51)),Lookup_Tables!$C$2:$C$26,0)),"Unknown")</f>
        <v>Email</v>
      </c>
      <c r="D51" s="12" t="n">
        <f aca="false">IFERROR(IF(ISNUMBER(SEARCH("/",Raw_Data!D51)),DATE(VALUE(RIGHT(Raw_Data!D51,4)),VALUE(MID(Raw_Data!D51,FIND("/",Raw_Data!D51)+1,FIND("/",Raw_Data!D51,FIND("/",Raw_Data!D51)+1)-FIND("/",Raw_Data!D51)-1)),VALUE(LEFT(Raw_Data!D51,FIND("/",Raw_Data!D51)-1))),IF(ISNUMBER(VALUE(LEFT(Raw_Data!D51,4))),DATE(VALUE(LEFT(Raw_Data!D51,4)),VALUE(MID(Raw_Data!D51,6,2)),VALUE(MID(Raw_Data!D51,9,2))),DATEVALUE(Raw_Data!D51))),"")</f>
        <v>45320</v>
      </c>
      <c r="E51" s="12" t="n">
        <f aca="false">IFERROR(IF(ISNUMBER(SEARCH("/",Raw_Data!E51)),DATE(VALUE(RIGHT(Raw_Data!E51,4)),VALUE(MID(Raw_Data!E51,FIND("/",Raw_Data!E51)+1,FIND("/",Raw_Data!E51,FIND("/",Raw_Data!E51)+1)-FIND("/",Raw_Data!E51)-1)),VALUE(LEFT(Raw_Data!E51,FIND("/",Raw_Data!E51)-1))),IF(ISNUMBER(VALUE(LEFT(Raw_Data!E51,4))),DATE(VALUE(LEFT(Raw_Data!E51,4)),VALUE(MID(Raw_Data!E51,6,2)),VALUE(MID(Raw_Data!E51,9,2))),DATEVALUE(Raw_Data!E51))),"")</f>
        <v>45333</v>
      </c>
      <c r="F51" s="11" t="str">
        <f aca="false">Raw_Data!F51</f>
        <v>Female 25-34</v>
      </c>
      <c r="G51" s="11" t="str">
        <f aca="false">IF(TRIM(Raw_Data!G51)="","Unspecified",IFERROR(INDEX(Lookup_Tables!$F$2:$F$24,MATCH(UPPER(TRIM(Raw_Data!G51)),Lookup_Tables!$G$2:$G$24,0)),"Unknown"))</f>
        <v>Central</v>
      </c>
      <c r="H51" s="11" t="n">
        <f aca="false">IF(Raw_Data!H51="",ROUND(AVERAGEIFS(Raw_Data!$H$2:$H$839,Raw_Data!$C$2:$C$839,Raw_Data!C51),2),Raw_Data!H51)</f>
        <v>1749.34</v>
      </c>
      <c r="I51" s="11" t="n">
        <f aca="false">Raw_Data!I51</f>
        <v>52232</v>
      </c>
      <c r="J51" s="11" t="n">
        <f aca="false">IF(Raw_Data!J51&lt;0,ABS(Raw_Data!J51),Raw_Data!J51)</f>
        <v>1549</v>
      </c>
      <c r="K51" s="11" t="n">
        <f aca="false">Raw_Data!K51</f>
        <v>76</v>
      </c>
      <c r="L51" s="11" t="n">
        <f aca="false">IF(Raw_Data!L51="",ROUND(AVERAGEIFS(Raw_Data!$L$2:$L$839,Raw_Data!$C$2:$C$839,Raw_Data!C51),2),Raw_Data!L51)</f>
        <v>102703.34</v>
      </c>
      <c r="M51" s="13" t="n">
        <f aca="false">IFERROR(J51/I51,0)</f>
        <v>0.0296561494869046</v>
      </c>
      <c r="N51" s="14" t="n">
        <f aca="false">IFERROR(H51/J51,0)</f>
        <v>1.12933505487411</v>
      </c>
      <c r="O51" s="14" t="n">
        <f aca="false">IFERROR(H51/K51,0)</f>
        <v>23.0176315789474</v>
      </c>
      <c r="P51" s="15" t="n">
        <f aca="false">IFERROR(L51/H51,0)</f>
        <v>58.7097648255914</v>
      </c>
      <c r="Q51" s="13" t="n">
        <f aca="false">IFERROR(K51/J51,0)</f>
        <v>0.0490639122014203</v>
      </c>
      <c r="R51" s="11" t="str">
        <f aca="false">IF(COUNTIF($A$2:A51,A51)&gt;1,"Duplicate - Remove","Unique")</f>
        <v>Unique</v>
      </c>
      <c r="S51" s="11" t="str">
        <f aca="false">TRIM(IF(Raw_Data!G51="","Region missing; ","")&amp;IF(Raw_Data!H51="","Spend imputed; ","")&amp;IF(Raw_Data!L51="","Revenue imputed; ","")&amp;IF(Raw_Data!J51&lt;0,"Clicks corrected; ",""))</f>
        <v/>
      </c>
    </row>
    <row r="52" customFormat="false" ht="15" hidden="false" customHeight="true" outlineLevel="0" collapsed="false">
      <c r="A52" s="11" t="n">
        <f aca="false">Raw_Data!A52</f>
        <v>1768</v>
      </c>
      <c r="B52" s="11" t="str">
        <f aca="false">PROPER(TRIM(Raw_Data!B52))</f>
        <v>New Year Wellness</v>
      </c>
      <c r="C52" s="11" t="str">
        <f aca="false">IFERROR(INDEX(Lookup_Tables!$B$2:$B$26,MATCH(UPPER(TRIM(Raw_Data!C52)),Lookup_Tables!$C$2:$C$26,0)),"Unknown")</f>
        <v>Google Ads</v>
      </c>
      <c r="D52" s="12" t="n">
        <f aca="false">IFERROR(IF(ISNUMBER(SEARCH("/",Raw_Data!D52)),DATE(VALUE(RIGHT(Raw_Data!D52,4)),VALUE(MID(Raw_Data!D52,FIND("/",Raw_Data!D52)+1,FIND("/",Raw_Data!D52,FIND("/",Raw_Data!D52)+1)-FIND("/",Raw_Data!D52)-1)),VALUE(LEFT(Raw_Data!D52,FIND("/",Raw_Data!D52)-1))),IF(ISNUMBER(VALUE(LEFT(Raw_Data!D52,4))),DATE(VALUE(LEFT(Raw_Data!D52,4)),VALUE(MID(Raw_Data!D52,6,2)),VALUE(MID(Raw_Data!D52,9,2))),DATEVALUE(Raw_Data!D52))),"")</f>
        <v>45585</v>
      </c>
      <c r="E52" s="12" t="n">
        <f aca="false">IFERROR(IF(ISNUMBER(SEARCH("/",Raw_Data!E52)),DATE(VALUE(RIGHT(Raw_Data!E52,4)),VALUE(MID(Raw_Data!E52,FIND("/",Raw_Data!E52)+1,FIND("/",Raw_Data!E52,FIND("/",Raw_Data!E52)+1)-FIND("/",Raw_Data!E52)-1)),VALUE(LEFT(Raw_Data!E52,FIND("/",Raw_Data!E52)-1))),IF(ISNUMBER(VALUE(LEFT(Raw_Data!E52,4))),DATE(VALUE(LEFT(Raw_Data!E52,4)),VALUE(MID(Raw_Data!E52,6,2)),VALUE(MID(Raw_Data!E52,9,2))),DATEVALUE(Raw_Data!E52))),"")</f>
        <v>45610</v>
      </c>
      <c r="F52" s="11" t="str">
        <f aca="false">Raw_Data!F52</f>
        <v>Female 18-24</v>
      </c>
      <c r="G52" s="11" t="str">
        <f aca="false">IF(TRIM(Raw_Data!G52)="","Unspecified",IFERROR(INDEX(Lookup_Tables!$F$2:$F$24,MATCH(UPPER(TRIM(Raw_Data!G52)),Lookup_Tables!$G$2:$G$24,0)),"Unknown"))</f>
        <v>North</v>
      </c>
      <c r="H52" s="11" t="n">
        <f aca="false">IF(Raw_Data!H52="",ROUND(AVERAGEIFS(Raw_Data!$H$2:$H$839,Raw_Data!$C$2:$C$839,Raw_Data!C52),2),Raw_Data!H52)</f>
        <v>22316.07</v>
      </c>
      <c r="I52" s="11" t="n">
        <f aca="false">Raw_Data!I52</f>
        <v>640436</v>
      </c>
      <c r="J52" s="11" t="n">
        <f aca="false">IF(Raw_Data!J52&lt;0,ABS(Raw_Data!J52),Raw_Data!J52)</f>
        <v>21301</v>
      </c>
      <c r="K52" s="11" t="n">
        <f aca="false">Raw_Data!K52</f>
        <v>1547</v>
      </c>
      <c r="L52" s="11" t="n">
        <f aca="false">IF(Raw_Data!L52="",ROUND(AVERAGEIFS(Raw_Data!$L$2:$L$839,Raw_Data!$C$2:$C$839,Raw_Data!C52),2),Raw_Data!L52)</f>
        <v>1071383.47</v>
      </c>
      <c r="M52" s="13" t="n">
        <f aca="false">IFERROR(J52/I52,0)</f>
        <v>0.0332601540200738</v>
      </c>
      <c r="N52" s="14" t="n">
        <f aca="false">IFERROR(H52/J52,0)</f>
        <v>1.04765363128492</v>
      </c>
      <c r="O52" s="14" t="n">
        <f aca="false">IFERROR(H52/K52,0)</f>
        <v>14.4253846153846</v>
      </c>
      <c r="P52" s="15" t="n">
        <f aca="false">IFERROR(L52/H52,0)</f>
        <v>48.0095048097627</v>
      </c>
      <c r="Q52" s="13" t="n">
        <f aca="false">IFERROR(K52/J52,0)</f>
        <v>0.0726256983240224</v>
      </c>
      <c r="R52" s="11" t="str">
        <f aca="false">IF(COUNTIF($A$2:A52,A52)&gt;1,"Duplicate - Remove","Unique")</f>
        <v>Unique</v>
      </c>
      <c r="S52" s="11" t="str">
        <f aca="false">TRIM(IF(Raw_Data!G52="","Region missing; ","")&amp;IF(Raw_Data!H52="","Spend imputed; ","")&amp;IF(Raw_Data!L52="","Revenue imputed; ","")&amp;IF(Raw_Data!J52&lt;0,"Clicks corrected; ",""))</f>
        <v/>
      </c>
    </row>
    <row r="53" customFormat="false" ht="15" hidden="false" customHeight="true" outlineLevel="0" collapsed="false">
      <c r="A53" s="11" t="n">
        <f aca="false">Raw_Data!A53</f>
        <v>1035</v>
      </c>
      <c r="B53" s="11" t="str">
        <f aca="false">PROPER(TRIM(Raw_Data!B53))</f>
        <v>Sunscreen Season Campaign</v>
      </c>
      <c r="C53" s="11" t="str">
        <f aca="false">IFERROR(INDEX(Lookup_Tables!$B$2:$B$26,MATCH(UPPER(TRIM(Raw_Data!C53)),Lookup_Tables!$C$2:$C$26,0)),"Unknown")</f>
        <v>Email</v>
      </c>
      <c r="D53" s="12" t="n">
        <f aca="false">IFERROR(IF(ISNUMBER(SEARCH("/",Raw_Data!D53)),DATE(VALUE(RIGHT(Raw_Data!D53,4)),VALUE(MID(Raw_Data!D53,FIND("/",Raw_Data!D53)+1,FIND("/",Raw_Data!D53,FIND("/",Raw_Data!D53)+1)-FIND("/",Raw_Data!D53)-1)),VALUE(LEFT(Raw_Data!D53,FIND("/",Raw_Data!D53)-1))),IF(ISNUMBER(VALUE(LEFT(Raw_Data!D53,4))),DATE(VALUE(LEFT(Raw_Data!D53,4)),VALUE(MID(Raw_Data!D53,6,2)),VALUE(MID(Raw_Data!D53,9,2))),DATEVALUE(Raw_Data!D53))),"")</f>
        <v>45589</v>
      </c>
      <c r="E53" s="12" t="n">
        <f aca="false">IFERROR(IF(ISNUMBER(SEARCH("/",Raw_Data!E53)),DATE(VALUE(RIGHT(Raw_Data!E53,4)),VALUE(MID(Raw_Data!E53,FIND("/",Raw_Data!E53)+1,FIND("/",Raw_Data!E53,FIND("/",Raw_Data!E53)+1)-FIND("/",Raw_Data!E53)-1)),VALUE(LEFT(Raw_Data!E53,FIND("/",Raw_Data!E53)-1))),IF(ISNUMBER(VALUE(LEFT(Raw_Data!E53,4))),DATE(VALUE(LEFT(Raw_Data!E53,4)),VALUE(MID(Raw_Data!E53,6,2)),VALUE(MID(Raw_Data!E53,9,2))),DATEVALUE(Raw_Data!E53))),"")</f>
        <v>45605</v>
      </c>
      <c r="F53" s="11" t="str">
        <f aca="false">Raw_Data!F53</f>
        <v>Male 25-34</v>
      </c>
      <c r="G53" s="11" t="str">
        <f aca="false">IF(TRIM(Raw_Data!G53)="","Unspecified",IFERROR(INDEX(Lookup_Tables!$F$2:$F$24,MATCH(UPPER(TRIM(Raw_Data!G53)),Lookup_Tables!$G$2:$G$24,0)),"Unknown"))</f>
        <v>South</v>
      </c>
      <c r="H53" s="11" t="n">
        <f aca="false">IF(Raw_Data!H53="",ROUND(AVERAGEIFS(Raw_Data!$H$2:$H$839,Raw_Data!$C$2:$C$839,Raw_Data!C53),2),Raw_Data!H53)</f>
        <v>4874.31</v>
      </c>
      <c r="I53" s="11" t="n">
        <f aca="false">Raw_Data!I53</f>
        <v>115004</v>
      </c>
      <c r="J53" s="11" t="n">
        <f aca="false">IF(Raw_Data!J53&lt;0,ABS(Raw_Data!J53),Raw_Data!J53)</f>
        <v>4013</v>
      </c>
      <c r="K53" s="11" t="n">
        <f aca="false">Raw_Data!K53</f>
        <v>194</v>
      </c>
      <c r="L53" s="11" t="n">
        <f aca="false">IF(Raw_Data!L53="",ROUND(AVERAGEIFS(Raw_Data!$L$2:$L$839,Raw_Data!$C$2:$C$839,Raw_Data!C53),2),Raw_Data!L53)</f>
        <v>166864.3</v>
      </c>
      <c r="M53" s="13" t="n">
        <f aca="false">IFERROR(J53/I53,0)</f>
        <v>0.0348944384543146</v>
      </c>
      <c r="N53" s="14" t="n">
        <f aca="false">IFERROR(H53/J53,0)</f>
        <v>1.21462995265388</v>
      </c>
      <c r="O53" s="14" t="n">
        <f aca="false">IFERROR(H53/K53,0)</f>
        <v>25.1253092783505</v>
      </c>
      <c r="P53" s="15" t="n">
        <f aca="false">IFERROR(L53/H53,0)</f>
        <v>34.2334197045325</v>
      </c>
      <c r="Q53" s="13" t="n">
        <f aca="false">IFERROR(K53/J53,0)</f>
        <v>0.0483428856217294</v>
      </c>
      <c r="R53" s="11" t="str">
        <f aca="false">IF(COUNTIF($A$2:A53,A53)&gt;1,"Duplicate - Remove","Unique")</f>
        <v>Unique</v>
      </c>
      <c r="S53" s="11" t="str">
        <f aca="false">TRIM(IF(Raw_Data!G53="","Region missing; ","")&amp;IF(Raw_Data!H53="","Spend imputed; ","")&amp;IF(Raw_Data!L53="","Revenue imputed; ","")&amp;IF(Raw_Data!J53&lt;0,"Clicks corrected; ",""))</f>
        <v/>
      </c>
    </row>
    <row r="54" customFormat="false" ht="15" hidden="false" customHeight="true" outlineLevel="0" collapsed="false">
      <c r="A54" s="11" t="n">
        <f aca="false">Raw_Data!A54</f>
        <v>1096</v>
      </c>
      <c r="B54" s="11" t="str">
        <f aca="false">PROPER(TRIM(Raw_Data!B54))</f>
        <v>Monsoon Skincare Push</v>
      </c>
      <c r="C54" s="11" t="str">
        <f aca="false">IFERROR(INDEX(Lookup_Tables!$B$2:$B$26,MATCH(UPPER(TRIM(Raw_Data!C54)),Lookup_Tables!$C$2:$C$26,0)),"Unknown")</f>
        <v>YouTube</v>
      </c>
      <c r="D54" s="12" t="n">
        <f aca="false">IFERROR(IF(ISNUMBER(SEARCH("/",Raw_Data!D54)),DATE(VALUE(RIGHT(Raw_Data!D54,4)),VALUE(MID(Raw_Data!D54,FIND("/",Raw_Data!D54)+1,FIND("/",Raw_Data!D54,FIND("/",Raw_Data!D54)+1)-FIND("/",Raw_Data!D54)-1)),VALUE(LEFT(Raw_Data!D54,FIND("/",Raw_Data!D54)-1))),IF(ISNUMBER(VALUE(LEFT(Raw_Data!D54,4))),DATE(VALUE(LEFT(Raw_Data!D54,4)),VALUE(MID(Raw_Data!D54,6,2)),VALUE(MID(Raw_Data!D54,9,2))),DATEVALUE(Raw_Data!D54))),"")</f>
        <v>45365</v>
      </c>
      <c r="E54" s="12" t="n">
        <f aca="false">IFERROR(IF(ISNUMBER(SEARCH("/",Raw_Data!E54)),DATE(VALUE(RIGHT(Raw_Data!E54,4)),VALUE(MID(Raw_Data!E54,FIND("/",Raw_Data!E54)+1,FIND("/",Raw_Data!E54,FIND("/",Raw_Data!E54)+1)-FIND("/",Raw_Data!E54)-1)),VALUE(LEFT(Raw_Data!E54,FIND("/",Raw_Data!E54)-1))),IF(ISNUMBER(VALUE(LEFT(Raw_Data!E54,4))),DATE(VALUE(LEFT(Raw_Data!E54,4)),VALUE(MID(Raw_Data!E54,6,2)),VALUE(MID(Raw_Data!E54,9,2))),DATEVALUE(Raw_Data!E54))),"")</f>
        <v>45376</v>
      </c>
      <c r="F54" s="11" t="str">
        <f aca="false">Raw_Data!F54</f>
        <v>Male 35-44</v>
      </c>
      <c r="G54" s="11" t="str">
        <f aca="false">IF(TRIM(Raw_Data!G54)="","Unspecified",IFERROR(INDEX(Lookup_Tables!$F$2:$F$24,MATCH(UPPER(TRIM(Raw_Data!G54)),Lookup_Tables!$G$2:$G$24,0)),"Unknown"))</f>
        <v>East</v>
      </c>
      <c r="H54" s="11" t="n">
        <f aca="false">IF(Raw_Data!H54="",ROUND(AVERAGEIFS(Raw_Data!$H$2:$H$839,Raw_Data!$C$2:$C$839,Raw_Data!C54),2),Raw_Data!H54)</f>
        <v>53184.19</v>
      </c>
      <c r="I54" s="11" t="n">
        <f aca="false">Raw_Data!I54</f>
        <v>1462668</v>
      </c>
      <c r="J54" s="11" t="n">
        <f aca="false">IF(Raw_Data!J54&lt;0,ABS(Raw_Data!J54),Raw_Data!J54)</f>
        <v>9301</v>
      </c>
      <c r="K54" s="11" t="n">
        <f aca="false">Raw_Data!K54</f>
        <v>182</v>
      </c>
      <c r="L54" s="11" t="n">
        <f aca="false">IF(Raw_Data!L54="",ROUND(AVERAGEIFS(Raw_Data!$L$2:$L$839,Raw_Data!$C$2:$C$839,Raw_Data!C54),2),Raw_Data!L54)</f>
        <v>151589.44</v>
      </c>
      <c r="M54" s="13" t="n">
        <f aca="false">IFERROR(J54/I54,0)</f>
        <v>0.00635892765822456</v>
      </c>
      <c r="N54" s="14" t="n">
        <f aca="false">IFERROR(H54/J54,0)</f>
        <v>5.71811525642404</v>
      </c>
      <c r="O54" s="14" t="n">
        <f aca="false">IFERROR(H54/K54,0)</f>
        <v>292.220824175824</v>
      </c>
      <c r="P54" s="15" t="n">
        <f aca="false">IFERROR(L54/H54,0)</f>
        <v>2.85027260920962</v>
      </c>
      <c r="Q54" s="13" t="n">
        <f aca="false">IFERROR(K54/J54,0)</f>
        <v>0.0195677884098484</v>
      </c>
      <c r="R54" s="11" t="str">
        <f aca="false">IF(COUNTIF($A$2:A54,A54)&gt;1,"Duplicate - Remove","Unique")</f>
        <v>Unique</v>
      </c>
      <c r="S54" s="11" t="str">
        <f aca="false">TRIM(IF(Raw_Data!G54="","Region missing; ","")&amp;IF(Raw_Data!H54="","Spend imputed; ","")&amp;IF(Raw_Data!L54="","Revenue imputed; ","")&amp;IF(Raw_Data!J54&lt;0,"Clicks corrected; ",""))</f>
        <v/>
      </c>
    </row>
    <row r="55" customFormat="false" ht="15" hidden="false" customHeight="true" outlineLevel="0" collapsed="false">
      <c r="A55" s="11" t="n">
        <f aca="false">Raw_Data!A55</f>
        <v>1597</v>
      </c>
      <c r="B55" s="11" t="str">
        <f aca="false">PROPER(TRIM(Raw_Data!B55))</f>
        <v>Influencer Collab - Skincare</v>
      </c>
      <c r="C55" s="11" t="str">
        <f aca="false">IFERROR(INDEX(Lookup_Tables!$B$2:$B$26,MATCH(UPPER(TRIM(Raw_Data!C55)),Lookup_Tables!$C$2:$C$26,0)),"Unknown")</f>
        <v>Facebook</v>
      </c>
      <c r="D55" s="12" t="n">
        <f aca="false">IFERROR(IF(ISNUMBER(SEARCH("/",Raw_Data!D55)),DATE(VALUE(RIGHT(Raw_Data!D55,4)),VALUE(MID(Raw_Data!D55,FIND("/",Raw_Data!D55)+1,FIND("/",Raw_Data!D55,FIND("/",Raw_Data!D55)+1)-FIND("/",Raw_Data!D55)-1)),VALUE(LEFT(Raw_Data!D55,FIND("/",Raw_Data!D55)-1))),IF(ISNUMBER(VALUE(LEFT(Raw_Data!D55,4))),DATE(VALUE(LEFT(Raw_Data!D55,4)),VALUE(MID(Raw_Data!D55,6,2)),VALUE(MID(Raw_Data!D55,9,2))),DATEVALUE(Raw_Data!D55))),"")</f>
        <v>45294</v>
      </c>
      <c r="E55" s="12" t="n">
        <f aca="false">IFERROR(IF(ISNUMBER(SEARCH("/",Raw_Data!E55)),DATE(VALUE(RIGHT(Raw_Data!E55,4)),VALUE(MID(Raw_Data!E55,FIND("/",Raw_Data!E55)+1,FIND("/",Raw_Data!E55,FIND("/",Raw_Data!E55)+1)-FIND("/",Raw_Data!E55)-1)),VALUE(LEFT(Raw_Data!E55,FIND("/",Raw_Data!E55)-1))),IF(ISNUMBER(VALUE(LEFT(Raw_Data!E55,4))),DATE(VALUE(LEFT(Raw_Data!E55,4)),VALUE(MID(Raw_Data!E55,6,2)),VALUE(MID(Raw_Data!E55,9,2))),DATEVALUE(Raw_Data!E55))),"")</f>
        <v>45307</v>
      </c>
      <c r="F55" s="11" t="str">
        <f aca="false">Raw_Data!F55</f>
        <v>Female 45+</v>
      </c>
      <c r="G55" s="11" t="str">
        <f aca="false">IF(TRIM(Raw_Data!G55)="","Unspecified",IFERROR(INDEX(Lookup_Tables!$F$2:$F$24,MATCH(UPPER(TRIM(Raw_Data!G55)),Lookup_Tables!$G$2:$G$24,0)),"Unknown"))</f>
        <v>Unspecified</v>
      </c>
      <c r="H55" s="11" t="n">
        <f aca="false">IF(Raw_Data!H55="",ROUND(AVERAGEIFS(Raw_Data!$H$2:$H$839,Raw_Data!$C$2:$C$839,Raw_Data!C55),2),Raw_Data!H55)</f>
        <v>15205.86</v>
      </c>
      <c r="I55" s="11" t="n">
        <f aca="false">Raw_Data!I55</f>
        <v>441885</v>
      </c>
      <c r="J55" s="11" t="n">
        <f aca="false">IF(Raw_Data!J55&lt;0,ABS(Raw_Data!J55),Raw_Data!J55)</f>
        <v>8688</v>
      </c>
      <c r="K55" s="11" t="n">
        <f aca="false">Raw_Data!K55</f>
        <v>390</v>
      </c>
      <c r="L55" s="11" t="n">
        <f aca="false">IF(Raw_Data!L55="",ROUND(AVERAGEIFS(Raw_Data!$L$2:$L$839,Raw_Data!$C$2:$C$839,Raw_Data!C55),2),Raw_Data!L55)</f>
        <v>679083.27</v>
      </c>
      <c r="M55" s="13" t="n">
        <f aca="false">IFERROR(J55/I55,0)</f>
        <v>0.0196612240741369</v>
      </c>
      <c r="N55" s="14" t="n">
        <f aca="false">IFERROR(H55/J55,0)</f>
        <v>1.75021408839779</v>
      </c>
      <c r="O55" s="14" t="n">
        <f aca="false">IFERROR(H55/K55,0)</f>
        <v>38.9893846153846</v>
      </c>
      <c r="P55" s="15" t="n">
        <f aca="false">IFERROR(L55/H55,0)</f>
        <v>44.6593135804223</v>
      </c>
      <c r="Q55" s="13" t="n">
        <f aca="false">IFERROR(K55/J55,0)</f>
        <v>0.0448895027624309</v>
      </c>
      <c r="R55" s="11" t="str">
        <f aca="false">IF(COUNTIF($A$2:A55,A55)&gt;1,"Duplicate - Remove","Unique")</f>
        <v>Unique</v>
      </c>
      <c r="S55" s="11" t="str">
        <f aca="false">TRIM(IF(Raw_Data!G55="","Region missing; ","")&amp;IF(Raw_Data!H55="","Spend imputed; ","")&amp;IF(Raw_Data!L55="","Revenue imputed; ","")&amp;IF(Raw_Data!J55&lt;0,"Clicks corrected; ",""))</f>
        <v>Region missing;</v>
      </c>
    </row>
    <row r="56" customFormat="false" ht="15" hidden="false" customHeight="true" outlineLevel="0" collapsed="false">
      <c r="A56" s="11" t="n">
        <f aca="false">Raw_Data!A56</f>
        <v>1523</v>
      </c>
      <c r="B56" s="11" t="str">
        <f aca="false">PROPER(TRIM(Raw_Data!B56))</f>
        <v>Clearance Sale Push</v>
      </c>
      <c r="C56" s="11" t="str">
        <f aca="false">IFERROR(INDEX(Lookup_Tables!$B$2:$B$26,MATCH(UPPER(TRIM(Raw_Data!C56)),Lookup_Tables!$C$2:$C$26,0)),"Unknown")</f>
        <v>YouTube</v>
      </c>
      <c r="D56" s="12" t="n">
        <f aca="false">IFERROR(IF(ISNUMBER(SEARCH("/",Raw_Data!D56)),DATE(VALUE(RIGHT(Raw_Data!D56,4)),VALUE(MID(Raw_Data!D56,FIND("/",Raw_Data!D56)+1,FIND("/",Raw_Data!D56,FIND("/",Raw_Data!D56)+1)-FIND("/",Raw_Data!D56)-1)),VALUE(LEFT(Raw_Data!D56,FIND("/",Raw_Data!D56)-1))),IF(ISNUMBER(VALUE(LEFT(Raw_Data!D56,4))),DATE(VALUE(LEFT(Raw_Data!D56,4)),VALUE(MID(Raw_Data!D56,6,2)),VALUE(MID(Raw_Data!D56,9,2))),DATEVALUE(Raw_Data!D56))),"")</f>
        <v>45613</v>
      </c>
      <c r="E56" s="12" t="n">
        <f aca="false">IFERROR(IF(ISNUMBER(SEARCH("/",Raw_Data!E56)),DATE(VALUE(RIGHT(Raw_Data!E56,4)),VALUE(MID(Raw_Data!E56,FIND("/",Raw_Data!E56)+1,FIND("/",Raw_Data!E56,FIND("/",Raw_Data!E56)+1)-FIND("/",Raw_Data!E56)-1)),VALUE(LEFT(Raw_Data!E56,FIND("/",Raw_Data!E56)-1))),IF(ISNUMBER(VALUE(LEFT(Raw_Data!E56,4))),DATE(VALUE(LEFT(Raw_Data!E56,4)),VALUE(MID(Raw_Data!E56,6,2)),VALUE(MID(Raw_Data!E56,9,2))),DATEVALUE(Raw_Data!E56))),"")</f>
        <v>45618</v>
      </c>
      <c r="F56" s="11" t="str">
        <f aca="false">Raw_Data!F56</f>
        <v>Female 35-44</v>
      </c>
      <c r="G56" s="11" t="str">
        <f aca="false">IF(TRIM(Raw_Data!G56)="","Unspecified",IFERROR(INDEX(Lookup_Tables!$F$2:$F$24,MATCH(UPPER(TRIM(Raw_Data!G56)),Lookup_Tables!$G$2:$G$24,0)),"Unknown"))</f>
        <v>East</v>
      </c>
      <c r="H56" s="11" t="n">
        <f aca="false">IF(Raw_Data!H56="",ROUND(AVERAGEIFS(Raw_Data!$H$2:$H$839,Raw_Data!$C$2:$C$839,Raw_Data!C56),2),Raw_Data!H56)</f>
        <v>88859.84</v>
      </c>
      <c r="I56" s="11" t="n">
        <f aca="false">Raw_Data!I56</f>
        <v>3258799</v>
      </c>
      <c r="J56" s="11" t="n">
        <f aca="false">IF(Raw_Data!J56&lt;0,ABS(Raw_Data!J56),Raw_Data!J56)</f>
        <v>27139</v>
      </c>
      <c r="K56" s="11" t="n">
        <f aca="false">Raw_Data!K56</f>
        <v>2032</v>
      </c>
      <c r="L56" s="11" t="n">
        <f aca="false">IF(Raw_Data!L56="",ROUND(AVERAGEIFS(Raw_Data!$L$2:$L$839,Raw_Data!$C$2:$C$839,Raw_Data!C56),2),Raw_Data!L56)</f>
        <v>1072677.09</v>
      </c>
      <c r="M56" s="13" t="n">
        <f aca="false">IFERROR(J56/I56,0)</f>
        <v>0.00832791467040465</v>
      </c>
      <c r="N56" s="14" t="n">
        <f aca="false">IFERROR(H56/J56,0)</f>
        <v>3.27424886694425</v>
      </c>
      <c r="O56" s="14" t="n">
        <f aca="false">IFERROR(H56/K56,0)</f>
        <v>43.7302362204724</v>
      </c>
      <c r="P56" s="15" t="n">
        <f aca="false">IFERROR(L56/H56,0)</f>
        <v>12.071562249043</v>
      </c>
      <c r="Q56" s="13" t="n">
        <f aca="false">IFERROR(K56/J56,0)</f>
        <v>0.0748737978554847</v>
      </c>
      <c r="R56" s="11" t="str">
        <f aca="false">IF(COUNTIF($A$2:A56,A56)&gt;1,"Duplicate - Remove","Unique")</f>
        <v>Unique</v>
      </c>
      <c r="S56" s="11" t="str">
        <f aca="false">TRIM(IF(Raw_Data!G56="","Region missing; ","")&amp;IF(Raw_Data!H56="","Spend imputed; ","")&amp;IF(Raw_Data!L56="","Revenue imputed; ","")&amp;IF(Raw_Data!J56&lt;0,"Clicks corrected; ",""))</f>
        <v/>
      </c>
    </row>
    <row r="57" customFormat="false" ht="15" hidden="false" customHeight="true" outlineLevel="0" collapsed="false">
      <c r="A57" s="11" t="n">
        <f aca="false">Raw_Data!A57</f>
        <v>1054</v>
      </c>
      <c r="B57" s="11" t="str">
        <f aca="false">PROPER(TRIM(Raw_Data!B57))</f>
        <v>Influencer Collab - Skincare</v>
      </c>
      <c r="C57" s="11" t="str">
        <f aca="false">IFERROR(INDEX(Lookup_Tables!$B$2:$B$26,MATCH(UPPER(TRIM(Raw_Data!C57)),Lookup_Tables!$C$2:$C$26,0)),"Unknown")</f>
        <v>Google Ads</v>
      </c>
      <c r="D57" s="12" t="n">
        <f aca="false">IFERROR(IF(ISNUMBER(SEARCH("/",Raw_Data!D57)),DATE(VALUE(RIGHT(Raw_Data!D57,4)),VALUE(MID(Raw_Data!D57,FIND("/",Raw_Data!D57)+1,FIND("/",Raw_Data!D57,FIND("/",Raw_Data!D57)+1)-FIND("/",Raw_Data!D57)-1)),VALUE(LEFT(Raw_Data!D57,FIND("/",Raw_Data!D57)-1))),IF(ISNUMBER(VALUE(LEFT(Raw_Data!D57,4))),DATE(VALUE(LEFT(Raw_Data!D57,4)),VALUE(MID(Raw_Data!D57,6,2)),VALUE(MID(Raw_Data!D57,9,2))),DATEVALUE(Raw_Data!D57))),"")</f>
        <v>45577</v>
      </c>
      <c r="E57" s="12" t="n">
        <f aca="false">IFERROR(IF(ISNUMBER(SEARCH("/",Raw_Data!E57)),DATE(VALUE(RIGHT(Raw_Data!E57,4)),VALUE(MID(Raw_Data!E57,FIND("/",Raw_Data!E57)+1,FIND("/",Raw_Data!E57,FIND("/",Raw_Data!E57)+1)-FIND("/",Raw_Data!E57)-1)),VALUE(LEFT(Raw_Data!E57,FIND("/",Raw_Data!E57)-1))),IF(ISNUMBER(VALUE(LEFT(Raw_Data!E57,4))),DATE(VALUE(LEFT(Raw_Data!E57,4)),VALUE(MID(Raw_Data!E57,6,2)),VALUE(MID(Raw_Data!E57,9,2))),DATEVALUE(Raw_Data!E57))),"")</f>
        <v>45593</v>
      </c>
      <c r="F57" s="11" t="str">
        <f aca="false">Raw_Data!F57</f>
        <v>Female 45+</v>
      </c>
      <c r="G57" s="11" t="str">
        <f aca="false">IF(TRIM(Raw_Data!G57)="","Unspecified",IFERROR(INDEX(Lookup_Tables!$F$2:$F$24,MATCH(UPPER(TRIM(Raw_Data!G57)),Lookup_Tables!$G$2:$G$24,0)),"Unknown"))</f>
        <v>South</v>
      </c>
      <c r="H57" s="11" t="n">
        <f aca="false">IF(Raw_Data!H57="",ROUND(AVERAGEIFS(Raw_Data!$H$2:$H$839,Raw_Data!$C$2:$C$839,Raw_Data!C57),2),Raw_Data!H57)</f>
        <v>65347.74</v>
      </c>
      <c r="I57" s="11" t="n">
        <f aca="false">Raw_Data!I57</f>
        <v>1002954</v>
      </c>
      <c r="J57" s="11" t="n">
        <f aca="false">IF(Raw_Data!J57&lt;0,ABS(Raw_Data!J57),Raw_Data!J57)</f>
        <v>21159</v>
      </c>
      <c r="K57" s="11" t="n">
        <f aca="false">Raw_Data!K57</f>
        <v>885</v>
      </c>
      <c r="L57" s="11" t="n">
        <f aca="false">IF(Raw_Data!L57="",ROUND(AVERAGEIFS(Raw_Data!$L$2:$L$839,Raw_Data!$C$2:$C$839,Raw_Data!C57),2),Raw_Data!L57)</f>
        <v>1173157.02</v>
      </c>
      <c r="M57" s="13" t="n">
        <f aca="false">IFERROR(J57/I57,0)</f>
        <v>0.0210966804060804</v>
      </c>
      <c r="N57" s="14" t="n">
        <f aca="false">IFERROR(H57/J57,0)</f>
        <v>3.0884134410889</v>
      </c>
      <c r="O57" s="14" t="n">
        <f aca="false">IFERROR(H57/K57,0)</f>
        <v>73.8392542372881</v>
      </c>
      <c r="P57" s="15" t="n">
        <f aca="false">IFERROR(L57/H57,0)</f>
        <v>17.9525262847652</v>
      </c>
      <c r="Q57" s="13" t="n">
        <f aca="false">IFERROR(K57/J57,0)</f>
        <v>0.0418261732596058</v>
      </c>
      <c r="R57" s="11" t="str">
        <f aca="false">IF(COUNTIF($A$2:A57,A57)&gt;1,"Duplicate - Remove","Unique")</f>
        <v>Unique</v>
      </c>
      <c r="S57" s="11" t="str">
        <f aca="false">TRIM(IF(Raw_Data!G57="","Region missing; ","")&amp;IF(Raw_Data!H57="","Spend imputed; ","")&amp;IF(Raw_Data!L57="","Revenue imputed; ","")&amp;IF(Raw_Data!J57&lt;0,"Clicks corrected; ",""))</f>
        <v/>
      </c>
    </row>
    <row r="58" customFormat="false" ht="15" hidden="false" customHeight="true" outlineLevel="0" collapsed="false">
      <c r="A58" s="11" t="n">
        <f aca="false">Raw_Data!A58</f>
        <v>1168</v>
      </c>
      <c r="B58" s="11" t="str">
        <f aca="false">PROPER(TRIM(Raw_Data!B58))</f>
        <v>Ayurvedic Range Launch</v>
      </c>
      <c r="C58" s="11" t="str">
        <f aca="false">IFERROR(INDEX(Lookup_Tables!$B$2:$B$26,MATCH(UPPER(TRIM(Raw_Data!C58)),Lookup_Tables!$C$2:$C$26,0)),"Unknown")</f>
        <v>YouTube</v>
      </c>
      <c r="D58" s="12" t="n">
        <f aca="false">IFERROR(IF(ISNUMBER(SEARCH("/",Raw_Data!D58)),DATE(VALUE(RIGHT(Raw_Data!D58,4)),VALUE(MID(Raw_Data!D58,FIND("/",Raw_Data!D58)+1,FIND("/",Raw_Data!D58,FIND("/",Raw_Data!D58)+1)-FIND("/",Raw_Data!D58)-1)),VALUE(LEFT(Raw_Data!D58,FIND("/",Raw_Data!D58)-1))),IF(ISNUMBER(VALUE(LEFT(Raw_Data!D58,4))),DATE(VALUE(LEFT(Raw_Data!D58,4)),VALUE(MID(Raw_Data!D58,6,2)),VALUE(MID(Raw_Data!D58,9,2))),DATEVALUE(Raw_Data!D58))),"")</f>
        <v>45469</v>
      </c>
      <c r="E58" s="12" t="n">
        <f aca="false">IFERROR(IF(ISNUMBER(SEARCH("/",Raw_Data!E58)),DATE(VALUE(RIGHT(Raw_Data!E58,4)),VALUE(MID(Raw_Data!E58,FIND("/",Raw_Data!E58)+1,FIND("/",Raw_Data!E58,FIND("/",Raw_Data!E58)+1)-FIND("/",Raw_Data!E58)-1)),VALUE(LEFT(Raw_Data!E58,FIND("/",Raw_Data!E58)-1))),IF(ISNUMBER(VALUE(LEFT(Raw_Data!E58,4))),DATE(VALUE(LEFT(Raw_Data!E58,4)),VALUE(MID(Raw_Data!E58,6,2)),VALUE(MID(Raw_Data!E58,9,2))),DATEVALUE(Raw_Data!E58))),"")</f>
        <v>45484</v>
      </c>
      <c r="F58" s="11" t="str">
        <f aca="false">Raw_Data!F58</f>
        <v>Male 18-24</v>
      </c>
      <c r="G58" s="11" t="str">
        <f aca="false">IF(TRIM(Raw_Data!G58)="","Unspecified",IFERROR(INDEX(Lookup_Tables!$F$2:$F$24,MATCH(UPPER(TRIM(Raw_Data!G58)),Lookup_Tables!$G$2:$G$24,0)),"Unknown"))</f>
        <v>South</v>
      </c>
      <c r="H58" s="11" t="n">
        <f aca="false">IF(Raw_Data!H58="",ROUND(AVERAGEIFS(Raw_Data!$H$2:$H$839,Raw_Data!$C$2:$C$839,Raw_Data!C58),2),Raw_Data!H58)</f>
        <v>50405.87</v>
      </c>
      <c r="I58" s="11" t="n">
        <f aca="false">Raw_Data!I58</f>
        <v>2450674</v>
      </c>
      <c r="J58" s="11" t="n">
        <f aca="false">IF(Raw_Data!J58&lt;0,ABS(Raw_Data!J58),Raw_Data!J58)</f>
        <v>72662</v>
      </c>
      <c r="K58" s="11" t="n">
        <f aca="false">Raw_Data!K58</f>
        <v>4134</v>
      </c>
      <c r="L58" s="11" t="n">
        <f aca="false">IF(Raw_Data!L58="",ROUND(AVERAGEIFS(Raw_Data!$L$2:$L$839,Raw_Data!$C$2:$C$839,Raw_Data!C58),2),Raw_Data!L58)</f>
        <v>5818458.75</v>
      </c>
      <c r="M58" s="13" t="n">
        <f aca="false">IFERROR(J58/I58,0)</f>
        <v>0.0296498024625062</v>
      </c>
      <c r="N58" s="14" t="n">
        <f aca="false">IFERROR(H58/J58,0)</f>
        <v>0.693703311221822</v>
      </c>
      <c r="O58" s="14" t="n">
        <f aca="false">IFERROR(H58/K58,0)</f>
        <v>12.1930019351717</v>
      </c>
      <c r="P58" s="15" t="n">
        <f aca="false">IFERROR(L58/H58,0)</f>
        <v>115.432165936229</v>
      </c>
      <c r="Q58" s="13" t="n">
        <f aca="false">IFERROR(K58/J58,0)</f>
        <v>0.0568935619718698</v>
      </c>
      <c r="R58" s="11" t="str">
        <f aca="false">IF(COUNTIF($A$2:A58,A58)&gt;1,"Duplicate - Remove","Unique")</f>
        <v>Unique</v>
      </c>
      <c r="S58" s="11" t="str">
        <f aca="false">TRIM(IF(Raw_Data!G58="","Region missing; ","")&amp;IF(Raw_Data!H58="","Spend imputed; ","")&amp;IF(Raw_Data!L58="","Revenue imputed; ","")&amp;IF(Raw_Data!J58&lt;0,"Clicks corrected; ",""))</f>
        <v>Spend imputed;</v>
      </c>
    </row>
    <row r="59" customFormat="false" ht="15" hidden="false" customHeight="true" outlineLevel="0" collapsed="false">
      <c r="A59" s="11" t="n">
        <f aca="false">Raw_Data!A59</f>
        <v>1651</v>
      </c>
      <c r="B59" s="11" t="str">
        <f aca="false">PROPER(TRIM(Raw_Data!B59))</f>
        <v>Hair Care Revamp</v>
      </c>
      <c r="C59" s="11" t="str">
        <f aca="false">IFERROR(INDEX(Lookup_Tables!$B$2:$B$26,MATCH(UPPER(TRIM(Raw_Data!C59)),Lookup_Tables!$C$2:$C$26,0)),"Unknown")</f>
        <v>Google Ads</v>
      </c>
      <c r="D59" s="12" t="n">
        <f aca="false">IFERROR(IF(ISNUMBER(SEARCH("/",Raw_Data!D59)),DATE(VALUE(RIGHT(Raw_Data!D59,4)),VALUE(MID(Raw_Data!D59,FIND("/",Raw_Data!D59)+1,FIND("/",Raw_Data!D59,FIND("/",Raw_Data!D59)+1)-FIND("/",Raw_Data!D59)-1)),VALUE(LEFT(Raw_Data!D59,FIND("/",Raw_Data!D59)-1))),IF(ISNUMBER(VALUE(LEFT(Raw_Data!D59,4))),DATE(VALUE(LEFT(Raw_Data!D59,4)),VALUE(MID(Raw_Data!D59,6,2)),VALUE(MID(Raw_Data!D59,9,2))),DATEVALUE(Raw_Data!D59))),"")</f>
        <v>45476</v>
      </c>
      <c r="E59" s="12" t="n">
        <f aca="false">IFERROR(IF(ISNUMBER(SEARCH("/",Raw_Data!E59)),DATE(VALUE(RIGHT(Raw_Data!E59,4)),VALUE(MID(Raw_Data!E59,FIND("/",Raw_Data!E59)+1,FIND("/",Raw_Data!E59,FIND("/",Raw_Data!E59)+1)-FIND("/",Raw_Data!E59)-1)),VALUE(LEFT(Raw_Data!E59,FIND("/",Raw_Data!E59)-1))),IF(ISNUMBER(VALUE(LEFT(Raw_Data!E59,4))),DATE(VALUE(LEFT(Raw_Data!E59,4)),VALUE(MID(Raw_Data!E59,6,2)),VALUE(MID(Raw_Data!E59,9,2))),DATEVALUE(Raw_Data!E59))),"")</f>
        <v>45505</v>
      </c>
      <c r="F59" s="11" t="str">
        <f aca="false">Raw_Data!F59</f>
        <v>Male 35-44</v>
      </c>
      <c r="G59" s="11" t="str">
        <f aca="false">IF(TRIM(Raw_Data!G59)="","Unspecified",IFERROR(INDEX(Lookup_Tables!$F$2:$F$24,MATCH(UPPER(TRIM(Raw_Data!G59)),Lookup_Tables!$G$2:$G$24,0)),"Unknown"))</f>
        <v>South</v>
      </c>
      <c r="H59" s="11" t="n">
        <f aca="false">IF(Raw_Data!H59="",ROUND(AVERAGEIFS(Raw_Data!$H$2:$H$839,Raw_Data!$C$2:$C$839,Raw_Data!C59),2),Raw_Data!H59)</f>
        <v>62309.12</v>
      </c>
      <c r="I59" s="11" t="n">
        <f aca="false">Raw_Data!I59</f>
        <v>1269256</v>
      </c>
      <c r="J59" s="11" t="n">
        <f aca="false">IF(Raw_Data!J59&lt;0,ABS(Raw_Data!J59),Raw_Data!J59)</f>
        <v>18579</v>
      </c>
      <c r="K59" s="11" t="n">
        <f aca="false">Raw_Data!K59</f>
        <v>481</v>
      </c>
      <c r="L59" s="11" t="n">
        <f aca="false">IF(Raw_Data!L59="",ROUND(AVERAGEIFS(Raw_Data!$L$2:$L$839,Raw_Data!$C$2:$C$839,Raw_Data!C59),2),Raw_Data!L59)</f>
        <v>420969.04</v>
      </c>
      <c r="M59" s="13" t="n">
        <f aca="false">IFERROR(J59/I59,0)</f>
        <v>0.0146377090200874</v>
      </c>
      <c r="N59" s="14" t="n">
        <f aca="false">IFERROR(H59/J59,0)</f>
        <v>3.35373916787771</v>
      </c>
      <c r="O59" s="14" t="n">
        <f aca="false">IFERROR(H59/K59,0)</f>
        <v>129.54079002079</v>
      </c>
      <c r="P59" s="15" t="n">
        <f aca="false">IFERROR(L59/H59,0)</f>
        <v>6.75613842724789</v>
      </c>
      <c r="Q59" s="13" t="n">
        <f aca="false">IFERROR(K59/J59,0)</f>
        <v>0.0258894450723936</v>
      </c>
      <c r="R59" s="11" t="str">
        <f aca="false">IF(COUNTIF($A$2:A59,A59)&gt;1,"Duplicate - Remove","Unique")</f>
        <v>Unique</v>
      </c>
      <c r="S59" s="11" t="str">
        <f aca="false">TRIM(IF(Raw_Data!G59="","Region missing; ","")&amp;IF(Raw_Data!H59="","Spend imputed; ","")&amp;IF(Raw_Data!L59="","Revenue imputed; ","")&amp;IF(Raw_Data!J59&lt;0,"Clicks corrected; ",""))</f>
        <v/>
      </c>
    </row>
    <row r="60" customFormat="false" ht="15" hidden="false" customHeight="true" outlineLevel="0" collapsed="false">
      <c r="A60" s="11" t="n">
        <f aca="false">Raw_Data!A60</f>
        <v>1398</v>
      </c>
      <c r="B60" s="11" t="str">
        <f aca="false">PROPER(TRIM(Raw_Data!B60))</f>
        <v>Festive Gift Bundle</v>
      </c>
      <c r="C60" s="11" t="str">
        <f aca="false">IFERROR(INDEX(Lookup_Tables!$B$2:$B$26,MATCH(UPPER(TRIM(Raw_Data!C60)),Lookup_Tables!$C$2:$C$26,0)),"Unknown")</f>
        <v>Google Ads</v>
      </c>
      <c r="D60" s="12" t="n">
        <f aca="false">IFERROR(IF(ISNUMBER(SEARCH("/",Raw_Data!D60)),DATE(VALUE(RIGHT(Raw_Data!D60,4)),VALUE(MID(Raw_Data!D60,FIND("/",Raw_Data!D60)+1,FIND("/",Raw_Data!D60,FIND("/",Raw_Data!D60)+1)-FIND("/",Raw_Data!D60)-1)),VALUE(LEFT(Raw_Data!D60,FIND("/",Raw_Data!D60)-1))),IF(ISNUMBER(VALUE(LEFT(Raw_Data!D60,4))),DATE(VALUE(LEFT(Raw_Data!D60,4)),VALUE(MID(Raw_Data!D60,6,2)),VALUE(MID(Raw_Data!D60,9,2))),DATEVALUE(Raw_Data!D60))),"")</f>
        <v>45505</v>
      </c>
      <c r="E60" s="12" t="n">
        <f aca="false">IFERROR(IF(ISNUMBER(SEARCH("/",Raw_Data!E60)),DATE(VALUE(RIGHT(Raw_Data!E60,4)),VALUE(MID(Raw_Data!E60,FIND("/",Raw_Data!E60)+1,FIND("/",Raw_Data!E60,FIND("/",Raw_Data!E60)+1)-FIND("/",Raw_Data!E60)-1)),VALUE(LEFT(Raw_Data!E60,FIND("/",Raw_Data!E60)-1))),IF(ISNUMBER(VALUE(LEFT(Raw_Data!E60,4))),DATE(VALUE(LEFT(Raw_Data!E60,4)),VALUE(MID(Raw_Data!E60,6,2)),VALUE(MID(Raw_Data!E60,9,2))),DATEVALUE(Raw_Data!E60))),"")</f>
        <v>45525</v>
      </c>
      <c r="F60" s="11" t="str">
        <f aca="false">Raw_Data!F60</f>
        <v>Female 18-24</v>
      </c>
      <c r="G60" s="11" t="str">
        <f aca="false">IF(TRIM(Raw_Data!G60)="","Unspecified",IFERROR(INDEX(Lookup_Tables!$F$2:$F$24,MATCH(UPPER(TRIM(Raw_Data!G60)),Lookup_Tables!$G$2:$G$24,0)),"Unknown"))</f>
        <v>North</v>
      </c>
      <c r="H60" s="11" t="n">
        <f aca="false">IF(Raw_Data!H60="",ROUND(AVERAGEIFS(Raw_Data!$H$2:$H$839,Raw_Data!$C$2:$C$839,Raw_Data!C60),2),Raw_Data!H60)</f>
        <v>31679.13</v>
      </c>
      <c r="I60" s="11" t="n">
        <f aca="false">Raw_Data!I60</f>
        <v>833457</v>
      </c>
      <c r="J60" s="11" t="n">
        <f aca="false">IF(Raw_Data!J60&lt;0,ABS(Raw_Data!J60),Raw_Data!J60)</f>
        <v>12614</v>
      </c>
      <c r="K60" s="11" t="n">
        <f aca="false">Raw_Data!K60</f>
        <v>459</v>
      </c>
      <c r="L60" s="11" t="n">
        <f aca="false">IF(Raw_Data!L60="",ROUND(AVERAGEIFS(Raw_Data!$L$2:$L$839,Raw_Data!$C$2:$C$839,Raw_Data!C60),2),Raw_Data!L60)</f>
        <v>716024.85</v>
      </c>
      <c r="M60" s="13" t="n">
        <f aca="false">IFERROR(J60/I60,0)</f>
        <v>0.0151345540321816</v>
      </c>
      <c r="N60" s="14" t="n">
        <f aca="false">IFERROR(H60/J60,0)</f>
        <v>2.51142619311876</v>
      </c>
      <c r="O60" s="14" t="n">
        <f aca="false">IFERROR(H60/K60,0)</f>
        <v>69.0177124183007</v>
      </c>
      <c r="P60" s="15" t="n">
        <f aca="false">IFERROR(L60/H60,0)</f>
        <v>22.6024152178422</v>
      </c>
      <c r="Q60" s="13" t="n">
        <f aca="false">IFERROR(K60/J60,0)</f>
        <v>0.0363881401617251</v>
      </c>
      <c r="R60" s="11" t="str">
        <f aca="false">IF(COUNTIF($A$2:A60,A60)&gt;1,"Duplicate - Remove","Unique")</f>
        <v>Unique</v>
      </c>
      <c r="S60" s="11" t="str">
        <f aca="false">TRIM(IF(Raw_Data!G60="","Region missing; ","")&amp;IF(Raw_Data!H60="","Spend imputed; ","")&amp;IF(Raw_Data!L60="","Revenue imputed; ","")&amp;IF(Raw_Data!J60&lt;0,"Clicks corrected; ",""))</f>
        <v/>
      </c>
    </row>
    <row r="61" customFormat="false" ht="15" hidden="false" customHeight="true" outlineLevel="0" collapsed="false">
      <c r="A61" s="11" t="n">
        <f aca="false">Raw_Data!A61</f>
        <v>1144</v>
      </c>
      <c r="B61" s="11" t="str">
        <f aca="false">PROPER(TRIM(Raw_Data!B61))</f>
        <v>Wedding Season Special</v>
      </c>
      <c r="C61" s="11" t="str">
        <f aca="false">IFERROR(INDEX(Lookup_Tables!$B$2:$B$26,MATCH(UPPER(TRIM(Raw_Data!C61)),Lookup_Tables!$C$2:$C$26,0)),"Unknown")</f>
        <v>Instagram</v>
      </c>
      <c r="D61" s="12" t="n">
        <f aca="false">IFERROR(IF(ISNUMBER(SEARCH("/",Raw_Data!D61)),DATE(VALUE(RIGHT(Raw_Data!D61,4)),VALUE(MID(Raw_Data!D61,FIND("/",Raw_Data!D61)+1,FIND("/",Raw_Data!D61,FIND("/",Raw_Data!D61)+1)-FIND("/",Raw_Data!D61)-1)),VALUE(LEFT(Raw_Data!D61,FIND("/",Raw_Data!D61)-1))),IF(ISNUMBER(VALUE(LEFT(Raw_Data!D61,4))),DATE(VALUE(LEFT(Raw_Data!D61,4)),VALUE(MID(Raw_Data!D61,6,2)),VALUE(MID(Raw_Data!D61,9,2))),DATEVALUE(Raw_Data!D61))),"")</f>
        <v>45624</v>
      </c>
      <c r="E61" s="12" t="n">
        <f aca="false">IFERROR(IF(ISNUMBER(SEARCH("/",Raw_Data!E61)),DATE(VALUE(RIGHT(Raw_Data!E61,4)),VALUE(MID(Raw_Data!E61,FIND("/",Raw_Data!E61)+1,FIND("/",Raw_Data!E61,FIND("/",Raw_Data!E61)+1)-FIND("/",Raw_Data!E61)-1)),VALUE(LEFT(Raw_Data!E61,FIND("/",Raw_Data!E61)-1))),IF(ISNUMBER(VALUE(LEFT(Raw_Data!E61,4))),DATE(VALUE(LEFT(Raw_Data!E61,4)),VALUE(MID(Raw_Data!E61,6,2)),VALUE(MID(Raw_Data!E61,9,2))),DATEVALUE(Raw_Data!E61))),"")</f>
        <v>45638</v>
      </c>
      <c r="F61" s="11" t="str">
        <f aca="false">Raw_Data!F61</f>
        <v>Female 35-44</v>
      </c>
      <c r="G61" s="11" t="str">
        <f aca="false">IF(TRIM(Raw_Data!G61)="","Unspecified",IFERROR(INDEX(Lookup_Tables!$F$2:$F$24,MATCH(UPPER(TRIM(Raw_Data!G61)),Lookup_Tables!$G$2:$G$24,0)),"Unknown"))</f>
        <v>North</v>
      </c>
      <c r="H61" s="11" t="n">
        <f aca="false">IF(Raw_Data!H61="",ROUND(AVERAGEIFS(Raw_Data!$H$2:$H$839,Raw_Data!$C$2:$C$839,Raw_Data!C61),2),Raw_Data!H61)</f>
        <v>53470.02</v>
      </c>
      <c r="I61" s="11" t="n">
        <f aca="false">Raw_Data!I61</f>
        <v>1973839</v>
      </c>
      <c r="J61" s="11" t="n">
        <f aca="false">IF(Raw_Data!J61&lt;0,ABS(Raw_Data!J61),Raw_Data!J61)</f>
        <v>15396</v>
      </c>
      <c r="K61" s="11" t="n">
        <f aca="false">Raw_Data!K61</f>
        <v>542</v>
      </c>
      <c r="L61" s="11" t="n">
        <f aca="false">IF(Raw_Data!L61="",ROUND(AVERAGEIFS(Raw_Data!$L$2:$L$839,Raw_Data!$C$2:$C$839,Raw_Data!C61),2),Raw_Data!L61)</f>
        <v>254474.3</v>
      </c>
      <c r="M61" s="13" t="n">
        <f aca="false">IFERROR(J61/I61,0)</f>
        <v>0.0078000282697829</v>
      </c>
      <c r="N61" s="14" t="n">
        <f aca="false">IFERROR(H61/J61,0)</f>
        <v>3.47298129384256</v>
      </c>
      <c r="O61" s="14" t="n">
        <f aca="false">IFERROR(H61/K61,0)</f>
        <v>98.6531734317343</v>
      </c>
      <c r="P61" s="15" t="n">
        <f aca="false">IFERROR(L61/H61,0)</f>
        <v>4.75919590080572</v>
      </c>
      <c r="Q61" s="13" t="n">
        <f aca="false">IFERROR(K61/J61,0)</f>
        <v>0.0352039490776825</v>
      </c>
      <c r="R61" s="11" t="str">
        <f aca="false">IF(COUNTIF($A$2:A61,A61)&gt;1,"Duplicate - Remove","Unique")</f>
        <v>Unique</v>
      </c>
      <c r="S61" s="11" t="str">
        <f aca="false">TRIM(IF(Raw_Data!G61="","Region missing; ","")&amp;IF(Raw_Data!H61="","Spend imputed; ","")&amp;IF(Raw_Data!L61="","Revenue imputed; ","")&amp;IF(Raw_Data!J61&lt;0,"Clicks corrected; ",""))</f>
        <v/>
      </c>
    </row>
    <row r="62" customFormat="false" ht="15" hidden="false" customHeight="true" outlineLevel="0" collapsed="false">
      <c r="A62" s="11" t="n">
        <f aca="false">Raw_Data!A62</f>
        <v>1502</v>
      </c>
      <c r="B62" s="11" t="str">
        <f aca="false">PROPER(TRIM(Raw_Data!B62))</f>
        <v>Clearance Sale Push</v>
      </c>
      <c r="C62" s="11" t="str">
        <f aca="false">IFERROR(INDEX(Lookup_Tables!$B$2:$B$26,MATCH(UPPER(TRIM(Raw_Data!C62)),Lookup_Tables!$C$2:$C$26,0)),"Unknown")</f>
        <v>Email</v>
      </c>
      <c r="D62" s="12" t="n">
        <f aca="false">IFERROR(IF(ISNUMBER(SEARCH("/",Raw_Data!D62)),DATE(VALUE(RIGHT(Raw_Data!D62,4)),VALUE(MID(Raw_Data!D62,FIND("/",Raw_Data!D62)+1,FIND("/",Raw_Data!D62,FIND("/",Raw_Data!D62)+1)-FIND("/",Raw_Data!D62)-1)),VALUE(LEFT(Raw_Data!D62,FIND("/",Raw_Data!D62)-1))),IF(ISNUMBER(VALUE(LEFT(Raw_Data!D62,4))),DATE(VALUE(LEFT(Raw_Data!D62,4)),VALUE(MID(Raw_Data!D62,6,2)),VALUE(MID(Raw_Data!D62,9,2))),DATEVALUE(Raw_Data!D62))),"")</f>
        <v>45372</v>
      </c>
      <c r="E62" s="12" t="n">
        <f aca="false">IFERROR(IF(ISNUMBER(SEARCH("/",Raw_Data!E62)),DATE(VALUE(RIGHT(Raw_Data!E62,4)),VALUE(MID(Raw_Data!E62,FIND("/",Raw_Data!E62)+1,FIND("/",Raw_Data!E62,FIND("/",Raw_Data!E62)+1)-FIND("/",Raw_Data!E62)-1)),VALUE(LEFT(Raw_Data!E62,FIND("/",Raw_Data!E62)-1))),IF(ISNUMBER(VALUE(LEFT(Raw_Data!E62,4))),DATE(VALUE(LEFT(Raw_Data!E62,4)),VALUE(MID(Raw_Data!E62,6,2)),VALUE(MID(Raw_Data!E62,9,2))),DATEVALUE(Raw_Data!E62))),"")</f>
        <v>45385</v>
      </c>
      <c r="F62" s="11" t="str">
        <f aca="false">Raw_Data!F62</f>
        <v>Female 45+</v>
      </c>
      <c r="G62" s="11" t="str">
        <f aca="false">IF(TRIM(Raw_Data!G62)="","Unspecified",IFERROR(INDEX(Lookup_Tables!$F$2:$F$24,MATCH(UPPER(TRIM(Raw_Data!G62)),Lookup_Tables!$G$2:$G$24,0)),"Unknown"))</f>
        <v>Central</v>
      </c>
      <c r="H62" s="11" t="n">
        <f aca="false">IF(Raw_Data!H62="",ROUND(AVERAGEIFS(Raw_Data!$H$2:$H$839,Raw_Data!$C$2:$C$839,Raw_Data!C62),2),Raw_Data!H62)</f>
        <v>4650.51</v>
      </c>
      <c r="I62" s="11" t="n">
        <f aca="false">Raw_Data!I62</f>
        <v>183454</v>
      </c>
      <c r="J62" s="11" t="n">
        <f aca="false">IF(Raw_Data!J62&lt;0,ABS(Raw_Data!J62),Raw_Data!J62)</f>
        <v>1605</v>
      </c>
      <c r="K62" s="11" t="n">
        <f aca="false">Raw_Data!K62</f>
        <v>39</v>
      </c>
      <c r="L62" s="11" t="n">
        <f aca="false">IF(Raw_Data!L62="",ROUND(AVERAGEIFS(Raw_Data!$L$2:$L$839,Raw_Data!$C$2:$C$839,Raw_Data!C62),2),Raw_Data!L62)</f>
        <v>48656.92</v>
      </c>
      <c r="M62" s="13" t="n">
        <f aca="false">IFERROR(J62/I62,0)</f>
        <v>0.00874878716190435</v>
      </c>
      <c r="N62" s="14" t="n">
        <f aca="false">IFERROR(H62/J62,0)</f>
        <v>2.89751401869159</v>
      </c>
      <c r="O62" s="14" t="n">
        <f aca="false">IFERROR(H62/K62,0)</f>
        <v>119.243846153846</v>
      </c>
      <c r="P62" s="15" t="n">
        <f aca="false">IFERROR(L62/H62,0)</f>
        <v>10.4627062408209</v>
      </c>
      <c r="Q62" s="13" t="n">
        <f aca="false">IFERROR(K62/J62,0)</f>
        <v>0.0242990654205607</v>
      </c>
      <c r="R62" s="11" t="str">
        <f aca="false">IF(COUNTIF($A$2:A62,A62)&gt;1,"Duplicate - Remove","Unique")</f>
        <v>Unique</v>
      </c>
      <c r="S62" s="11" t="str">
        <f aca="false">TRIM(IF(Raw_Data!G62="","Region missing; ","")&amp;IF(Raw_Data!H62="","Spend imputed; ","")&amp;IF(Raw_Data!L62="","Revenue imputed; ","")&amp;IF(Raw_Data!J62&lt;0,"Clicks corrected; ",""))</f>
        <v/>
      </c>
    </row>
    <row r="63" customFormat="false" ht="15" hidden="false" customHeight="true" outlineLevel="0" collapsed="false">
      <c r="A63" s="11" t="n">
        <f aca="false">Raw_Data!A63</f>
        <v>1541</v>
      </c>
      <c r="B63" s="11" t="str">
        <f aca="false">PROPER(TRIM(Raw_Data!B63))</f>
        <v>Men'S Grooming Drive</v>
      </c>
      <c r="C63" s="11" t="str">
        <f aca="false">IFERROR(INDEX(Lookup_Tables!$B$2:$B$26,MATCH(UPPER(TRIM(Raw_Data!C63)),Lookup_Tables!$C$2:$C$26,0)),"Unknown")</f>
        <v>Instagram</v>
      </c>
      <c r="D63" s="12" t="n">
        <f aca="false">IFERROR(IF(ISNUMBER(SEARCH("/",Raw_Data!D63)),DATE(VALUE(RIGHT(Raw_Data!D63,4)),VALUE(MID(Raw_Data!D63,FIND("/",Raw_Data!D63)+1,FIND("/",Raw_Data!D63,FIND("/",Raw_Data!D63)+1)-FIND("/",Raw_Data!D63)-1)),VALUE(LEFT(Raw_Data!D63,FIND("/",Raw_Data!D63)-1))),IF(ISNUMBER(VALUE(LEFT(Raw_Data!D63,4))),DATE(VALUE(LEFT(Raw_Data!D63,4)),VALUE(MID(Raw_Data!D63,6,2)),VALUE(MID(Raw_Data!D63,9,2))),DATEVALUE(Raw_Data!D63))),"")</f>
        <v>45590</v>
      </c>
      <c r="E63" s="12" t="n">
        <f aca="false">IFERROR(IF(ISNUMBER(SEARCH("/",Raw_Data!E63)),DATE(VALUE(RIGHT(Raw_Data!E63,4)),VALUE(MID(Raw_Data!E63,FIND("/",Raw_Data!E63)+1,FIND("/",Raw_Data!E63,FIND("/",Raw_Data!E63)+1)-FIND("/",Raw_Data!E63)-1)),VALUE(LEFT(Raw_Data!E63,FIND("/",Raw_Data!E63)-1))),IF(ISNUMBER(VALUE(LEFT(Raw_Data!E63,4))),DATE(VALUE(LEFT(Raw_Data!E63,4)),VALUE(MID(Raw_Data!E63,6,2)),VALUE(MID(Raw_Data!E63,9,2))),DATEVALUE(Raw_Data!E63))),"")</f>
        <v>45595</v>
      </c>
      <c r="F63" s="11" t="str">
        <f aca="false">Raw_Data!F63</f>
        <v>Male 45+</v>
      </c>
      <c r="G63" s="11" t="str">
        <f aca="false">IF(TRIM(Raw_Data!G63)="","Unspecified",IFERROR(INDEX(Lookup_Tables!$F$2:$F$24,MATCH(UPPER(TRIM(Raw_Data!G63)),Lookup_Tables!$G$2:$G$24,0)),"Unknown"))</f>
        <v>North</v>
      </c>
      <c r="H63" s="11" t="n">
        <f aca="false">IF(Raw_Data!H63="",ROUND(AVERAGEIFS(Raw_Data!$H$2:$H$839,Raw_Data!$C$2:$C$839,Raw_Data!C63),2),Raw_Data!H63)</f>
        <v>53407.36</v>
      </c>
      <c r="I63" s="11" t="n">
        <f aca="false">Raw_Data!I63</f>
        <v>1432075</v>
      </c>
      <c r="J63" s="11" t="n">
        <f aca="false">IF(Raw_Data!J63&lt;0,ABS(Raw_Data!J63),Raw_Data!J63)</f>
        <v>9101</v>
      </c>
      <c r="K63" s="11" t="n">
        <f aca="false">Raw_Data!K63</f>
        <v>102</v>
      </c>
      <c r="L63" s="11" t="n">
        <f aca="false">IF(Raw_Data!L63="",ROUND(AVERAGEIFS(Raw_Data!$L$2:$L$839,Raw_Data!$C$2:$C$839,Raw_Data!C63),2),Raw_Data!L63)</f>
        <v>136278.84</v>
      </c>
      <c r="M63" s="13" t="n">
        <f aca="false">IFERROR(J63/I63,0)</f>
        <v>0.00635511408271215</v>
      </c>
      <c r="N63" s="14" t="n">
        <f aca="false">IFERROR(H63/J63,0)</f>
        <v>5.86829579167125</v>
      </c>
      <c r="O63" s="14" t="n">
        <f aca="false">IFERROR(H63/K63,0)</f>
        <v>523.601568627451</v>
      </c>
      <c r="P63" s="15" t="n">
        <f aca="false">IFERROR(L63/H63,0)</f>
        <v>2.55168650912533</v>
      </c>
      <c r="Q63" s="13" t="n">
        <f aca="false">IFERROR(K63/J63,0)</f>
        <v>0.0112075596088342</v>
      </c>
      <c r="R63" s="11" t="str">
        <f aca="false">IF(COUNTIF($A$2:A63,A63)&gt;1,"Duplicate - Remove","Unique")</f>
        <v>Unique</v>
      </c>
      <c r="S63" s="11" t="str">
        <f aca="false">TRIM(IF(Raw_Data!G63="","Region missing; ","")&amp;IF(Raw_Data!H63="","Spend imputed; ","")&amp;IF(Raw_Data!L63="","Revenue imputed; ","")&amp;IF(Raw_Data!J63&lt;0,"Clicks corrected; ",""))</f>
        <v/>
      </c>
    </row>
    <row r="64" customFormat="false" ht="15" hidden="false" customHeight="true" outlineLevel="0" collapsed="false">
      <c r="A64" s="11" t="n">
        <f aca="false">Raw_Data!A64</f>
        <v>1730</v>
      </c>
      <c r="B64" s="11" t="str">
        <f aca="false">PROPER(TRIM(Raw_Data!B64))</f>
        <v>Hair Care Revamp</v>
      </c>
      <c r="C64" s="11" t="str">
        <f aca="false">IFERROR(INDEX(Lookup_Tables!$B$2:$B$26,MATCH(UPPER(TRIM(Raw_Data!C64)),Lookup_Tables!$C$2:$C$26,0)),"Unknown")</f>
        <v>Email</v>
      </c>
      <c r="D64" s="12" t="n">
        <f aca="false">IFERROR(IF(ISNUMBER(SEARCH("/",Raw_Data!D64)),DATE(VALUE(RIGHT(Raw_Data!D64,4)),VALUE(MID(Raw_Data!D64,FIND("/",Raw_Data!D64)+1,FIND("/",Raw_Data!D64,FIND("/",Raw_Data!D64)+1)-FIND("/",Raw_Data!D64)-1)),VALUE(LEFT(Raw_Data!D64,FIND("/",Raw_Data!D64)-1))),IF(ISNUMBER(VALUE(LEFT(Raw_Data!D64,4))),DATE(VALUE(LEFT(Raw_Data!D64,4)),VALUE(MID(Raw_Data!D64,6,2)),VALUE(MID(Raw_Data!D64,9,2))),DATEVALUE(Raw_Data!D64))),"")</f>
        <v>45408</v>
      </c>
      <c r="E64" s="12" t="n">
        <f aca="false">IFERROR(IF(ISNUMBER(SEARCH("/",Raw_Data!E64)),DATE(VALUE(RIGHT(Raw_Data!E64,4)),VALUE(MID(Raw_Data!E64,FIND("/",Raw_Data!E64)+1,FIND("/",Raw_Data!E64,FIND("/",Raw_Data!E64)+1)-FIND("/",Raw_Data!E64)-1)),VALUE(LEFT(Raw_Data!E64,FIND("/",Raw_Data!E64)-1))),IF(ISNUMBER(VALUE(LEFT(Raw_Data!E64,4))),DATE(VALUE(LEFT(Raw_Data!E64,4)),VALUE(MID(Raw_Data!E64,6,2)),VALUE(MID(Raw_Data!E64,9,2))),DATEVALUE(Raw_Data!E64))),"")</f>
        <v>45420</v>
      </c>
      <c r="F64" s="11" t="str">
        <f aca="false">Raw_Data!F64</f>
        <v>Male 25-34</v>
      </c>
      <c r="G64" s="11" t="str">
        <f aca="false">IF(TRIM(Raw_Data!G64)="","Unspecified",IFERROR(INDEX(Lookup_Tables!$F$2:$F$24,MATCH(UPPER(TRIM(Raw_Data!G64)),Lookup_Tables!$G$2:$G$24,0)),"Unknown"))</f>
        <v>West</v>
      </c>
      <c r="H64" s="11" t="n">
        <f aca="false">IF(Raw_Data!H64="",ROUND(AVERAGEIFS(Raw_Data!$H$2:$H$839,Raw_Data!$C$2:$C$839,Raw_Data!C64),2),Raw_Data!H64)</f>
        <v>5513.31</v>
      </c>
      <c r="I64" s="11" t="n">
        <f aca="false">Raw_Data!I64</f>
        <v>159566</v>
      </c>
      <c r="J64" s="11" t="n">
        <f aca="false">IF(Raw_Data!J64&lt;0,ABS(Raw_Data!J64),Raw_Data!J64)</f>
        <v>1049</v>
      </c>
      <c r="K64" s="11" t="n">
        <f aca="false">Raw_Data!K64</f>
        <v>72</v>
      </c>
      <c r="L64" s="11" t="n">
        <f aca="false">IF(Raw_Data!L64="",ROUND(AVERAGEIFS(Raw_Data!$L$2:$L$839,Raw_Data!$C$2:$C$839,Raw_Data!C64),2),Raw_Data!L64)</f>
        <v>48744.27</v>
      </c>
      <c r="M64" s="13" t="n">
        <f aca="false">IFERROR(J64/I64,0)</f>
        <v>0.00657408219796197</v>
      </c>
      <c r="N64" s="14" t="n">
        <f aca="false">IFERROR(H64/J64,0)</f>
        <v>5.25577693040991</v>
      </c>
      <c r="O64" s="14" t="n">
        <f aca="false">IFERROR(H64/K64,0)</f>
        <v>76.57375</v>
      </c>
      <c r="P64" s="15" t="n">
        <f aca="false">IFERROR(L64/H64,0)</f>
        <v>8.84119884425146</v>
      </c>
      <c r="Q64" s="13" t="n">
        <f aca="false">IFERROR(K64/J64,0)</f>
        <v>0.0686367969494757</v>
      </c>
      <c r="R64" s="11" t="str">
        <f aca="false">IF(COUNTIF($A$2:A64,A64)&gt;1,"Duplicate - Remove","Unique")</f>
        <v>Unique</v>
      </c>
      <c r="S64" s="11" t="str">
        <f aca="false">TRIM(IF(Raw_Data!G64="","Region missing; ","")&amp;IF(Raw_Data!H64="","Spend imputed; ","")&amp;IF(Raw_Data!L64="","Revenue imputed; ","")&amp;IF(Raw_Data!J64&lt;0,"Clicks corrected; ",""))</f>
        <v/>
      </c>
    </row>
    <row r="65" customFormat="false" ht="15" hidden="false" customHeight="true" outlineLevel="0" collapsed="false">
      <c r="A65" s="11" t="n">
        <f aca="false">Raw_Data!A65</f>
        <v>1236</v>
      </c>
      <c r="B65" s="11" t="str">
        <f aca="false">PROPER(TRIM(Raw_Data!B65))</f>
        <v>New Year Wellness</v>
      </c>
      <c r="C65" s="11" t="str">
        <f aca="false">IFERROR(INDEX(Lookup_Tables!$B$2:$B$26,MATCH(UPPER(TRIM(Raw_Data!C65)),Lookup_Tables!$C$2:$C$26,0)),"Unknown")</f>
        <v>Google Ads</v>
      </c>
      <c r="D65" s="12" t="n">
        <f aca="false">IFERROR(IF(ISNUMBER(SEARCH("/",Raw_Data!D65)),DATE(VALUE(RIGHT(Raw_Data!D65,4)),VALUE(MID(Raw_Data!D65,FIND("/",Raw_Data!D65)+1,FIND("/",Raw_Data!D65,FIND("/",Raw_Data!D65)+1)-FIND("/",Raw_Data!D65)-1)),VALUE(LEFT(Raw_Data!D65,FIND("/",Raw_Data!D65)-1))),IF(ISNUMBER(VALUE(LEFT(Raw_Data!D65,4))),DATE(VALUE(LEFT(Raw_Data!D65,4)),VALUE(MID(Raw_Data!D65,6,2)),VALUE(MID(Raw_Data!D65,9,2))),DATEVALUE(Raw_Data!D65))),"")</f>
        <v>45415</v>
      </c>
      <c r="E65" s="12" t="n">
        <f aca="false">IFERROR(IF(ISNUMBER(SEARCH("/",Raw_Data!E65)),DATE(VALUE(RIGHT(Raw_Data!E65,4)),VALUE(MID(Raw_Data!E65,FIND("/",Raw_Data!E65)+1,FIND("/",Raw_Data!E65,FIND("/",Raw_Data!E65)+1)-FIND("/",Raw_Data!E65)-1)),VALUE(LEFT(Raw_Data!E65,FIND("/",Raw_Data!E65)-1))),IF(ISNUMBER(VALUE(LEFT(Raw_Data!E65,4))),DATE(VALUE(LEFT(Raw_Data!E65,4)),VALUE(MID(Raw_Data!E65,6,2)),VALUE(MID(Raw_Data!E65,9,2))),DATEVALUE(Raw_Data!E65))),"")</f>
        <v>45428</v>
      </c>
      <c r="F65" s="11" t="str">
        <f aca="false">Raw_Data!F65</f>
        <v>Male 18-24</v>
      </c>
      <c r="G65" s="11" t="str">
        <f aca="false">IF(TRIM(Raw_Data!G65)="","Unspecified",IFERROR(INDEX(Lookup_Tables!$F$2:$F$24,MATCH(UPPER(TRIM(Raw_Data!G65)),Lookup_Tables!$G$2:$G$24,0)),"Unknown"))</f>
        <v>South</v>
      </c>
      <c r="H65" s="11" t="n">
        <f aca="false">IF(Raw_Data!H65="",ROUND(AVERAGEIFS(Raw_Data!$H$2:$H$839,Raw_Data!$C$2:$C$839,Raw_Data!C65),2),Raw_Data!H65)</f>
        <v>26044.53</v>
      </c>
      <c r="I65" s="11" t="n">
        <f aca="false">Raw_Data!I65</f>
        <v>934308</v>
      </c>
      <c r="J65" s="11" t="n">
        <f aca="false">IF(Raw_Data!J65&lt;0,ABS(Raw_Data!J65),Raw_Data!J65)</f>
        <v>28113</v>
      </c>
      <c r="K65" s="11" t="n">
        <f aca="false">Raw_Data!K65</f>
        <v>981</v>
      </c>
      <c r="L65" s="11" t="n">
        <f aca="false">IF(Raw_Data!L65="",ROUND(AVERAGEIFS(Raw_Data!$L$2:$L$839,Raw_Data!$C$2:$C$839,Raw_Data!C65),2),Raw_Data!L65)</f>
        <v>1451351.04</v>
      </c>
      <c r="M65" s="13" t="n">
        <f aca="false">IFERROR(J65/I65,0)</f>
        <v>0.0300896492377246</v>
      </c>
      <c r="N65" s="14" t="n">
        <f aca="false">IFERROR(H65/J65,0)</f>
        <v>0.926423007149717</v>
      </c>
      <c r="O65" s="14" t="n">
        <f aca="false">IFERROR(H65/K65,0)</f>
        <v>26.5489602446483</v>
      </c>
      <c r="P65" s="15" t="n">
        <f aca="false">IFERROR(L65/H65,0)</f>
        <v>55.7257527780306</v>
      </c>
      <c r="Q65" s="13" t="n">
        <f aca="false">IFERROR(K65/J65,0)</f>
        <v>0.0348948884857539</v>
      </c>
      <c r="R65" s="11" t="str">
        <f aca="false">IF(COUNTIF($A$2:A65,A65)&gt;1,"Duplicate - Remove","Unique")</f>
        <v>Unique</v>
      </c>
      <c r="S65" s="11" t="str">
        <f aca="false">TRIM(IF(Raw_Data!G65="","Region missing; ","")&amp;IF(Raw_Data!H65="","Spend imputed; ","")&amp;IF(Raw_Data!L65="","Revenue imputed; ","")&amp;IF(Raw_Data!J65&lt;0,"Clicks corrected; ",""))</f>
        <v/>
      </c>
    </row>
    <row r="66" customFormat="false" ht="15" hidden="false" customHeight="true" outlineLevel="0" collapsed="false">
      <c r="A66" s="11" t="n">
        <f aca="false">Raw_Data!A66</f>
        <v>1788</v>
      </c>
      <c r="B66" s="11" t="str">
        <f aca="false">PROPER(TRIM(Raw_Data!B66))</f>
        <v>Back To College Offer</v>
      </c>
      <c r="C66" s="11" t="str">
        <f aca="false">IFERROR(INDEX(Lookup_Tables!$B$2:$B$26,MATCH(UPPER(TRIM(Raw_Data!C66)),Lookup_Tables!$C$2:$C$26,0)),"Unknown")</f>
        <v>Google Ads</v>
      </c>
      <c r="D66" s="12" t="n">
        <f aca="false">IFERROR(IF(ISNUMBER(SEARCH("/",Raw_Data!D66)),DATE(VALUE(RIGHT(Raw_Data!D66,4)),VALUE(MID(Raw_Data!D66,FIND("/",Raw_Data!D66)+1,FIND("/",Raw_Data!D66,FIND("/",Raw_Data!D66)+1)-FIND("/",Raw_Data!D66)-1)),VALUE(LEFT(Raw_Data!D66,FIND("/",Raw_Data!D66)-1))),IF(ISNUMBER(VALUE(LEFT(Raw_Data!D66,4))),DATE(VALUE(LEFT(Raw_Data!D66,4)),VALUE(MID(Raw_Data!D66,6,2)),VALUE(MID(Raw_Data!D66,9,2))),DATEVALUE(Raw_Data!D66))),"")</f>
        <v>45463</v>
      </c>
      <c r="E66" s="12" t="n">
        <f aca="false">IFERROR(IF(ISNUMBER(SEARCH("/",Raw_Data!E66)),DATE(VALUE(RIGHT(Raw_Data!E66,4)),VALUE(MID(Raw_Data!E66,FIND("/",Raw_Data!E66)+1,FIND("/",Raw_Data!E66,FIND("/",Raw_Data!E66)+1)-FIND("/",Raw_Data!E66)-1)),VALUE(LEFT(Raw_Data!E66,FIND("/",Raw_Data!E66)-1))),IF(ISNUMBER(VALUE(LEFT(Raw_Data!E66,4))),DATE(VALUE(LEFT(Raw_Data!E66,4)),VALUE(MID(Raw_Data!E66,6,2)),VALUE(MID(Raw_Data!E66,9,2))),DATEVALUE(Raw_Data!E66))),"")</f>
        <v>45472</v>
      </c>
      <c r="F66" s="11" t="str">
        <f aca="false">Raw_Data!F66</f>
        <v>Male 45+</v>
      </c>
      <c r="G66" s="11" t="str">
        <f aca="false">IF(TRIM(Raw_Data!G66)="","Unspecified",IFERROR(INDEX(Lookup_Tables!$F$2:$F$24,MATCH(UPPER(TRIM(Raw_Data!G66)),Lookup_Tables!$G$2:$G$24,0)),"Unknown"))</f>
        <v>South</v>
      </c>
      <c r="H66" s="11" t="n">
        <f aca="false">IF(Raw_Data!H66="",ROUND(AVERAGEIFS(Raw_Data!$H$2:$H$839,Raw_Data!$C$2:$C$839,Raw_Data!C66),2),Raw_Data!H66)</f>
        <v>71895.34</v>
      </c>
      <c r="I66" s="11" t="n">
        <f aca="false">Raw_Data!I66</f>
        <v>1509844</v>
      </c>
      <c r="J66" s="11" t="n">
        <f aca="false">IF(Raw_Data!J66&lt;0,ABS(Raw_Data!J66),Raw_Data!J66)</f>
        <v>34904</v>
      </c>
      <c r="K66" s="11" t="n">
        <f aca="false">Raw_Data!K66</f>
        <v>2687</v>
      </c>
      <c r="L66" s="11" t="n">
        <f aca="false">IF(Raw_Data!L66="",ROUND(AVERAGEIFS(Raw_Data!$L$2:$L$839,Raw_Data!$C$2:$C$839,Raw_Data!C66),2),Raw_Data!L66)</f>
        <v>4475453.76</v>
      </c>
      <c r="M66" s="13" t="n">
        <f aca="false">IFERROR(J66/I66,0)</f>
        <v>0.0231176200985002</v>
      </c>
      <c r="N66" s="14" t="n">
        <f aca="false">IFERROR(H66/J66,0)</f>
        <v>2.05980231492093</v>
      </c>
      <c r="O66" s="14" t="n">
        <f aca="false">IFERROR(H66/K66,0)</f>
        <v>26.7567324153331</v>
      </c>
      <c r="P66" s="15" t="n">
        <f aca="false">IFERROR(L66/H66,0)</f>
        <v>62.2495666617614</v>
      </c>
      <c r="Q66" s="13" t="n">
        <f aca="false">IFERROR(K66/J66,0)</f>
        <v>0.0769825807930323</v>
      </c>
      <c r="R66" s="11" t="str">
        <f aca="false">IF(COUNTIF($A$2:A66,A66)&gt;1,"Duplicate - Remove","Unique")</f>
        <v>Unique</v>
      </c>
      <c r="S66" s="11" t="str">
        <f aca="false">TRIM(IF(Raw_Data!G66="","Region missing; ","")&amp;IF(Raw_Data!H66="","Spend imputed; ","")&amp;IF(Raw_Data!L66="","Revenue imputed; ","")&amp;IF(Raw_Data!J66&lt;0,"Clicks corrected; ",""))</f>
        <v/>
      </c>
    </row>
    <row r="67" customFormat="false" ht="15" hidden="false" customHeight="true" outlineLevel="0" collapsed="false">
      <c r="A67" s="11" t="n">
        <f aca="false">Raw_Data!A67</f>
        <v>1148</v>
      </c>
      <c r="B67" s="11" t="str">
        <f aca="false">PROPER(TRIM(Raw_Data!B67))</f>
        <v>New Year Wellness</v>
      </c>
      <c r="C67" s="11" t="str">
        <f aca="false">IFERROR(INDEX(Lookup_Tables!$B$2:$B$26,MATCH(UPPER(TRIM(Raw_Data!C67)),Lookup_Tables!$C$2:$C$26,0)),"Unknown")</f>
        <v>Instagram</v>
      </c>
      <c r="D67" s="12" t="n">
        <f aca="false">IFERROR(IF(ISNUMBER(SEARCH("/",Raw_Data!D67)),DATE(VALUE(RIGHT(Raw_Data!D67,4)),VALUE(MID(Raw_Data!D67,FIND("/",Raw_Data!D67)+1,FIND("/",Raw_Data!D67,FIND("/",Raw_Data!D67)+1)-FIND("/",Raw_Data!D67)-1)),VALUE(LEFT(Raw_Data!D67,FIND("/",Raw_Data!D67)-1))),IF(ISNUMBER(VALUE(LEFT(Raw_Data!D67,4))),DATE(VALUE(LEFT(Raw_Data!D67,4)),VALUE(MID(Raw_Data!D67,6,2)),VALUE(MID(Raw_Data!D67,9,2))),DATEVALUE(Raw_Data!D67))),"")</f>
        <v>45545</v>
      </c>
      <c r="E67" s="12" t="n">
        <f aca="false">IFERROR(IF(ISNUMBER(SEARCH("/",Raw_Data!E67)),DATE(VALUE(RIGHT(Raw_Data!E67,4)),VALUE(MID(Raw_Data!E67,FIND("/",Raw_Data!E67)+1,FIND("/",Raw_Data!E67,FIND("/",Raw_Data!E67)+1)-FIND("/",Raw_Data!E67)-1)),VALUE(LEFT(Raw_Data!E67,FIND("/",Raw_Data!E67)-1))),IF(ISNUMBER(VALUE(LEFT(Raw_Data!E67,4))),DATE(VALUE(LEFT(Raw_Data!E67,4)),VALUE(MID(Raw_Data!E67,6,2)),VALUE(MID(Raw_Data!E67,9,2))),DATEVALUE(Raw_Data!E67))),"")</f>
        <v>45562</v>
      </c>
      <c r="F67" s="11" t="str">
        <f aca="false">Raw_Data!F67</f>
        <v>Male 18-24</v>
      </c>
      <c r="G67" s="11" t="str">
        <f aca="false">IF(TRIM(Raw_Data!G67)="","Unspecified",IFERROR(INDEX(Lookup_Tables!$F$2:$F$24,MATCH(UPPER(TRIM(Raw_Data!G67)),Lookup_Tables!$G$2:$G$24,0)),"Unknown"))</f>
        <v>West</v>
      </c>
      <c r="H67" s="11" t="n">
        <f aca="false">IF(Raw_Data!H67="",ROUND(AVERAGEIFS(Raw_Data!$H$2:$H$839,Raw_Data!$C$2:$C$839,Raw_Data!C67),2),Raw_Data!H67)</f>
        <v>20536.25</v>
      </c>
      <c r="I67" s="11" t="n">
        <f aca="false">Raw_Data!I67</f>
        <v>635639</v>
      </c>
      <c r="J67" s="11" t="n">
        <f aca="false">IF(Raw_Data!J67&lt;0,ABS(Raw_Data!J67),Raw_Data!J67)</f>
        <v>4532</v>
      </c>
      <c r="K67" s="11" t="n">
        <f aca="false">Raw_Data!K67</f>
        <v>327</v>
      </c>
      <c r="L67" s="11" t="n">
        <f aca="false">IF(Raw_Data!L67="",ROUND(AVERAGEIFS(Raw_Data!$L$2:$L$839,Raw_Data!$C$2:$C$839,Raw_Data!C67),2),Raw_Data!L67)</f>
        <v>120171.57</v>
      </c>
      <c r="M67" s="13" t="n">
        <f aca="false">IFERROR(J67/I67,0)</f>
        <v>0.00712983312855253</v>
      </c>
      <c r="N67" s="14" t="n">
        <f aca="false">IFERROR(H67/J67,0)</f>
        <v>4.5313879082083</v>
      </c>
      <c r="O67" s="14" t="n">
        <f aca="false">IFERROR(H67/K67,0)</f>
        <v>62.8019877675841</v>
      </c>
      <c r="P67" s="15" t="n">
        <f aca="false">IFERROR(L67/H67,0)</f>
        <v>5.85168032138292</v>
      </c>
      <c r="Q67" s="13" t="n">
        <f aca="false">IFERROR(K67/J67,0)</f>
        <v>0.0721535745807591</v>
      </c>
      <c r="R67" s="11" t="str">
        <f aca="false">IF(COUNTIF($A$2:A67,A67)&gt;1,"Duplicate - Remove","Unique")</f>
        <v>Unique</v>
      </c>
      <c r="S67" s="11" t="str">
        <f aca="false">TRIM(IF(Raw_Data!G67="","Region missing; ","")&amp;IF(Raw_Data!H67="","Spend imputed; ","")&amp;IF(Raw_Data!L67="","Revenue imputed; ","")&amp;IF(Raw_Data!J67&lt;0,"Clicks corrected; ",""))</f>
        <v/>
      </c>
    </row>
    <row r="68" customFormat="false" ht="15" hidden="false" customHeight="true" outlineLevel="0" collapsed="false">
      <c r="A68" s="11" t="n">
        <f aca="false">Raw_Data!A68</f>
        <v>1239</v>
      </c>
      <c r="B68" s="11" t="str">
        <f aca="false">PROPER(TRIM(Raw_Data!B68))</f>
        <v>Herbal Range Awareness</v>
      </c>
      <c r="C68" s="11" t="str">
        <f aca="false">IFERROR(INDEX(Lookup_Tables!$B$2:$B$26,MATCH(UPPER(TRIM(Raw_Data!C68)),Lookup_Tables!$C$2:$C$26,0)),"Unknown")</f>
        <v>Email</v>
      </c>
      <c r="D68" s="12" t="n">
        <f aca="false">IFERROR(IF(ISNUMBER(SEARCH("/",Raw_Data!D68)),DATE(VALUE(RIGHT(Raw_Data!D68,4)),VALUE(MID(Raw_Data!D68,FIND("/",Raw_Data!D68)+1,FIND("/",Raw_Data!D68,FIND("/",Raw_Data!D68)+1)-FIND("/",Raw_Data!D68)-1)),VALUE(LEFT(Raw_Data!D68,FIND("/",Raw_Data!D68)-1))),IF(ISNUMBER(VALUE(LEFT(Raw_Data!D68,4))),DATE(VALUE(LEFT(Raw_Data!D68,4)),VALUE(MID(Raw_Data!D68,6,2)),VALUE(MID(Raw_Data!D68,9,2))),DATEVALUE(Raw_Data!D68))),"")</f>
        <v>45478</v>
      </c>
      <c r="E68" s="12" t="n">
        <f aca="false">IFERROR(IF(ISNUMBER(SEARCH("/",Raw_Data!E68)),DATE(VALUE(RIGHT(Raw_Data!E68,4)),VALUE(MID(Raw_Data!E68,FIND("/",Raw_Data!E68)+1,FIND("/",Raw_Data!E68,FIND("/",Raw_Data!E68)+1)-FIND("/",Raw_Data!E68)-1)),VALUE(LEFT(Raw_Data!E68,FIND("/",Raw_Data!E68)-1))),IF(ISNUMBER(VALUE(LEFT(Raw_Data!E68,4))),DATE(VALUE(LEFT(Raw_Data!E68,4)),VALUE(MID(Raw_Data!E68,6,2)),VALUE(MID(Raw_Data!E68,9,2))),DATEVALUE(Raw_Data!E68))),"")</f>
        <v>45495</v>
      </c>
      <c r="F68" s="11" t="str">
        <f aca="false">Raw_Data!F68</f>
        <v>Male 35-44</v>
      </c>
      <c r="G68" s="11" t="str">
        <f aca="false">IF(TRIM(Raw_Data!G68)="","Unspecified",IFERROR(INDEX(Lookup_Tables!$F$2:$F$24,MATCH(UPPER(TRIM(Raw_Data!G68)),Lookup_Tables!$G$2:$G$24,0)),"Unknown"))</f>
        <v>South</v>
      </c>
      <c r="H68" s="11" t="n">
        <f aca="false">IF(Raw_Data!H68="",ROUND(AVERAGEIFS(Raw_Data!$H$2:$H$839,Raw_Data!$C$2:$C$839,Raw_Data!C68),2),Raw_Data!H68)</f>
        <v>4155.1</v>
      </c>
      <c r="I68" s="11" t="n">
        <f aca="false">Raw_Data!I68</f>
        <v>121683</v>
      </c>
      <c r="J68" s="11" t="n">
        <f aca="false">IF(Raw_Data!J68&lt;0,ABS(Raw_Data!J68),Raw_Data!J68)</f>
        <v>4183</v>
      </c>
      <c r="K68" s="11" t="n">
        <f aca="false">Raw_Data!K68</f>
        <v>242</v>
      </c>
      <c r="L68" s="11" t="n">
        <f aca="false">IF(Raw_Data!L68="",ROUND(AVERAGEIFS(Raw_Data!$L$2:$L$839,Raw_Data!$C$2:$C$839,Raw_Data!C68),2),Raw_Data!L68)</f>
        <v>370399.5</v>
      </c>
      <c r="M68" s="13" t="n">
        <f aca="false">IFERROR(J68/I68,0)</f>
        <v>0.0343762070297412</v>
      </c>
      <c r="N68" s="14" t="n">
        <f aca="false">IFERROR(H68/J68,0)</f>
        <v>0.993330145828353</v>
      </c>
      <c r="O68" s="14" t="n">
        <f aca="false">IFERROR(H68/K68,0)</f>
        <v>17.1698347107438</v>
      </c>
      <c r="P68" s="15" t="n">
        <f aca="false">IFERROR(L68/H68,0)</f>
        <v>89.143341917162</v>
      </c>
      <c r="Q68" s="13" t="n">
        <f aca="false">IFERROR(K68/J68,0)</f>
        <v>0.0578532153956491</v>
      </c>
      <c r="R68" s="11" t="str">
        <f aca="false">IF(COUNTIF($A$2:A68,A68)&gt;1,"Duplicate - Remove","Unique")</f>
        <v>Unique</v>
      </c>
      <c r="S68" s="11" t="str">
        <f aca="false">TRIM(IF(Raw_Data!G68="","Region missing; ","")&amp;IF(Raw_Data!H68="","Spend imputed; ","")&amp;IF(Raw_Data!L68="","Revenue imputed; ","")&amp;IF(Raw_Data!J68&lt;0,"Clicks corrected; ",""))</f>
        <v/>
      </c>
    </row>
    <row r="69" customFormat="false" ht="15" hidden="false" customHeight="true" outlineLevel="0" collapsed="false">
      <c r="A69" s="11" t="n">
        <f aca="false">Raw_Data!A69</f>
        <v>1328</v>
      </c>
      <c r="B69" s="11" t="str">
        <f aca="false">PROPER(TRIM(Raw_Data!B69))</f>
        <v>Ayurvedic Range Launch</v>
      </c>
      <c r="C69" s="11" t="str">
        <f aca="false">IFERROR(INDEX(Lookup_Tables!$B$2:$B$26,MATCH(UPPER(TRIM(Raw_Data!C69)),Lookup_Tables!$C$2:$C$26,0)),"Unknown")</f>
        <v>Email</v>
      </c>
      <c r="D69" s="12" t="n">
        <f aca="false">IFERROR(IF(ISNUMBER(SEARCH("/",Raw_Data!D69)),DATE(VALUE(RIGHT(Raw_Data!D69,4)),VALUE(MID(Raw_Data!D69,FIND("/",Raw_Data!D69)+1,FIND("/",Raw_Data!D69,FIND("/",Raw_Data!D69)+1)-FIND("/",Raw_Data!D69)-1)),VALUE(LEFT(Raw_Data!D69,FIND("/",Raw_Data!D69)-1))),IF(ISNUMBER(VALUE(LEFT(Raw_Data!D69,4))),DATE(VALUE(LEFT(Raw_Data!D69,4)),VALUE(MID(Raw_Data!D69,6,2)),VALUE(MID(Raw_Data!D69,9,2))),DATEVALUE(Raw_Data!D69))),"")</f>
        <v>45388</v>
      </c>
      <c r="E69" s="12" t="n">
        <f aca="false">IFERROR(IF(ISNUMBER(SEARCH("/",Raw_Data!E69)),DATE(VALUE(RIGHT(Raw_Data!E69,4)),VALUE(MID(Raw_Data!E69,FIND("/",Raw_Data!E69)+1,FIND("/",Raw_Data!E69,FIND("/",Raw_Data!E69)+1)-FIND("/",Raw_Data!E69)-1)),VALUE(LEFT(Raw_Data!E69,FIND("/",Raw_Data!E69)-1))),IF(ISNUMBER(VALUE(LEFT(Raw_Data!E69,4))),DATE(VALUE(LEFT(Raw_Data!E69,4)),VALUE(MID(Raw_Data!E69,6,2)),VALUE(MID(Raw_Data!E69,9,2))),DATEVALUE(Raw_Data!E69))),"")</f>
        <v>45407</v>
      </c>
      <c r="F69" s="11" t="str">
        <f aca="false">Raw_Data!F69</f>
        <v>Female 25-34</v>
      </c>
      <c r="G69" s="11" t="str">
        <f aca="false">IF(TRIM(Raw_Data!G69)="","Unspecified",IFERROR(INDEX(Lookup_Tables!$F$2:$F$24,MATCH(UPPER(TRIM(Raw_Data!G69)),Lookup_Tables!$G$2:$G$24,0)),"Unknown"))</f>
        <v>West</v>
      </c>
      <c r="H69" s="11" t="n">
        <f aca="false">IF(Raw_Data!H69="",ROUND(AVERAGEIFS(Raw_Data!$H$2:$H$839,Raw_Data!$C$2:$C$839,Raw_Data!C69),2),Raw_Data!H69)</f>
        <v>1561.19</v>
      </c>
      <c r="I69" s="11" t="n">
        <f aca="false">Raw_Data!I69</f>
        <v>58464</v>
      </c>
      <c r="J69" s="11" t="n">
        <f aca="false">IF(Raw_Data!J69&lt;0,ABS(Raw_Data!J69),Raw_Data!J69)</f>
        <v>798</v>
      </c>
      <c r="K69" s="11" t="n">
        <f aca="false">Raw_Data!K69</f>
        <v>61</v>
      </c>
      <c r="L69" s="11" t="n">
        <f aca="false">IF(Raw_Data!L69="",ROUND(AVERAGEIFS(Raw_Data!$L$2:$L$839,Raw_Data!$C$2:$C$839,Raw_Data!C69),2),Raw_Data!L69)</f>
        <v>31023.33</v>
      </c>
      <c r="M69" s="13" t="n">
        <f aca="false">IFERROR(J69/I69,0)</f>
        <v>0.0136494252873563</v>
      </c>
      <c r="N69" s="14" t="n">
        <f aca="false">IFERROR(H69/J69,0)</f>
        <v>1.95637844611529</v>
      </c>
      <c r="O69" s="14" t="n">
        <f aca="false">IFERROR(H69/K69,0)</f>
        <v>25.5932786885246</v>
      </c>
      <c r="P69" s="15" t="n">
        <f aca="false">IFERROR(L69/H69,0)</f>
        <v>19.8715915423491</v>
      </c>
      <c r="Q69" s="13" t="n">
        <f aca="false">IFERROR(K69/J69,0)</f>
        <v>0.0764411027568922</v>
      </c>
      <c r="R69" s="11" t="str">
        <f aca="false">IF(COUNTIF($A$2:A69,A69)&gt;1,"Duplicate - Remove","Unique")</f>
        <v>Unique</v>
      </c>
      <c r="S69" s="11" t="str">
        <f aca="false">TRIM(IF(Raw_Data!G69="","Region missing; ","")&amp;IF(Raw_Data!H69="","Spend imputed; ","")&amp;IF(Raw_Data!L69="","Revenue imputed; ","")&amp;IF(Raw_Data!J69&lt;0,"Clicks corrected; ",""))</f>
        <v/>
      </c>
    </row>
    <row r="70" customFormat="false" ht="15" hidden="false" customHeight="true" outlineLevel="0" collapsed="false">
      <c r="A70" s="11" t="n">
        <f aca="false">Raw_Data!A70</f>
        <v>1781</v>
      </c>
      <c r="B70" s="11" t="str">
        <f aca="false">PROPER(TRIM(Raw_Data!B70))</f>
        <v>Wedding Season Special</v>
      </c>
      <c r="C70" s="11" t="str">
        <f aca="false">IFERROR(INDEX(Lookup_Tables!$B$2:$B$26,MATCH(UPPER(TRIM(Raw_Data!C70)),Lookup_Tables!$C$2:$C$26,0)),"Unknown")</f>
        <v>Instagram</v>
      </c>
      <c r="D70" s="12" t="n">
        <f aca="false">IFERROR(IF(ISNUMBER(SEARCH("/",Raw_Data!D70)),DATE(VALUE(RIGHT(Raw_Data!D70,4)),VALUE(MID(Raw_Data!D70,FIND("/",Raw_Data!D70)+1,FIND("/",Raw_Data!D70,FIND("/",Raw_Data!D70)+1)-FIND("/",Raw_Data!D70)-1)),VALUE(LEFT(Raw_Data!D70,FIND("/",Raw_Data!D70)-1))),IF(ISNUMBER(VALUE(LEFT(Raw_Data!D70,4))),DATE(VALUE(LEFT(Raw_Data!D70,4)),VALUE(MID(Raw_Data!D70,6,2)),VALUE(MID(Raw_Data!D70,9,2))),DATEVALUE(Raw_Data!D70))),"")</f>
        <v>45462</v>
      </c>
      <c r="E70" s="12" t="n">
        <f aca="false">IFERROR(IF(ISNUMBER(SEARCH("/",Raw_Data!E70)),DATE(VALUE(RIGHT(Raw_Data!E70,4)),VALUE(MID(Raw_Data!E70,FIND("/",Raw_Data!E70)+1,FIND("/",Raw_Data!E70,FIND("/",Raw_Data!E70)+1)-FIND("/",Raw_Data!E70)-1)),VALUE(LEFT(Raw_Data!E70,FIND("/",Raw_Data!E70)-1))),IF(ISNUMBER(VALUE(LEFT(Raw_Data!E70,4))),DATE(VALUE(LEFT(Raw_Data!E70,4)),VALUE(MID(Raw_Data!E70,6,2)),VALUE(MID(Raw_Data!E70,9,2))),DATEVALUE(Raw_Data!E70))),"")</f>
        <v>45478</v>
      </c>
      <c r="F70" s="11" t="str">
        <f aca="false">Raw_Data!F70</f>
        <v>Female 18-24</v>
      </c>
      <c r="G70" s="11" t="str">
        <f aca="false">IF(TRIM(Raw_Data!G70)="","Unspecified",IFERROR(INDEX(Lookup_Tables!$F$2:$F$24,MATCH(UPPER(TRIM(Raw_Data!G70)),Lookup_Tables!$G$2:$G$24,0)),"Unknown"))</f>
        <v>West</v>
      </c>
      <c r="H70" s="11" t="n">
        <f aca="false">IF(Raw_Data!H70="",ROUND(AVERAGEIFS(Raw_Data!$H$2:$H$839,Raw_Data!$C$2:$C$839,Raw_Data!C70),2),Raw_Data!H70)</f>
        <v>24016.39</v>
      </c>
      <c r="I70" s="11" t="n">
        <f aca="false">Raw_Data!I70</f>
        <v>652357</v>
      </c>
      <c r="J70" s="11" t="n">
        <f aca="false">IF(Raw_Data!J70&lt;0,ABS(Raw_Data!J70),Raw_Data!J70)</f>
        <v>22789</v>
      </c>
      <c r="K70" s="11" t="n">
        <f aca="false">Raw_Data!K70</f>
        <v>1708</v>
      </c>
      <c r="L70" s="11" t="n">
        <f aca="false">IF(Raw_Data!L70="",ROUND(AVERAGEIFS(Raw_Data!$L$2:$L$839,Raw_Data!$C$2:$C$839,Raw_Data!C70),2),Raw_Data!L70)</f>
        <v>1579387.22</v>
      </c>
      <c r="M70" s="13" t="n">
        <f aca="false">IFERROR(J70/I70,0)</f>
        <v>0.0349333263841731</v>
      </c>
      <c r="N70" s="14" t="n">
        <f aca="false">IFERROR(H70/J70,0)</f>
        <v>1.05385887928387</v>
      </c>
      <c r="O70" s="14" t="n">
        <f aca="false">IFERROR(H70/K70,0)</f>
        <v>14.0611182669789</v>
      </c>
      <c r="P70" s="15" t="n">
        <f aca="false">IFERROR(L70/H70,0)</f>
        <v>65.7628902595269</v>
      </c>
      <c r="Q70" s="13" t="n">
        <f aca="false">IFERROR(K70/J70,0)</f>
        <v>0.0749484400368599</v>
      </c>
      <c r="R70" s="11" t="str">
        <f aca="false">IF(COUNTIF($A$2:A70,A70)&gt;1,"Duplicate - Remove","Unique")</f>
        <v>Unique</v>
      </c>
      <c r="S70" s="11" t="str">
        <f aca="false">TRIM(IF(Raw_Data!G70="","Region missing; ","")&amp;IF(Raw_Data!H70="","Spend imputed; ","")&amp;IF(Raw_Data!L70="","Revenue imputed; ","")&amp;IF(Raw_Data!J70&lt;0,"Clicks corrected; ",""))</f>
        <v/>
      </c>
    </row>
    <row r="71" customFormat="false" ht="15" hidden="false" customHeight="true" outlineLevel="0" collapsed="false">
      <c r="A71" s="11" t="n">
        <f aca="false">Raw_Data!A71</f>
        <v>1133</v>
      </c>
      <c r="B71" s="11" t="str">
        <f aca="false">PROPER(TRIM(Raw_Data!B71))</f>
        <v>Back To College Offer</v>
      </c>
      <c r="C71" s="11" t="str">
        <f aca="false">IFERROR(INDEX(Lookup_Tables!$B$2:$B$26,MATCH(UPPER(TRIM(Raw_Data!C71)),Lookup_Tables!$C$2:$C$26,0)),"Unknown")</f>
        <v>Instagram</v>
      </c>
      <c r="D71" s="12" t="n">
        <f aca="false">IFERROR(IF(ISNUMBER(SEARCH("/",Raw_Data!D71)),DATE(VALUE(RIGHT(Raw_Data!D71,4)),VALUE(MID(Raw_Data!D71,FIND("/",Raw_Data!D71)+1,FIND("/",Raw_Data!D71,FIND("/",Raw_Data!D71)+1)-FIND("/",Raw_Data!D71)-1)),VALUE(LEFT(Raw_Data!D71,FIND("/",Raw_Data!D71)-1))),IF(ISNUMBER(VALUE(LEFT(Raw_Data!D71,4))),DATE(VALUE(LEFT(Raw_Data!D71,4)),VALUE(MID(Raw_Data!D71,6,2)),VALUE(MID(Raw_Data!D71,9,2))),DATEVALUE(Raw_Data!D71))),"")</f>
        <v>45558</v>
      </c>
      <c r="E71" s="12" t="n">
        <f aca="false">IFERROR(IF(ISNUMBER(SEARCH("/",Raw_Data!E71)),DATE(VALUE(RIGHT(Raw_Data!E71,4)),VALUE(MID(Raw_Data!E71,FIND("/",Raw_Data!E71)+1,FIND("/",Raw_Data!E71,FIND("/",Raw_Data!E71)+1)-FIND("/",Raw_Data!E71)-1)),VALUE(LEFT(Raw_Data!E71,FIND("/",Raw_Data!E71)-1))),IF(ISNUMBER(VALUE(LEFT(Raw_Data!E71,4))),DATE(VALUE(LEFT(Raw_Data!E71,4)),VALUE(MID(Raw_Data!E71,6,2)),VALUE(MID(Raw_Data!E71,9,2))),DATEVALUE(Raw_Data!E71))),"")</f>
        <v>45578</v>
      </c>
      <c r="F71" s="11" t="str">
        <f aca="false">Raw_Data!F71</f>
        <v>Male 18-24</v>
      </c>
      <c r="G71" s="11" t="str">
        <f aca="false">IF(TRIM(Raw_Data!G71)="","Unspecified",IFERROR(INDEX(Lookup_Tables!$F$2:$F$24,MATCH(UPPER(TRIM(Raw_Data!G71)),Lookup_Tables!$G$2:$G$24,0)),"Unknown"))</f>
        <v>East</v>
      </c>
      <c r="H71" s="11" t="n">
        <f aca="false">IF(Raw_Data!H71="",ROUND(AVERAGEIFS(Raw_Data!$H$2:$H$839,Raw_Data!$C$2:$C$839,Raw_Data!C71),2),Raw_Data!H71)</f>
        <v>32760.45</v>
      </c>
      <c r="I71" s="11" t="n">
        <f aca="false">Raw_Data!I71</f>
        <v>850269</v>
      </c>
      <c r="J71" s="11" t="n">
        <f aca="false">IF(Raw_Data!J71&lt;0,ABS(Raw_Data!J71),Raw_Data!J71)</f>
        <v>22024</v>
      </c>
      <c r="K71" s="11" t="n">
        <f aca="false">Raw_Data!K71</f>
        <v>711</v>
      </c>
      <c r="L71" s="11" t="n">
        <f aca="false">IF(Raw_Data!L71="",ROUND(AVERAGEIFS(Raw_Data!$L$2:$L$839,Raw_Data!$C$2:$C$839,Raw_Data!C71),2),Raw_Data!L71)</f>
        <v>558407.26</v>
      </c>
      <c r="M71" s="13" t="n">
        <f aca="false">IFERROR(J71/I71,0)</f>
        <v>0.0259023908904123</v>
      </c>
      <c r="N71" s="14" t="n">
        <f aca="false">IFERROR(H71/J71,0)</f>
        <v>1.48748864874682</v>
      </c>
      <c r="O71" s="14" t="n">
        <f aca="false">IFERROR(H71/K71,0)</f>
        <v>46.076582278481</v>
      </c>
      <c r="P71" s="15" t="n">
        <f aca="false">IFERROR(L71/H71,0)</f>
        <v>17.0451645200234</v>
      </c>
      <c r="Q71" s="13" t="n">
        <f aca="false">IFERROR(K71/J71,0)</f>
        <v>0.0322829640392299</v>
      </c>
      <c r="R71" s="11" t="str">
        <f aca="false">IF(COUNTIF($A$2:A71,A71)&gt;1,"Duplicate - Remove","Unique")</f>
        <v>Unique</v>
      </c>
      <c r="S71" s="11" t="str">
        <f aca="false">TRIM(IF(Raw_Data!G71="","Region missing; ","")&amp;IF(Raw_Data!H71="","Spend imputed; ","")&amp;IF(Raw_Data!L71="","Revenue imputed; ","")&amp;IF(Raw_Data!J71&lt;0,"Clicks corrected; ",""))</f>
        <v/>
      </c>
    </row>
    <row r="72" customFormat="false" ht="15" hidden="false" customHeight="true" outlineLevel="0" collapsed="false">
      <c r="A72" s="11" t="n">
        <f aca="false">Raw_Data!A72</f>
        <v>1749</v>
      </c>
      <c r="B72" s="11" t="str">
        <f aca="false">PROPER(TRIM(Raw_Data!B72))</f>
        <v>Anti-Ageing Serum Push</v>
      </c>
      <c r="C72" s="11" t="str">
        <f aca="false">IFERROR(INDEX(Lookup_Tables!$B$2:$B$26,MATCH(UPPER(TRIM(Raw_Data!C72)),Lookup_Tables!$C$2:$C$26,0)),"Unknown")</f>
        <v>Facebook</v>
      </c>
      <c r="D72" s="12" t="n">
        <f aca="false">IFERROR(IF(ISNUMBER(SEARCH("/",Raw_Data!D72)),DATE(VALUE(RIGHT(Raw_Data!D72,4)),VALUE(MID(Raw_Data!D72,FIND("/",Raw_Data!D72)+1,FIND("/",Raw_Data!D72,FIND("/",Raw_Data!D72)+1)-FIND("/",Raw_Data!D72)-1)),VALUE(LEFT(Raw_Data!D72,FIND("/",Raw_Data!D72)-1))),IF(ISNUMBER(VALUE(LEFT(Raw_Data!D72,4))),DATE(VALUE(LEFT(Raw_Data!D72,4)),VALUE(MID(Raw_Data!D72,6,2)),VALUE(MID(Raw_Data!D72,9,2))),DATEVALUE(Raw_Data!D72))),"")</f>
        <v>45406</v>
      </c>
      <c r="E72" s="12" t="n">
        <f aca="false">IFERROR(IF(ISNUMBER(SEARCH("/",Raw_Data!E72)),DATE(VALUE(RIGHT(Raw_Data!E72,4)),VALUE(MID(Raw_Data!E72,FIND("/",Raw_Data!E72)+1,FIND("/",Raw_Data!E72,FIND("/",Raw_Data!E72)+1)-FIND("/",Raw_Data!E72)-1)),VALUE(LEFT(Raw_Data!E72,FIND("/",Raw_Data!E72)-1))),IF(ISNUMBER(VALUE(LEFT(Raw_Data!E72,4))),DATE(VALUE(LEFT(Raw_Data!E72,4)),VALUE(MID(Raw_Data!E72,6,2)),VALUE(MID(Raw_Data!E72,9,2))),DATEVALUE(Raw_Data!E72))),"")</f>
        <v>45421</v>
      </c>
      <c r="F72" s="11" t="str">
        <f aca="false">Raw_Data!F72</f>
        <v>Female 35-44</v>
      </c>
      <c r="G72" s="11" t="str">
        <f aca="false">IF(TRIM(Raw_Data!G72)="","Unspecified",IFERROR(INDEX(Lookup_Tables!$F$2:$F$24,MATCH(UPPER(TRIM(Raw_Data!G72)),Lookup_Tables!$G$2:$G$24,0)),"Unknown"))</f>
        <v>Unspecified</v>
      </c>
      <c r="H72" s="11" t="n">
        <f aca="false">IF(Raw_Data!H72="",ROUND(AVERAGEIFS(Raw_Data!$H$2:$H$839,Raw_Data!$C$2:$C$839,Raw_Data!C72),2),Raw_Data!H72)</f>
        <v>31677.07</v>
      </c>
      <c r="I72" s="11" t="n">
        <f aca="false">Raw_Data!I72</f>
        <v>865853</v>
      </c>
      <c r="J72" s="11" t="n">
        <f aca="false">IF(Raw_Data!J72&lt;0,ABS(Raw_Data!J72),Raw_Data!J72)</f>
        <v>22871</v>
      </c>
      <c r="K72" s="11" t="n">
        <f aca="false">Raw_Data!K72</f>
        <v>1522</v>
      </c>
      <c r="L72" s="11" t="n">
        <f aca="false">IF(Raw_Data!L72="",ROUND(AVERAGEIFS(Raw_Data!$L$2:$L$839,Raw_Data!$C$2:$C$839,Raw_Data!C72),2),Raw_Data!L72)</f>
        <v>2624931.99</v>
      </c>
      <c r="M72" s="13" t="n">
        <f aca="false">IFERROR(J72/I72,0)</f>
        <v>0.0264144144560335</v>
      </c>
      <c r="N72" s="14" t="n">
        <f aca="false">IFERROR(H72/J72,0)</f>
        <v>1.38503213676709</v>
      </c>
      <c r="O72" s="14" t="n">
        <f aca="false">IFERROR(H72/K72,0)</f>
        <v>20.8127923784494</v>
      </c>
      <c r="P72" s="15" t="n">
        <f aca="false">IFERROR(L72/H72,0)</f>
        <v>82.8653657045933</v>
      </c>
      <c r="Q72" s="13" t="n">
        <f aca="false">IFERROR(K72/J72,0)</f>
        <v>0.0665471557868042</v>
      </c>
      <c r="R72" s="11" t="str">
        <f aca="false">IF(COUNTIF($A$2:A72,A72)&gt;1,"Duplicate - Remove","Unique")</f>
        <v>Unique</v>
      </c>
      <c r="S72" s="11" t="str">
        <f aca="false">TRIM(IF(Raw_Data!G72="","Region missing; ","")&amp;IF(Raw_Data!H72="","Spend imputed; ","")&amp;IF(Raw_Data!L72="","Revenue imputed; ","")&amp;IF(Raw_Data!J72&lt;0,"Clicks corrected; ",""))</f>
        <v>Region missing;</v>
      </c>
    </row>
    <row r="73" customFormat="false" ht="15" hidden="false" customHeight="true" outlineLevel="0" collapsed="false">
      <c r="A73" s="11" t="n">
        <f aca="false">Raw_Data!A73</f>
        <v>1256</v>
      </c>
      <c r="B73" s="11" t="str">
        <f aca="false">PROPER(TRIM(Raw_Data!B73))</f>
        <v>Ayurvedic Range Launch</v>
      </c>
      <c r="C73" s="11" t="str">
        <f aca="false">IFERROR(INDEX(Lookup_Tables!$B$2:$B$26,MATCH(UPPER(TRIM(Raw_Data!C73)),Lookup_Tables!$C$2:$C$26,0)),"Unknown")</f>
        <v>Google Ads</v>
      </c>
      <c r="D73" s="12" t="n">
        <f aca="false">IFERROR(IF(ISNUMBER(SEARCH("/",Raw_Data!D73)),DATE(VALUE(RIGHT(Raw_Data!D73,4)),VALUE(MID(Raw_Data!D73,FIND("/",Raw_Data!D73)+1,FIND("/",Raw_Data!D73,FIND("/",Raw_Data!D73)+1)-FIND("/",Raw_Data!D73)-1)),VALUE(LEFT(Raw_Data!D73,FIND("/",Raw_Data!D73)-1))),IF(ISNUMBER(VALUE(LEFT(Raw_Data!D73,4))),DATE(VALUE(LEFT(Raw_Data!D73,4)),VALUE(MID(Raw_Data!D73,6,2)),VALUE(MID(Raw_Data!D73,9,2))),DATEVALUE(Raw_Data!D73))),"")</f>
        <v>45383</v>
      </c>
      <c r="E73" s="12" t="n">
        <f aca="false">IFERROR(IF(ISNUMBER(SEARCH("/",Raw_Data!E73)),DATE(VALUE(RIGHT(Raw_Data!E73,4)),VALUE(MID(Raw_Data!E73,FIND("/",Raw_Data!E73)+1,FIND("/",Raw_Data!E73,FIND("/",Raw_Data!E73)+1)-FIND("/",Raw_Data!E73)-1)),VALUE(LEFT(Raw_Data!E73,FIND("/",Raw_Data!E73)-1))),IF(ISNUMBER(VALUE(LEFT(Raw_Data!E73,4))),DATE(VALUE(LEFT(Raw_Data!E73,4)),VALUE(MID(Raw_Data!E73,6,2)),VALUE(MID(Raw_Data!E73,9,2))),DATEVALUE(Raw_Data!E73))),"")</f>
        <v>45389</v>
      </c>
      <c r="F73" s="11" t="str">
        <f aca="false">Raw_Data!F73</f>
        <v>Female 35-44</v>
      </c>
      <c r="G73" s="11" t="str">
        <f aca="false">IF(TRIM(Raw_Data!G73)="","Unspecified",IFERROR(INDEX(Lookup_Tables!$F$2:$F$24,MATCH(UPPER(TRIM(Raw_Data!G73)),Lookup_Tables!$G$2:$G$24,0)),"Unknown"))</f>
        <v>North</v>
      </c>
      <c r="H73" s="11" t="n">
        <f aca="false">IF(Raw_Data!H73="",ROUND(AVERAGEIFS(Raw_Data!$H$2:$H$839,Raw_Data!$C$2:$C$839,Raw_Data!C73),2),Raw_Data!H73)</f>
        <v>17493.86</v>
      </c>
      <c r="I73" s="11" t="n">
        <f aca="false">Raw_Data!I73</f>
        <v>346210</v>
      </c>
      <c r="J73" s="11" t="n">
        <f aca="false">IF(Raw_Data!J73&lt;0,ABS(Raw_Data!J73),Raw_Data!J73)</f>
        <v>2061</v>
      </c>
      <c r="K73" s="11" t="n">
        <f aca="false">Raw_Data!K73</f>
        <v>113</v>
      </c>
      <c r="L73" s="11" t="n">
        <f aca="false">IF(Raw_Data!L73="",ROUND(AVERAGEIFS(Raw_Data!$L$2:$L$839,Raw_Data!$C$2:$C$839,Raw_Data!C73),2),Raw_Data!L73)</f>
        <v>103221.92</v>
      </c>
      <c r="M73" s="13" t="n">
        <f aca="false">IFERROR(J73/I73,0)</f>
        <v>0.00595303428554923</v>
      </c>
      <c r="N73" s="14" t="n">
        <f aca="false">IFERROR(H73/J73,0)</f>
        <v>8.48804463852499</v>
      </c>
      <c r="O73" s="14" t="n">
        <f aca="false">IFERROR(H73/K73,0)</f>
        <v>154.812920353982</v>
      </c>
      <c r="P73" s="15" t="n">
        <f aca="false">IFERROR(L73/H73,0)</f>
        <v>5.9004656490906</v>
      </c>
      <c r="Q73" s="13" t="n">
        <f aca="false">IFERROR(K73/J73,0)</f>
        <v>0.0548277535177099</v>
      </c>
      <c r="R73" s="11" t="str">
        <f aca="false">IF(COUNTIF($A$2:A73,A73)&gt;1,"Duplicate - Remove","Unique")</f>
        <v>Unique</v>
      </c>
      <c r="S73" s="11" t="str">
        <f aca="false">TRIM(IF(Raw_Data!G73="","Region missing; ","")&amp;IF(Raw_Data!H73="","Spend imputed; ","")&amp;IF(Raw_Data!L73="","Revenue imputed; ","")&amp;IF(Raw_Data!J73&lt;0,"Clicks corrected; ",""))</f>
        <v/>
      </c>
    </row>
    <row r="74" customFormat="false" ht="15" hidden="false" customHeight="true" outlineLevel="0" collapsed="false">
      <c r="A74" s="11" t="n">
        <f aca="false">Raw_Data!A74</f>
        <v>1142</v>
      </c>
      <c r="B74" s="11" t="str">
        <f aca="false">PROPER(TRIM(Raw_Data!B74))</f>
        <v>Ayurvedic Range Launch</v>
      </c>
      <c r="C74" s="11" t="str">
        <f aca="false">IFERROR(INDEX(Lookup_Tables!$B$2:$B$26,MATCH(UPPER(TRIM(Raw_Data!C74)),Lookup_Tables!$C$2:$C$26,0)),"Unknown")</f>
        <v>Email</v>
      </c>
      <c r="D74" s="12" t="n">
        <f aca="false">IFERROR(IF(ISNUMBER(SEARCH("/",Raw_Data!D74)),DATE(VALUE(RIGHT(Raw_Data!D74,4)),VALUE(MID(Raw_Data!D74,FIND("/",Raw_Data!D74)+1,FIND("/",Raw_Data!D74,FIND("/",Raw_Data!D74)+1)-FIND("/",Raw_Data!D74)-1)),VALUE(LEFT(Raw_Data!D74,FIND("/",Raw_Data!D74)-1))),IF(ISNUMBER(VALUE(LEFT(Raw_Data!D74,4))),DATE(VALUE(LEFT(Raw_Data!D74,4)),VALUE(MID(Raw_Data!D74,6,2)),VALUE(MID(Raw_Data!D74,9,2))),DATEVALUE(Raw_Data!D74))),"")</f>
        <v>45524</v>
      </c>
      <c r="E74" s="12" t="n">
        <f aca="false">IFERROR(IF(ISNUMBER(SEARCH("/",Raw_Data!E74)),DATE(VALUE(RIGHT(Raw_Data!E74,4)),VALUE(MID(Raw_Data!E74,FIND("/",Raw_Data!E74)+1,FIND("/",Raw_Data!E74,FIND("/",Raw_Data!E74)+1)-FIND("/",Raw_Data!E74)-1)),VALUE(LEFT(Raw_Data!E74,FIND("/",Raw_Data!E74)-1))),IF(ISNUMBER(VALUE(LEFT(Raw_Data!E74,4))),DATE(VALUE(LEFT(Raw_Data!E74,4)),VALUE(MID(Raw_Data!E74,6,2)),VALUE(MID(Raw_Data!E74,9,2))),DATEVALUE(Raw_Data!E74))),"")</f>
        <v>45544</v>
      </c>
      <c r="F74" s="11" t="str">
        <f aca="false">Raw_Data!F74</f>
        <v>Male 35-44</v>
      </c>
      <c r="G74" s="11" t="str">
        <f aca="false">IF(TRIM(Raw_Data!G74)="","Unspecified",IFERROR(INDEX(Lookup_Tables!$F$2:$F$24,MATCH(UPPER(TRIM(Raw_Data!G74)),Lookup_Tables!$G$2:$G$24,0)),"Unknown"))</f>
        <v>West</v>
      </c>
      <c r="H74" s="11" t="n">
        <f aca="false">IF(Raw_Data!H74="",ROUND(AVERAGEIFS(Raw_Data!$H$2:$H$839,Raw_Data!$C$2:$C$839,Raw_Data!C74),2),Raw_Data!H74)</f>
        <v>5073.69</v>
      </c>
      <c r="I74" s="11" t="n">
        <f aca="false">Raw_Data!I74</f>
        <v>186319</v>
      </c>
      <c r="J74" s="11" t="n">
        <f aca="false">IF(Raw_Data!J74&lt;0,ABS(Raw_Data!J74),Raw_Data!J74)</f>
        <v>5666</v>
      </c>
      <c r="K74" s="11" t="n">
        <f aca="false">Raw_Data!K74</f>
        <v>93</v>
      </c>
      <c r="L74" s="11" t="n">
        <f aca="false">IF(Raw_Data!L74="",ROUND(AVERAGEIFS(Raw_Data!$L$2:$L$839,Raw_Data!$C$2:$C$839,Raw_Data!C74),2),Raw_Data!L74)</f>
        <v>163644.47</v>
      </c>
      <c r="M74" s="13" t="n">
        <f aca="false">IFERROR(J74/I74,0)</f>
        <v>0.0304102104455262</v>
      </c>
      <c r="N74" s="14" t="n">
        <f aca="false">IFERROR(H74/J74,0)</f>
        <v>0.89546240734204</v>
      </c>
      <c r="O74" s="14" t="n">
        <f aca="false">IFERROR(H74/K74,0)</f>
        <v>54.5558064516129</v>
      </c>
      <c r="P74" s="15" t="n">
        <f aca="false">IFERROR(L74/H74,0)</f>
        <v>32.2535413081998</v>
      </c>
      <c r="Q74" s="13" t="n">
        <f aca="false">IFERROR(K74/J74,0)</f>
        <v>0.0164136957289093</v>
      </c>
      <c r="R74" s="11" t="str">
        <f aca="false">IF(COUNTIF($A$2:A74,A74)&gt;1,"Duplicate - Remove","Unique")</f>
        <v>Unique</v>
      </c>
      <c r="S74" s="11" t="str">
        <f aca="false">TRIM(IF(Raw_Data!G74="","Region missing; ","")&amp;IF(Raw_Data!H74="","Spend imputed; ","")&amp;IF(Raw_Data!L74="","Revenue imputed; ","")&amp;IF(Raw_Data!J74&lt;0,"Clicks corrected; ",""))</f>
        <v/>
      </c>
    </row>
    <row r="75" customFormat="false" ht="15" hidden="false" customHeight="true" outlineLevel="0" collapsed="false">
      <c r="A75" s="11" t="n">
        <f aca="false">Raw_Data!A75</f>
        <v>1414</v>
      </c>
      <c r="B75" s="11" t="str">
        <f aca="false">PROPER(TRIM(Raw_Data!B75))</f>
        <v>Anti-Ageing Serum Push</v>
      </c>
      <c r="C75" s="11" t="str">
        <f aca="false">IFERROR(INDEX(Lookup_Tables!$B$2:$B$26,MATCH(UPPER(TRIM(Raw_Data!C75)),Lookup_Tables!$C$2:$C$26,0)),"Unknown")</f>
        <v>Instagram</v>
      </c>
      <c r="D75" s="12" t="n">
        <f aca="false">IFERROR(IF(ISNUMBER(SEARCH("/",Raw_Data!D75)),DATE(VALUE(RIGHT(Raw_Data!D75,4)),VALUE(MID(Raw_Data!D75,FIND("/",Raw_Data!D75)+1,FIND("/",Raw_Data!D75,FIND("/",Raw_Data!D75)+1)-FIND("/",Raw_Data!D75)-1)),VALUE(LEFT(Raw_Data!D75,FIND("/",Raw_Data!D75)-1))),IF(ISNUMBER(VALUE(LEFT(Raw_Data!D75,4))),DATE(VALUE(LEFT(Raw_Data!D75,4)),VALUE(MID(Raw_Data!D75,6,2)),VALUE(MID(Raw_Data!D75,9,2))),DATEVALUE(Raw_Data!D75))),"")</f>
        <v>45320</v>
      </c>
      <c r="E75" s="12" t="n">
        <f aca="false">IFERROR(IF(ISNUMBER(SEARCH("/",Raw_Data!E75)),DATE(VALUE(RIGHT(Raw_Data!E75,4)),VALUE(MID(Raw_Data!E75,FIND("/",Raw_Data!E75)+1,FIND("/",Raw_Data!E75,FIND("/",Raw_Data!E75)+1)-FIND("/",Raw_Data!E75)-1)),VALUE(LEFT(Raw_Data!E75,FIND("/",Raw_Data!E75)-1))),IF(ISNUMBER(VALUE(LEFT(Raw_Data!E75,4))),DATE(VALUE(LEFT(Raw_Data!E75,4)),VALUE(MID(Raw_Data!E75,6,2)),VALUE(MID(Raw_Data!E75,9,2))),DATEVALUE(Raw_Data!E75))),"")</f>
        <v>45334</v>
      </c>
      <c r="F75" s="11" t="str">
        <f aca="false">Raw_Data!F75</f>
        <v>Male 45+</v>
      </c>
      <c r="G75" s="11" t="str">
        <f aca="false">IF(TRIM(Raw_Data!G75)="","Unspecified",IFERROR(INDEX(Lookup_Tables!$F$2:$F$24,MATCH(UPPER(TRIM(Raw_Data!G75)),Lookup_Tables!$G$2:$G$24,0)),"Unknown"))</f>
        <v>North</v>
      </c>
      <c r="H75" s="11" t="n">
        <f aca="false">IF(Raw_Data!H75="",ROUND(AVERAGEIFS(Raw_Data!$H$2:$H$839,Raw_Data!$C$2:$C$839,Raw_Data!C75),2),Raw_Data!H75)</f>
        <v>40561.63</v>
      </c>
      <c r="I75" s="11" t="n">
        <f aca="false">Raw_Data!I75</f>
        <v>675138</v>
      </c>
      <c r="J75" s="11" t="n">
        <f aca="false">IF(Raw_Data!J75&lt;0,ABS(Raw_Data!J75),Raw_Data!J75)</f>
        <v>17099</v>
      </c>
      <c r="K75" s="11" t="n">
        <f aca="false">Raw_Data!K75</f>
        <v>840</v>
      </c>
      <c r="L75" s="11" t="n">
        <f aca="false">IF(Raw_Data!L75="",ROUND(AVERAGEIFS(Raw_Data!$L$2:$L$839,Raw_Data!$C$2:$C$839,Raw_Data!C75),2),Raw_Data!L75)</f>
        <v>653208.63</v>
      </c>
      <c r="M75" s="13" t="n">
        <f aca="false">IFERROR(J75/I75,0)</f>
        <v>0.0253266739540657</v>
      </c>
      <c r="N75" s="14" t="n">
        <f aca="false">IFERROR(H75/J75,0)</f>
        <v>2.37216386923212</v>
      </c>
      <c r="O75" s="14" t="n">
        <f aca="false">IFERROR(H75/K75,0)</f>
        <v>48.2876547619048</v>
      </c>
      <c r="P75" s="15" t="n">
        <f aca="false">IFERROR(L75/H75,0)</f>
        <v>16.104102078738</v>
      </c>
      <c r="Q75" s="13" t="n">
        <f aca="false">IFERROR(K75/J75,0)</f>
        <v>0.0491256798643196</v>
      </c>
      <c r="R75" s="11" t="str">
        <f aca="false">IF(COUNTIF($A$2:A75,A75)&gt;1,"Duplicate - Remove","Unique")</f>
        <v>Unique</v>
      </c>
      <c r="S75" s="11" t="str">
        <f aca="false">TRIM(IF(Raw_Data!G75="","Region missing; ","")&amp;IF(Raw_Data!H75="","Spend imputed; ","")&amp;IF(Raw_Data!L75="","Revenue imputed; ","")&amp;IF(Raw_Data!J75&lt;0,"Clicks corrected; ",""))</f>
        <v/>
      </c>
    </row>
    <row r="76" customFormat="false" ht="15" hidden="false" customHeight="true" outlineLevel="0" collapsed="false">
      <c r="A76" s="11" t="n">
        <f aca="false">Raw_Data!A76</f>
        <v>1756</v>
      </c>
      <c r="B76" s="11" t="str">
        <f aca="false">PROPER(TRIM(Raw_Data!B76))</f>
        <v>Men'S Grooming Drive</v>
      </c>
      <c r="C76" s="11" t="str">
        <f aca="false">IFERROR(INDEX(Lookup_Tables!$B$2:$B$26,MATCH(UPPER(TRIM(Raw_Data!C76)),Lookup_Tables!$C$2:$C$26,0)),"Unknown")</f>
        <v>Email</v>
      </c>
      <c r="D76" s="12" t="n">
        <f aca="false">IFERROR(IF(ISNUMBER(SEARCH("/",Raw_Data!D76)),DATE(VALUE(RIGHT(Raw_Data!D76,4)),VALUE(MID(Raw_Data!D76,FIND("/",Raw_Data!D76)+1,FIND("/",Raw_Data!D76,FIND("/",Raw_Data!D76)+1)-FIND("/",Raw_Data!D76)-1)),VALUE(LEFT(Raw_Data!D76,FIND("/",Raw_Data!D76)-1))),IF(ISNUMBER(VALUE(LEFT(Raw_Data!D76,4))),DATE(VALUE(LEFT(Raw_Data!D76,4)),VALUE(MID(Raw_Data!D76,6,2)),VALUE(MID(Raw_Data!D76,9,2))),DATEVALUE(Raw_Data!D76))),"")</f>
        <v>45593</v>
      </c>
      <c r="E76" s="12" t="n">
        <f aca="false">IFERROR(IF(ISNUMBER(SEARCH("/",Raw_Data!E76)),DATE(VALUE(RIGHT(Raw_Data!E76,4)),VALUE(MID(Raw_Data!E76,FIND("/",Raw_Data!E76)+1,FIND("/",Raw_Data!E76,FIND("/",Raw_Data!E76)+1)-FIND("/",Raw_Data!E76)-1)),VALUE(LEFT(Raw_Data!E76,FIND("/",Raw_Data!E76)-1))),IF(ISNUMBER(VALUE(LEFT(Raw_Data!E76,4))),DATE(VALUE(LEFT(Raw_Data!E76,4)),VALUE(MID(Raw_Data!E76,6,2)),VALUE(MID(Raw_Data!E76,9,2))),DATEVALUE(Raw_Data!E76))),"")</f>
        <v>45620</v>
      </c>
      <c r="F76" s="11" t="str">
        <f aca="false">Raw_Data!F76</f>
        <v>Female 45+</v>
      </c>
      <c r="G76" s="11" t="str">
        <f aca="false">IF(TRIM(Raw_Data!G76)="","Unspecified",IFERROR(INDEX(Lookup_Tables!$F$2:$F$24,MATCH(UPPER(TRIM(Raw_Data!G76)),Lookup_Tables!$G$2:$G$24,0)),"Unknown"))</f>
        <v>East</v>
      </c>
      <c r="H76" s="11" t="n">
        <f aca="false">IF(Raw_Data!H76="",ROUND(AVERAGEIFS(Raw_Data!$H$2:$H$839,Raw_Data!$C$2:$C$839,Raw_Data!C76),2),Raw_Data!H76)</f>
        <v>7464.18</v>
      </c>
      <c r="I76" s="11" t="n">
        <f aca="false">Raw_Data!I76</f>
        <v>224896</v>
      </c>
      <c r="J76" s="11" t="n">
        <f aca="false">IF(Raw_Data!J76&lt;0,ABS(Raw_Data!J76),Raw_Data!J76)</f>
        <v>5584</v>
      </c>
      <c r="K76" s="11" t="n">
        <f aca="false">Raw_Data!K76</f>
        <v>280</v>
      </c>
      <c r="L76" s="11" t="n">
        <f aca="false">IF(Raw_Data!L76="",ROUND(AVERAGEIFS(Raw_Data!$L$2:$L$839,Raw_Data!$C$2:$C$839,Raw_Data!C76),2),Raw_Data!L76)</f>
        <v>288547.21</v>
      </c>
      <c r="M76" s="13" t="n">
        <f aca="false">IFERROR(J76/I76,0)</f>
        <v>0.0248292544109277</v>
      </c>
      <c r="N76" s="14" t="n">
        <f aca="false">IFERROR(H76/J76,0)</f>
        <v>1.33670845272206</v>
      </c>
      <c r="O76" s="14" t="n">
        <f aca="false">IFERROR(H76/K76,0)</f>
        <v>26.6577857142857</v>
      </c>
      <c r="P76" s="15" t="n">
        <f aca="false">IFERROR(L76/H76,0)</f>
        <v>38.6575899830926</v>
      </c>
      <c r="Q76" s="13" t="n">
        <f aca="false">IFERROR(K76/J76,0)</f>
        <v>0.0501432664756447</v>
      </c>
      <c r="R76" s="11" t="str">
        <f aca="false">IF(COUNTIF($A$2:A76,A76)&gt;1,"Duplicate - Remove","Unique")</f>
        <v>Unique</v>
      </c>
      <c r="S76" s="11" t="str">
        <f aca="false">TRIM(IF(Raw_Data!G76="","Region missing; ","")&amp;IF(Raw_Data!H76="","Spend imputed; ","")&amp;IF(Raw_Data!L76="","Revenue imputed; ","")&amp;IF(Raw_Data!J76&lt;0,"Clicks corrected; ",""))</f>
        <v/>
      </c>
    </row>
    <row r="77" customFormat="false" ht="15" hidden="false" customHeight="true" outlineLevel="0" collapsed="false">
      <c r="A77" s="11" t="n">
        <f aca="false">Raw_Data!A77</f>
        <v>1370</v>
      </c>
      <c r="B77" s="11" t="str">
        <f aca="false">PROPER(TRIM(Raw_Data!B77))</f>
        <v>Wedding Season Special</v>
      </c>
      <c r="C77" s="11" t="str">
        <f aca="false">IFERROR(INDEX(Lookup_Tables!$B$2:$B$26,MATCH(UPPER(TRIM(Raw_Data!C77)),Lookup_Tables!$C$2:$C$26,0)),"Unknown")</f>
        <v>Google Ads</v>
      </c>
      <c r="D77" s="12" t="n">
        <f aca="false">IFERROR(IF(ISNUMBER(SEARCH("/",Raw_Data!D77)),DATE(VALUE(RIGHT(Raw_Data!D77,4)),VALUE(MID(Raw_Data!D77,FIND("/",Raw_Data!D77)+1,FIND("/",Raw_Data!D77,FIND("/",Raw_Data!D77)+1)-FIND("/",Raw_Data!D77)-1)),VALUE(LEFT(Raw_Data!D77,FIND("/",Raw_Data!D77)-1))),IF(ISNUMBER(VALUE(LEFT(Raw_Data!D77,4))),DATE(VALUE(LEFT(Raw_Data!D77,4)),VALUE(MID(Raw_Data!D77,6,2)),VALUE(MID(Raw_Data!D77,9,2))),DATEVALUE(Raw_Data!D77))),"")</f>
        <v>45531</v>
      </c>
      <c r="E77" s="12" t="n">
        <f aca="false">IFERROR(IF(ISNUMBER(SEARCH("/",Raw_Data!E77)),DATE(VALUE(RIGHT(Raw_Data!E77,4)),VALUE(MID(Raw_Data!E77,FIND("/",Raw_Data!E77)+1,FIND("/",Raw_Data!E77,FIND("/",Raw_Data!E77)+1)-FIND("/",Raw_Data!E77)-1)),VALUE(LEFT(Raw_Data!E77,FIND("/",Raw_Data!E77)-1))),IF(ISNUMBER(VALUE(LEFT(Raw_Data!E77,4))),DATE(VALUE(LEFT(Raw_Data!E77,4)),VALUE(MID(Raw_Data!E77,6,2)),VALUE(MID(Raw_Data!E77,9,2))),DATEVALUE(Raw_Data!E77))),"")</f>
        <v>45540</v>
      </c>
      <c r="F77" s="11" t="str">
        <f aca="false">Raw_Data!F77</f>
        <v>Male 35-44</v>
      </c>
      <c r="G77" s="11" t="str">
        <f aca="false">IF(TRIM(Raw_Data!G77)="","Unspecified",IFERROR(INDEX(Lookup_Tables!$F$2:$F$24,MATCH(UPPER(TRIM(Raw_Data!G77)),Lookup_Tables!$G$2:$G$24,0)),"Unknown"))</f>
        <v>East</v>
      </c>
      <c r="H77" s="11" t="n">
        <f aca="false">IF(Raw_Data!H77="",ROUND(AVERAGEIFS(Raw_Data!$H$2:$H$839,Raw_Data!$C$2:$C$839,Raw_Data!C77),2),Raw_Data!H77)</f>
        <v>32212.22</v>
      </c>
      <c r="I77" s="11" t="n">
        <f aca="false">Raw_Data!I77</f>
        <v>910336</v>
      </c>
      <c r="J77" s="11" t="n">
        <f aca="false">IF(Raw_Data!J77&lt;0,ABS(Raw_Data!J77),Raw_Data!J77)</f>
        <v>8424</v>
      </c>
      <c r="K77" s="11" t="n">
        <f aca="false">Raw_Data!K77</f>
        <v>153</v>
      </c>
      <c r="L77" s="11" t="n">
        <f aca="false">IF(Raw_Data!L77="",ROUND(AVERAGEIFS(Raw_Data!$L$2:$L$839,Raw_Data!$C$2:$C$839,Raw_Data!C77),2),Raw_Data!L77)</f>
        <v>63347.38</v>
      </c>
      <c r="M77" s="13" t="n">
        <f aca="false">IFERROR(J77/I77,0)</f>
        <v>0.00925372609673791</v>
      </c>
      <c r="N77" s="14" t="n">
        <f aca="false">IFERROR(H77/J77,0)</f>
        <v>3.82386277302944</v>
      </c>
      <c r="O77" s="14" t="n">
        <f aca="false">IFERROR(H77/K77,0)</f>
        <v>210.537385620915</v>
      </c>
      <c r="P77" s="15" t="n">
        <f aca="false">IFERROR(L77/H77,0)</f>
        <v>1.96656362088673</v>
      </c>
      <c r="Q77" s="13" t="n">
        <f aca="false">IFERROR(K77/J77,0)</f>
        <v>0.0181623931623932</v>
      </c>
      <c r="R77" s="11" t="str">
        <f aca="false">IF(COUNTIF($A$2:A77,A77)&gt;1,"Duplicate - Remove","Unique")</f>
        <v>Unique</v>
      </c>
      <c r="S77" s="11" t="str">
        <f aca="false">TRIM(IF(Raw_Data!G77="","Region missing; ","")&amp;IF(Raw_Data!H77="","Spend imputed; ","")&amp;IF(Raw_Data!L77="","Revenue imputed; ","")&amp;IF(Raw_Data!J77&lt;0,"Clicks corrected; ",""))</f>
        <v/>
      </c>
    </row>
    <row r="78" customFormat="false" ht="15" hidden="false" customHeight="true" outlineLevel="0" collapsed="false">
      <c r="A78" s="11" t="n">
        <f aca="false">Raw_Data!A78</f>
        <v>1565</v>
      </c>
      <c r="B78" s="11" t="str">
        <f aca="false">PROPER(TRIM(Raw_Data!B78))</f>
        <v>New Year Wellness</v>
      </c>
      <c r="C78" s="11" t="str">
        <f aca="false">IFERROR(INDEX(Lookup_Tables!$B$2:$B$26,MATCH(UPPER(TRIM(Raw_Data!C78)),Lookup_Tables!$C$2:$C$26,0)),"Unknown")</f>
        <v>Email</v>
      </c>
      <c r="D78" s="12" t="n">
        <f aca="false">IFERROR(IF(ISNUMBER(SEARCH("/",Raw_Data!D78)),DATE(VALUE(RIGHT(Raw_Data!D78,4)),VALUE(MID(Raw_Data!D78,FIND("/",Raw_Data!D78)+1,FIND("/",Raw_Data!D78,FIND("/",Raw_Data!D78)+1)-FIND("/",Raw_Data!D78)-1)),VALUE(LEFT(Raw_Data!D78,FIND("/",Raw_Data!D78)-1))),IF(ISNUMBER(VALUE(LEFT(Raw_Data!D78,4))),DATE(VALUE(LEFT(Raw_Data!D78,4)),VALUE(MID(Raw_Data!D78,6,2)),VALUE(MID(Raw_Data!D78,9,2))),DATEVALUE(Raw_Data!D78))),"")</f>
        <v>45299</v>
      </c>
      <c r="E78" s="12" t="n">
        <f aca="false">IFERROR(IF(ISNUMBER(SEARCH("/",Raw_Data!E78)),DATE(VALUE(RIGHT(Raw_Data!E78,4)),VALUE(MID(Raw_Data!E78,FIND("/",Raw_Data!E78)+1,FIND("/",Raw_Data!E78,FIND("/",Raw_Data!E78)+1)-FIND("/",Raw_Data!E78)-1)),VALUE(LEFT(Raw_Data!E78,FIND("/",Raw_Data!E78)-1))),IF(ISNUMBER(VALUE(LEFT(Raw_Data!E78,4))),DATE(VALUE(LEFT(Raw_Data!E78,4)),VALUE(MID(Raw_Data!E78,6,2)),VALUE(MID(Raw_Data!E78,9,2))),DATEVALUE(Raw_Data!E78))),"")</f>
        <v>45327</v>
      </c>
      <c r="F78" s="11" t="str">
        <f aca="false">Raw_Data!F78</f>
        <v>Female 18-24</v>
      </c>
      <c r="G78" s="11" t="str">
        <f aca="false">IF(TRIM(Raw_Data!G78)="","Unspecified",IFERROR(INDEX(Lookup_Tables!$F$2:$F$24,MATCH(UPPER(TRIM(Raw_Data!G78)),Lookup_Tables!$G$2:$G$24,0)),"Unknown"))</f>
        <v>South</v>
      </c>
      <c r="H78" s="11" t="n">
        <f aca="false">IF(Raw_Data!H78="",ROUND(AVERAGEIFS(Raw_Data!$H$2:$H$839,Raw_Data!$C$2:$C$839,Raw_Data!C78),2),Raw_Data!H78)</f>
        <v>6688.35</v>
      </c>
      <c r="I78" s="11" t="n">
        <f aca="false">Raw_Data!I78</f>
        <v>113135</v>
      </c>
      <c r="J78" s="11" t="n">
        <f aca="false">IF(Raw_Data!J78&lt;0,ABS(Raw_Data!J78),Raw_Data!J78)</f>
        <v>995</v>
      </c>
      <c r="K78" s="11" t="n">
        <f aca="false">Raw_Data!K78</f>
        <v>22</v>
      </c>
      <c r="L78" s="11" t="n">
        <f aca="false">IF(Raw_Data!L78="",ROUND(AVERAGEIFS(Raw_Data!$L$2:$L$839,Raw_Data!$C$2:$C$839,Raw_Data!C78),2),Raw_Data!L78)</f>
        <v>9094.65</v>
      </c>
      <c r="M78" s="13" t="n">
        <f aca="false">IFERROR(J78/I78,0)</f>
        <v>0.00879480266937729</v>
      </c>
      <c r="N78" s="14" t="n">
        <f aca="false">IFERROR(H78/J78,0)</f>
        <v>6.72195979899498</v>
      </c>
      <c r="O78" s="14" t="n">
        <f aca="false">IFERROR(H78/K78,0)</f>
        <v>304.015909090909</v>
      </c>
      <c r="P78" s="15" t="n">
        <f aca="false">IFERROR(L78/H78,0)</f>
        <v>1.35977483235776</v>
      </c>
      <c r="Q78" s="13" t="n">
        <f aca="false">IFERROR(K78/J78,0)</f>
        <v>0.0221105527638191</v>
      </c>
      <c r="R78" s="11" t="str">
        <f aca="false">IF(COUNTIF($A$2:A78,A78)&gt;1,"Duplicate - Remove","Unique")</f>
        <v>Unique</v>
      </c>
      <c r="S78" s="11" t="str">
        <f aca="false">TRIM(IF(Raw_Data!G78="","Region missing; ","")&amp;IF(Raw_Data!H78="","Spend imputed; ","")&amp;IF(Raw_Data!L78="","Revenue imputed; ","")&amp;IF(Raw_Data!J78&lt;0,"Clicks corrected; ",""))</f>
        <v/>
      </c>
    </row>
    <row r="79" customFormat="false" ht="15" hidden="false" customHeight="true" outlineLevel="0" collapsed="false">
      <c r="A79" s="11" t="n">
        <f aca="false">Raw_Data!A79</f>
        <v>1507</v>
      </c>
      <c r="B79" s="11" t="str">
        <f aca="false">PROPER(TRIM(Raw_Data!B79))</f>
        <v>Influencer Collab - Skincare</v>
      </c>
      <c r="C79" s="11" t="str">
        <f aca="false">IFERROR(INDEX(Lookup_Tables!$B$2:$B$26,MATCH(UPPER(TRIM(Raw_Data!C79)),Lookup_Tables!$C$2:$C$26,0)),"Unknown")</f>
        <v>Google Ads</v>
      </c>
      <c r="D79" s="12" t="n">
        <f aca="false">IFERROR(IF(ISNUMBER(SEARCH("/",Raw_Data!D79)),DATE(VALUE(RIGHT(Raw_Data!D79,4)),VALUE(MID(Raw_Data!D79,FIND("/",Raw_Data!D79)+1,FIND("/",Raw_Data!D79,FIND("/",Raw_Data!D79)+1)-FIND("/",Raw_Data!D79)-1)),VALUE(LEFT(Raw_Data!D79,FIND("/",Raw_Data!D79)-1))),IF(ISNUMBER(VALUE(LEFT(Raw_Data!D79,4))),DATE(VALUE(LEFT(Raw_Data!D79,4)),VALUE(MID(Raw_Data!D79,6,2)),VALUE(MID(Raw_Data!D79,9,2))),DATEVALUE(Raw_Data!D79))),"")</f>
        <v>45414</v>
      </c>
      <c r="E79" s="12" t="n">
        <f aca="false">IFERROR(IF(ISNUMBER(SEARCH("/",Raw_Data!E79)),DATE(VALUE(RIGHT(Raw_Data!E79,4)),VALUE(MID(Raw_Data!E79,FIND("/",Raw_Data!E79)+1,FIND("/",Raw_Data!E79,FIND("/",Raw_Data!E79)+1)-FIND("/",Raw_Data!E79)-1)),VALUE(LEFT(Raw_Data!E79,FIND("/",Raw_Data!E79)-1))),IF(ISNUMBER(VALUE(LEFT(Raw_Data!E79,4))),DATE(VALUE(LEFT(Raw_Data!E79,4)),VALUE(MID(Raw_Data!E79,6,2)),VALUE(MID(Raw_Data!E79,9,2))),DATEVALUE(Raw_Data!E79))),"")</f>
        <v>45425</v>
      </c>
      <c r="F79" s="11" t="str">
        <f aca="false">Raw_Data!F79</f>
        <v>Female 45+</v>
      </c>
      <c r="G79" s="11" t="str">
        <f aca="false">IF(TRIM(Raw_Data!G79)="","Unspecified",IFERROR(INDEX(Lookup_Tables!$F$2:$F$24,MATCH(UPPER(TRIM(Raw_Data!G79)),Lookup_Tables!$G$2:$G$24,0)),"Unknown"))</f>
        <v>Unspecified</v>
      </c>
      <c r="H79" s="11" t="n">
        <f aca="false">IF(Raw_Data!H79="",ROUND(AVERAGEIFS(Raw_Data!$H$2:$H$839,Raw_Data!$C$2:$C$839,Raw_Data!C79),2),Raw_Data!H79)</f>
        <v>52481.39</v>
      </c>
      <c r="I79" s="11" t="n">
        <f aca="false">Raw_Data!I79</f>
        <v>2044170</v>
      </c>
      <c r="J79" s="11" t="n">
        <f aca="false">IF(Raw_Data!J79&lt;0,ABS(Raw_Data!J79),Raw_Data!J79)</f>
        <v>44986</v>
      </c>
      <c r="K79" s="11" t="n">
        <f aca="false">Raw_Data!K79</f>
        <v>3581</v>
      </c>
      <c r="L79" s="11" t="n">
        <f aca="false">IF(Raw_Data!L79="",ROUND(AVERAGEIFS(Raw_Data!$L$2:$L$839,Raw_Data!$C$2:$C$839,Raw_Data!C79),2),Raw_Data!L79)</f>
        <v>1376716.55</v>
      </c>
      <c r="M79" s="13" t="n">
        <f aca="false">IFERROR(J79/I79,0)</f>
        <v>0.0220069759364436</v>
      </c>
      <c r="N79" s="14" t="n">
        <f aca="false">IFERROR(H79/J79,0)</f>
        <v>1.16661605832926</v>
      </c>
      <c r="O79" s="14" t="n">
        <f aca="false">IFERROR(H79/K79,0)</f>
        <v>14.6555124266965</v>
      </c>
      <c r="P79" s="15" t="n">
        <f aca="false">IFERROR(L79/H79,0)</f>
        <v>26.2324711673986</v>
      </c>
      <c r="Q79" s="13" t="n">
        <f aca="false">IFERROR(K79/J79,0)</f>
        <v>0.079602543013382</v>
      </c>
      <c r="R79" s="11" t="str">
        <f aca="false">IF(COUNTIF($A$2:A79,A79)&gt;1,"Duplicate - Remove","Unique")</f>
        <v>Unique</v>
      </c>
      <c r="S79" s="11" t="str">
        <f aca="false">TRIM(IF(Raw_Data!G79="","Region missing; ","")&amp;IF(Raw_Data!H79="","Spend imputed; ","")&amp;IF(Raw_Data!L79="","Revenue imputed; ","")&amp;IF(Raw_Data!J79&lt;0,"Clicks corrected; ",""))</f>
        <v>Region missing; Revenue imputed;</v>
      </c>
    </row>
    <row r="80" customFormat="false" ht="15" hidden="false" customHeight="true" outlineLevel="0" collapsed="false">
      <c r="A80" s="11" t="n">
        <f aca="false">Raw_Data!A80</f>
        <v>1262</v>
      </c>
      <c r="B80" s="11" t="str">
        <f aca="false">PROPER(TRIM(Raw_Data!B80))</f>
        <v>Clearance Sale Push</v>
      </c>
      <c r="C80" s="11" t="str">
        <f aca="false">IFERROR(INDEX(Lookup_Tables!$B$2:$B$26,MATCH(UPPER(TRIM(Raw_Data!C80)),Lookup_Tables!$C$2:$C$26,0)),"Unknown")</f>
        <v>Facebook</v>
      </c>
      <c r="D80" s="12" t="n">
        <f aca="false">IFERROR(IF(ISNUMBER(SEARCH("/",Raw_Data!D80)),DATE(VALUE(RIGHT(Raw_Data!D80,4)),VALUE(MID(Raw_Data!D80,FIND("/",Raw_Data!D80)+1,FIND("/",Raw_Data!D80,FIND("/",Raw_Data!D80)+1)-FIND("/",Raw_Data!D80)-1)),VALUE(LEFT(Raw_Data!D80,FIND("/",Raw_Data!D80)-1))),IF(ISNUMBER(VALUE(LEFT(Raw_Data!D80,4))),DATE(VALUE(LEFT(Raw_Data!D80,4)),VALUE(MID(Raw_Data!D80,6,2)),VALUE(MID(Raw_Data!D80,9,2))),DATEVALUE(Raw_Data!D80))),"")</f>
        <v>45596</v>
      </c>
      <c r="E80" s="12" t="n">
        <f aca="false">IFERROR(IF(ISNUMBER(SEARCH("/",Raw_Data!E80)),DATE(VALUE(RIGHT(Raw_Data!E80,4)),VALUE(MID(Raw_Data!E80,FIND("/",Raw_Data!E80)+1,FIND("/",Raw_Data!E80,FIND("/",Raw_Data!E80)+1)-FIND("/",Raw_Data!E80)-1)),VALUE(LEFT(Raw_Data!E80,FIND("/",Raw_Data!E80)-1))),IF(ISNUMBER(VALUE(LEFT(Raw_Data!E80,4))),DATE(VALUE(LEFT(Raw_Data!E80,4)),VALUE(MID(Raw_Data!E80,6,2)),VALUE(MID(Raw_Data!E80,9,2))),DATEVALUE(Raw_Data!E80))),"")</f>
        <v>45621</v>
      </c>
      <c r="F80" s="11" t="str">
        <f aca="false">Raw_Data!F80</f>
        <v>Female 25-34</v>
      </c>
      <c r="G80" s="11" t="str">
        <f aca="false">IF(TRIM(Raw_Data!G80)="","Unspecified",IFERROR(INDEX(Lookup_Tables!$F$2:$F$24,MATCH(UPPER(TRIM(Raw_Data!G80)),Lookup_Tables!$G$2:$G$24,0)),"Unknown"))</f>
        <v>West</v>
      </c>
      <c r="H80" s="11" t="n">
        <f aca="false">IF(Raw_Data!H80="",ROUND(AVERAGEIFS(Raw_Data!$H$2:$H$839,Raw_Data!$C$2:$C$839,Raw_Data!C80),2),Raw_Data!H80)</f>
        <v>7644.35</v>
      </c>
      <c r="I80" s="11" t="n">
        <f aca="false">Raw_Data!I80</f>
        <v>269146</v>
      </c>
      <c r="J80" s="11" t="n">
        <f aca="false">IF(Raw_Data!J80&lt;0,ABS(Raw_Data!J80),Raw_Data!J80)</f>
        <v>4426</v>
      </c>
      <c r="K80" s="11" t="n">
        <f aca="false">Raw_Data!K80</f>
        <v>285</v>
      </c>
      <c r="L80" s="11" t="n">
        <f aca="false">IF(Raw_Data!L80="",ROUND(AVERAGEIFS(Raw_Data!$L$2:$L$839,Raw_Data!$C$2:$C$839,Raw_Data!C80),2),Raw_Data!L80)</f>
        <v>480713.4</v>
      </c>
      <c r="M80" s="13" t="n">
        <f aca="false">IFERROR(J80/I80,0)</f>
        <v>0.0164446062731752</v>
      </c>
      <c r="N80" s="14" t="n">
        <f aca="false">IFERROR(H80/J80,0)</f>
        <v>1.7271464075915</v>
      </c>
      <c r="O80" s="14" t="n">
        <f aca="false">IFERROR(H80/K80,0)</f>
        <v>26.8222807017544</v>
      </c>
      <c r="P80" s="15" t="n">
        <f aca="false">IFERROR(L80/H80,0)</f>
        <v>62.8847972685709</v>
      </c>
      <c r="Q80" s="13" t="n">
        <f aca="false">IFERROR(K80/J80,0)</f>
        <v>0.0643922277451424</v>
      </c>
      <c r="R80" s="11" t="str">
        <f aca="false">IF(COUNTIF($A$2:A80,A80)&gt;1,"Duplicate - Remove","Unique")</f>
        <v>Unique</v>
      </c>
      <c r="S80" s="11" t="str">
        <f aca="false">TRIM(IF(Raw_Data!G80="","Region missing; ","")&amp;IF(Raw_Data!H80="","Spend imputed; ","")&amp;IF(Raw_Data!L80="","Revenue imputed; ","")&amp;IF(Raw_Data!J80&lt;0,"Clicks corrected; ",""))</f>
        <v/>
      </c>
    </row>
    <row r="81" customFormat="false" ht="15" hidden="false" customHeight="true" outlineLevel="0" collapsed="false">
      <c r="A81" s="11" t="n">
        <f aca="false">Raw_Data!A81</f>
        <v>1603</v>
      </c>
      <c r="B81" s="11" t="str">
        <f aca="false">PROPER(TRIM(Raw_Data!B81))</f>
        <v>Wedding Season Special</v>
      </c>
      <c r="C81" s="11" t="str">
        <f aca="false">IFERROR(INDEX(Lookup_Tables!$B$2:$B$26,MATCH(UPPER(TRIM(Raw_Data!C81)),Lookup_Tables!$C$2:$C$26,0)),"Unknown")</f>
        <v>Facebook</v>
      </c>
      <c r="D81" s="12" t="n">
        <f aca="false">IFERROR(IF(ISNUMBER(SEARCH("/",Raw_Data!D81)),DATE(VALUE(RIGHT(Raw_Data!D81,4)),VALUE(MID(Raw_Data!D81,FIND("/",Raw_Data!D81)+1,FIND("/",Raw_Data!D81,FIND("/",Raw_Data!D81)+1)-FIND("/",Raw_Data!D81)-1)),VALUE(LEFT(Raw_Data!D81,FIND("/",Raw_Data!D81)-1))),IF(ISNUMBER(VALUE(LEFT(Raw_Data!D81,4))),DATE(VALUE(LEFT(Raw_Data!D81,4)),VALUE(MID(Raw_Data!D81,6,2)),VALUE(MID(Raw_Data!D81,9,2))),DATEVALUE(Raw_Data!D81))),"")</f>
        <v>45331</v>
      </c>
      <c r="E81" s="12" t="n">
        <f aca="false">IFERROR(IF(ISNUMBER(SEARCH("/",Raw_Data!E81)),DATE(VALUE(RIGHT(Raw_Data!E81,4)),VALUE(MID(Raw_Data!E81,FIND("/",Raw_Data!E81)+1,FIND("/",Raw_Data!E81,FIND("/",Raw_Data!E81)+1)-FIND("/",Raw_Data!E81)-1)),VALUE(LEFT(Raw_Data!E81,FIND("/",Raw_Data!E81)-1))),IF(ISNUMBER(VALUE(LEFT(Raw_Data!E81,4))),DATE(VALUE(LEFT(Raw_Data!E81,4)),VALUE(MID(Raw_Data!E81,6,2)),VALUE(MID(Raw_Data!E81,9,2))),DATEVALUE(Raw_Data!E81))),"")</f>
        <v>45337</v>
      </c>
      <c r="F81" s="11" t="str">
        <f aca="false">Raw_Data!F81</f>
        <v>Male 35-44</v>
      </c>
      <c r="G81" s="11" t="str">
        <f aca="false">IF(TRIM(Raw_Data!G81)="","Unspecified",IFERROR(INDEX(Lookup_Tables!$F$2:$F$24,MATCH(UPPER(TRIM(Raw_Data!G81)),Lookup_Tables!$G$2:$G$24,0)),"Unknown"))</f>
        <v>South</v>
      </c>
      <c r="H81" s="11" t="n">
        <f aca="false">IF(Raw_Data!H81="",ROUND(AVERAGEIFS(Raw_Data!$H$2:$H$839,Raw_Data!$C$2:$C$839,Raw_Data!C81),2),Raw_Data!H81)</f>
        <v>28515.03</v>
      </c>
      <c r="I81" s="11" t="n">
        <f aca="false">Raw_Data!I81</f>
        <v>741169</v>
      </c>
      <c r="J81" s="11" t="n">
        <f aca="false">IF(Raw_Data!J81&lt;0,ABS(Raw_Data!J81),Raw_Data!J81)</f>
        <v>18488</v>
      </c>
      <c r="K81" s="11" t="n">
        <f aca="false">Raw_Data!K81</f>
        <v>608</v>
      </c>
      <c r="L81" s="11" t="n">
        <f aca="false">IF(Raw_Data!L81="",ROUND(AVERAGEIFS(Raw_Data!$L$2:$L$839,Raw_Data!$C$2:$C$839,Raw_Data!C81),2),Raw_Data!L81)</f>
        <v>653930.69</v>
      </c>
      <c r="M81" s="13" t="n">
        <f aca="false">IFERROR(J81/I81,0)</f>
        <v>0.0249443784076236</v>
      </c>
      <c r="N81" s="14" t="n">
        <f aca="false">IFERROR(H81/J81,0)</f>
        <v>1.54235341843358</v>
      </c>
      <c r="O81" s="14" t="n">
        <f aca="false">IFERROR(H81/K81,0)</f>
        <v>46.8997203947368</v>
      </c>
      <c r="P81" s="15" t="n">
        <f aca="false">IFERROR(L81/H81,0)</f>
        <v>22.9328424343232</v>
      </c>
      <c r="Q81" s="13" t="n">
        <f aca="false">IFERROR(K81/J81,0)</f>
        <v>0.0328861964517525</v>
      </c>
      <c r="R81" s="11" t="str">
        <f aca="false">IF(COUNTIF($A$2:A81,A81)&gt;1,"Duplicate - Remove","Unique")</f>
        <v>Unique</v>
      </c>
      <c r="S81" s="11" t="str">
        <f aca="false">TRIM(IF(Raw_Data!G81="","Region missing; ","")&amp;IF(Raw_Data!H81="","Spend imputed; ","")&amp;IF(Raw_Data!L81="","Revenue imputed; ","")&amp;IF(Raw_Data!J81&lt;0,"Clicks corrected; ",""))</f>
        <v/>
      </c>
    </row>
    <row r="82" customFormat="false" ht="15" hidden="false" customHeight="true" outlineLevel="0" collapsed="false">
      <c r="A82" s="11" t="n">
        <f aca="false">Raw_Data!A82</f>
        <v>1374</v>
      </c>
      <c r="B82" s="11" t="str">
        <f aca="false">PROPER(TRIM(Raw_Data!B82))</f>
        <v>Festive Gift Bundle</v>
      </c>
      <c r="C82" s="11" t="str">
        <f aca="false">IFERROR(INDEX(Lookup_Tables!$B$2:$B$26,MATCH(UPPER(TRIM(Raw_Data!C82)),Lookup_Tables!$C$2:$C$26,0)),"Unknown")</f>
        <v>Instagram</v>
      </c>
      <c r="D82" s="12" t="n">
        <f aca="false">IFERROR(IF(ISNUMBER(SEARCH("/",Raw_Data!D82)),DATE(VALUE(RIGHT(Raw_Data!D82,4)),VALUE(MID(Raw_Data!D82,FIND("/",Raw_Data!D82)+1,FIND("/",Raw_Data!D82,FIND("/",Raw_Data!D82)+1)-FIND("/",Raw_Data!D82)-1)),VALUE(LEFT(Raw_Data!D82,FIND("/",Raw_Data!D82)-1))),IF(ISNUMBER(VALUE(LEFT(Raw_Data!D82,4))),DATE(VALUE(LEFT(Raw_Data!D82,4)),VALUE(MID(Raw_Data!D82,6,2)),VALUE(MID(Raw_Data!D82,9,2))),DATEVALUE(Raw_Data!D82))),"")</f>
        <v>45596</v>
      </c>
      <c r="E82" s="12" t="n">
        <f aca="false">IFERROR(IF(ISNUMBER(SEARCH("/",Raw_Data!E82)),DATE(VALUE(RIGHT(Raw_Data!E82,4)),VALUE(MID(Raw_Data!E82,FIND("/",Raw_Data!E82)+1,FIND("/",Raw_Data!E82,FIND("/",Raw_Data!E82)+1)-FIND("/",Raw_Data!E82)-1)),VALUE(LEFT(Raw_Data!E82,FIND("/",Raw_Data!E82)-1))),IF(ISNUMBER(VALUE(LEFT(Raw_Data!E82,4))),DATE(VALUE(LEFT(Raw_Data!E82,4)),VALUE(MID(Raw_Data!E82,6,2)),VALUE(MID(Raw_Data!E82,9,2))),DATEVALUE(Raw_Data!E82))),"")</f>
        <v>45622</v>
      </c>
      <c r="F82" s="11" t="str">
        <f aca="false">Raw_Data!F82</f>
        <v>Male 25-34</v>
      </c>
      <c r="G82" s="11" t="str">
        <f aca="false">IF(TRIM(Raw_Data!G82)="","Unspecified",IFERROR(INDEX(Lookup_Tables!$F$2:$F$24,MATCH(UPPER(TRIM(Raw_Data!G82)),Lookup_Tables!$G$2:$G$24,0)),"Unknown"))</f>
        <v>West</v>
      </c>
      <c r="H82" s="11" t="n">
        <f aca="false">IF(Raw_Data!H82="",ROUND(AVERAGEIFS(Raw_Data!$H$2:$H$839,Raw_Data!$C$2:$C$839,Raw_Data!C82),2),Raw_Data!H82)</f>
        <v>25130.2</v>
      </c>
      <c r="I82" s="11" t="n">
        <f aca="false">Raw_Data!I82</f>
        <v>404500</v>
      </c>
      <c r="J82" s="11" t="n">
        <f aca="false">IF(Raw_Data!J82&lt;0,ABS(Raw_Data!J82),Raw_Data!J82)</f>
        <v>9574</v>
      </c>
      <c r="K82" s="11" t="n">
        <f aca="false">Raw_Data!K82</f>
        <v>399</v>
      </c>
      <c r="L82" s="11" t="n">
        <f aca="false">IF(Raw_Data!L82="",ROUND(AVERAGEIFS(Raw_Data!$L$2:$L$839,Raw_Data!$C$2:$C$839,Raw_Data!C82),2),Raw_Data!L82)</f>
        <v>687778.91</v>
      </c>
      <c r="M82" s="13" t="n">
        <f aca="false">IFERROR(J82/I82,0)</f>
        <v>0.0236687268232386</v>
      </c>
      <c r="N82" s="14" t="n">
        <f aca="false">IFERROR(H82/J82,0)</f>
        <v>2.62483810319616</v>
      </c>
      <c r="O82" s="14" t="n">
        <f aca="false">IFERROR(H82/K82,0)</f>
        <v>62.9829573934837</v>
      </c>
      <c r="P82" s="15" t="n">
        <f aca="false">IFERROR(L82/H82,0)</f>
        <v>27.3686206237913</v>
      </c>
      <c r="Q82" s="13" t="n">
        <f aca="false">IFERROR(K82/J82,0)</f>
        <v>0.0416753707959056</v>
      </c>
      <c r="R82" s="11" t="str">
        <f aca="false">IF(COUNTIF($A$2:A82,A82)&gt;1,"Duplicate - Remove","Unique")</f>
        <v>Unique</v>
      </c>
      <c r="S82" s="11" t="str">
        <f aca="false">TRIM(IF(Raw_Data!G82="","Region missing; ","")&amp;IF(Raw_Data!H82="","Spend imputed; ","")&amp;IF(Raw_Data!L82="","Revenue imputed; ","")&amp;IF(Raw_Data!J82&lt;0,"Clicks corrected; ",""))</f>
        <v/>
      </c>
    </row>
    <row r="83" customFormat="false" ht="15" hidden="false" customHeight="true" outlineLevel="0" collapsed="false">
      <c r="A83" s="11" t="n">
        <f aca="false">Raw_Data!A83</f>
        <v>1373</v>
      </c>
      <c r="B83" s="11" t="str">
        <f aca="false">PROPER(TRIM(Raw_Data!B83))</f>
        <v>Baby Care Trust Campaign</v>
      </c>
      <c r="C83" s="11" t="str">
        <f aca="false">IFERROR(INDEX(Lookup_Tables!$B$2:$B$26,MATCH(UPPER(TRIM(Raw_Data!C83)),Lookup_Tables!$C$2:$C$26,0)),"Unknown")</f>
        <v>YouTube</v>
      </c>
      <c r="D83" s="12" t="n">
        <f aca="false">IFERROR(IF(ISNUMBER(SEARCH("/",Raw_Data!D83)),DATE(VALUE(RIGHT(Raw_Data!D83,4)),VALUE(MID(Raw_Data!D83,FIND("/",Raw_Data!D83)+1,FIND("/",Raw_Data!D83,FIND("/",Raw_Data!D83)+1)-FIND("/",Raw_Data!D83)-1)),VALUE(LEFT(Raw_Data!D83,FIND("/",Raw_Data!D83)-1))),IF(ISNUMBER(VALUE(LEFT(Raw_Data!D83,4))),DATE(VALUE(LEFT(Raw_Data!D83,4)),VALUE(MID(Raw_Data!D83,6,2)),VALUE(MID(Raw_Data!D83,9,2))),DATEVALUE(Raw_Data!D83))),"")</f>
        <v>45505</v>
      </c>
      <c r="E83" s="12" t="n">
        <f aca="false">IFERROR(IF(ISNUMBER(SEARCH("/",Raw_Data!E83)),DATE(VALUE(RIGHT(Raw_Data!E83,4)),VALUE(MID(Raw_Data!E83,FIND("/",Raw_Data!E83)+1,FIND("/",Raw_Data!E83,FIND("/",Raw_Data!E83)+1)-FIND("/",Raw_Data!E83)-1)),VALUE(LEFT(Raw_Data!E83,FIND("/",Raw_Data!E83)-1))),IF(ISNUMBER(VALUE(LEFT(Raw_Data!E83,4))),DATE(VALUE(LEFT(Raw_Data!E83,4)),VALUE(MID(Raw_Data!E83,6,2)),VALUE(MID(Raw_Data!E83,9,2))),DATEVALUE(Raw_Data!E83))),"")</f>
        <v>45512</v>
      </c>
      <c r="F83" s="11" t="str">
        <f aca="false">Raw_Data!F83</f>
        <v>Female 35-44</v>
      </c>
      <c r="G83" s="11" t="str">
        <f aca="false">IF(TRIM(Raw_Data!G83)="","Unspecified",IFERROR(INDEX(Lookup_Tables!$F$2:$F$24,MATCH(UPPER(TRIM(Raw_Data!G83)),Lookup_Tables!$G$2:$G$24,0)),"Unknown"))</f>
        <v>Central</v>
      </c>
      <c r="H83" s="11" t="n">
        <f aca="false">IF(Raw_Data!H83="",ROUND(AVERAGEIFS(Raw_Data!$H$2:$H$839,Raw_Data!$C$2:$C$839,Raw_Data!C83),2),Raw_Data!H83)</f>
        <v>72619.01</v>
      </c>
      <c r="I83" s="11" t="n">
        <f aca="false">Raw_Data!I83</f>
        <v>2318195</v>
      </c>
      <c r="J83" s="11" t="n">
        <f aca="false">IF(Raw_Data!J83&lt;0,ABS(Raw_Data!J83),Raw_Data!J83)</f>
        <v>73303</v>
      </c>
      <c r="K83" s="11" t="n">
        <f aca="false">Raw_Data!K83</f>
        <v>866</v>
      </c>
      <c r="L83" s="11" t="n">
        <f aca="false">IF(Raw_Data!L83="",ROUND(AVERAGEIFS(Raw_Data!$L$2:$L$839,Raw_Data!$C$2:$C$839,Raw_Data!C83),2),Raw_Data!L83)</f>
        <v>1158623.91</v>
      </c>
      <c r="M83" s="13" t="n">
        <f aca="false">IFERROR(J83/I83,0)</f>
        <v>0.0316207221566779</v>
      </c>
      <c r="N83" s="14" t="n">
        <f aca="false">IFERROR(H83/J83,0)</f>
        <v>0.990669003997108</v>
      </c>
      <c r="O83" s="14" t="n">
        <f aca="false">IFERROR(H83/K83,0)</f>
        <v>83.8556697459584</v>
      </c>
      <c r="P83" s="15" t="n">
        <f aca="false">IFERROR(L83/H83,0)</f>
        <v>15.9548293208624</v>
      </c>
      <c r="Q83" s="13" t="n">
        <f aca="false">IFERROR(K83/J83,0)</f>
        <v>0.0118139775998254</v>
      </c>
      <c r="R83" s="11" t="str">
        <f aca="false">IF(COUNTIF($A$2:A83,A83)&gt;1,"Duplicate - Remove","Unique")</f>
        <v>Unique</v>
      </c>
      <c r="S83" s="11" t="str">
        <f aca="false">TRIM(IF(Raw_Data!G83="","Region missing; ","")&amp;IF(Raw_Data!H83="","Spend imputed; ","")&amp;IF(Raw_Data!L83="","Revenue imputed; ","")&amp;IF(Raw_Data!J83&lt;0,"Clicks corrected; ",""))</f>
        <v/>
      </c>
    </row>
    <row r="84" customFormat="false" ht="15" hidden="false" customHeight="true" outlineLevel="0" collapsed="false">
      <c r="A84" s="11" t="n">
        <f aca="false">Raw_Data!A84</f>
        <v>1476</v>
      </c>
      <c r="B84" s="11" t="str">
        <f aca="false">PROPER(TRIM(Raw_Data!B84))</f>
        <v>Festive Gift Bundle</v>
      </c>
      <c r="C84" s="11" t="str">
        <f aca="false">IFERROR(INDEX(Lookup_Tables!$B$2:$B$26,MATCH(UPPER(TRIM(Raw_Data!C84)),Lookup_Tables!$C$2:$C$26,0)),"Unknown")</f>
        <v>YouTube</v>
      </c>
      <c r="D84" s="12" t="n">
        <f aca="false">IFERROR(IF(ISNUMBER(SEARCH("/",Raw_Data!D84)),DATE(VALUE(RIGHT(Raw_Data!D84,4)),VALUE(MID(Raw_Data!D84,FIND("/",Raw_Data!D84)+1,FIND("/",Raw_Data!D84,FIND("/",Raw_Data!D84)+1)-FIND("/",Raw_Data!D84)-1)),VALUE(LEFT(Raw_Data!D84,FIND("/",Raw_Data!D84)-1))),IF(ISNUMBER(VALUE(LEFT(Raw_Data!D84,4))),DATE(VALUE(LEFT(Raw_Data!D84,4)),VALUE(MID(Raw_Data!D84,6,2)),VALUE(MID(Raw_Data!D84,9,2))),DATEVALUE(Raw_Data!D84))),"")</f>
        <v>45545</v>
      </c>
      <c r="E84" s="12" t="n">
        <f aca="false">IFERROR(IF(ISNUMBER(SEARCH("/",Raw_Data!E84)),DATE(VALUE(RIGHT(Raw_Data!E84,4)),VALUE(MID(Raw_Data!E84,FIND("/",Raw_Data!E84)+1,FIND("/",Raw_Data!E84,FIND("/",Raw_Data!E84)+1)-FIND("/",Raw_Data!E84)-1)),VALUE(LEFT(Raw_Data!E84,FIND("/",Raw_Data!E84)-1))),IF(ISNUMBER(VALUE(LEFT(Raw_Data!E84,4))),DATE(VALUE(LEFT(Raw_Data!E84,4)),VALUE(MID(Raw_Data!E84,6,2)),VALUE(MID(Raw_Data!E84,9,2))),DATEVALUE(Raw_Data!E84))),"")</f>
        <v>45562</v>
      </c>
      <c r="F84" s="11" t="str">
        <f aca="false">Raw_Data!F84</f>
        <v>Female 45+</v>
      </c>
      <c r="G84" s="11" t="str">
        <f aca="false">IF(TRIM(Raw_Data!G84)="","Unspecified",IFERROR(INDEX(Lookup_Tables!$F$2:$F$24,MATCH(UPPER(TRIM(Raw_Data!G84)),Lookup_Tables!$G$2:$G$24,0)),"Unknown"))</f>
        <v>Central</v>
      </c>
      <c r="H84" s="11" t="n">
        <f aca="false">IF(Raw_Data!H84="",ROUND(AVERAGEIFS(Raw_Data!$H$2:$H$839,Raw_Data!$C$2:$C$839,Raw_Data!C84),2),Raw_Data!H84)</f>
        <v>42996.28</v>
      </c>
      <c r="I84" s="11" t="n">
        <f aca="false">Raw_Data!I84</f>
        <v>766659</v>
      </c>
      <c r="J84" s="11" t="n">
        <f aca="false">IF(Raw_Data!J84&lt;0,ABS(Raw_Data!J84),Raw_Data!J84)</f>
        <v>24856</v>
      </c>
      <c r="K84" s="11" t="n">
        <f aca="false">Raw_Data!K84</f>
        <v>683</v>
      </c>
      <c r="L84" s="11" t="n">
        <f aca="false">IF(Raw_Data!L84="",ROUND(AVERAGEIFS(Raw_Data!$L$2:$L$839,Raw_Data!$C$2:$C$839,Raw_Data!C84),2),Raw_Data!L84)</f>
        <v>772967.12</v>
      </c>
      <c r="M84" s="13" t="n">
        <f aca="false">IFERROR(J84/I84,0)</f>
        <v>0.0324211937771552</v>
      </c>
      <c r="N84" s="14" t="n">
        <f aca="false">IFERROR(H84/J84,0)</f>
        <v>1.72981493401996</v>
      </c>
      <c r="O84" s="14" t="n">
        <f aca="false">IFERROR(H84/K84,0)</f>
        <v>62.952093704246</v>
      </c>
      <c r="P84" s="15" t="n">
        <f aca="false">IFERROR(L84/H84,0)</f>
        <v>17.9775348006851</v>
      </c>
      <c r="Q84" s="13" t="n">
        <f aca="false">IFERROR(K84/J84,0)</f>
        <v>0.0274782748632121</v>
      </c>
      <c r="R84" s="11" t="str">
        <f aca="false">IF(COUNTIF($A$2:A84,A84)&gt;1,"Duplicate - Remove","Unique")</f>
        <v>Unique</v>
      </c>
      <c r="S84" s="11" t="str">
        <f aca="false">TRIM(IF(Raw_Data!G84="","Region missing; ","")&amp;IF(Raw_Data!H84="","Spend imputed; ","")&amp;IF(Raw_Data!L84="","Revenue imputed; ","")&amp;IF(Raw_Data!J84&lt;0,"Clicks corrected; ",""))</f>
        <v/>
      </c>
    </row>
    <row r="85" customFormat="false" ht="15" hidden="false" customHeight="true" outlineLevel="0" collapsed="false">
      <c r="A85" s="11" t="n">
        <f aca="false">Raw_Data!A85</f>
        <v>1372</v>
      </c>
      <c r="B85" s="11" t="str">
        <f aca="false">PROPER(TRIM(Raw_Data!B85))</f>
        <v>Men'S Grooming Drive</v>
      </c>
      <c r="C85" s="11" t="str">
        <f aca="false">IFERROR(INDEX(Lookup_Tables!$B$2:$B$26,MATCH(UPPER(TRIM(Raw_Data!C85)),Lookup_Tables!$C$2:$C$26,0)),"Unknown")</f>
        <v>Instagram</v>
      </c>
      <c r="D85" s="12" t="n">
        <f aca="false">IFERROR(IF(ISNUMBER(SEARCH("/",Raw_Data!D85)),DATE(VALUE(RIGHT(Raw_Data!D85,4)),VALUE(MID(Raw_Data!D85,FIND("/",Raw_Data!D85)+1,FIND("/",Raw_Data!D85,FIND("/",Raw_Data!D85)+1)-FIND("/",Raw_Data!D85)-1)),VALUE(LEFT(Raw_Data!D85,FIND("/",Raw_Data!D85)-1))),IF(ISNUMBER(VALUE(LEFT(Raw_Data!D85,4))),DATE(VALUE(LEFT(Raw_Data!D85,4)),VALUE(MID(Raw_Data!D85,6,2)),VALUE(MID(Raw_Data!D85,9,2))),DATEVALUE(Raw_Data!D85))),"")</f>
        <v>45579</v>
      </c>
      <c r="E85" s="12" t="n">
        <f aca="false">IFERROR(IF(ISNUMBER(SEARCH("/",Raw_Data!E85)),DATE(VALUE(RIGHT(Raw_Data!E85,4)),VALUE(MID(Raw_Data!E85,FIND("/",Raw_Data!E85)+1,FIND("/",Raw_Data!E85,FIND("/",Raw_Data!E85)+1)-FIND("/",Raw_Data!E85)-1)),VALUE(LEFT(Raw_Data!E85,FIND("/",Raw_Data!E85)-1))),IF(ISNUMBER(VALUE(LEFT(Raw_Data!E85,4))),DATE(VALUE(LEFT(Raw_Data!E85,4)),VALUE(MID(Raw_Data!E85,6,2)),VALUE(MID(Raw_Data!E85,9,2))),DATEVALUE(Raw_Data!E85))),"")</f>
        <v>45599</v>
      </c>
      <c r="F85" s="11" t="str">
        <f aca="false">Raw_Data!F85</f>
        <v>Male 35-44</v>
      </c>
      <c r="G85" s="11" t="str">
        <f aca="false">IF(TRIM(Raw_Data!G85)="","Unspecified",IFERROR(INDEX(Lookup_Tables!$F$2:$F$24,MATCH(UPPER(TRIM(Raw_Data!G85)),Lookup_Tables!$G$2:$G$24,0)),"Unknown"))</f>
        <v>Unspecified</v>
      </c>
      <c r="H85" s="11" t="n">
        <f aca="false">IF(Raw_Data!H85="",ROUND(AVERAGEIFS(Raw_Data!$H$2:$H$839,Raw_Data!$C$2:$C$839,Raw_Data!C85),2),Raw_Data!H85)</f>
        <v>33635.4</v>
      </c>
      <c r="I85" s="11" t="n">
        <f aca="false">Raw_Data!I85</f>
        <v>1215783</v>
      </c>
      <c r="J85" s="11" t="n">
        <f aca="false">IF(Raw_Data!J85&lt;0,ABS(Raw_Data!J85),Raw_Data!J85)</f>
        <v>37697</v>
      </c>
      <c r="K85" s="11" t="n">
        <f aca="false">Raw_Data!K85</f>
        <v>703</v>
      </c>
      <c r="L85" s="11" t="n">
        <f aca="false">IF(Raw_Data!L85="",ROUND(AVERAGEIFS(Raw_Data!$L$2:$L$839,Raw_Data!$C$2:$C$839,Raw_Data!C85),2),Raw_Data!L85)</f>
        <v>341438.61</v>
      </c>
      <c r="M85" s="13" t="n">
        <f aca="false">IFERROR(J85/I85,0)</f>
        <v>0.0310063555749669</v>
      </c>
      <c r="N85" s="14" t="n">
        <f aca="false">IFERROR(H85/J85,0)</f>
        <v>0.892256678250259</v>
      </c>
      <c r="O85" s="14" t="n">
        <f aca="false">IFERROR(H85/K85,0)</f>
        <v>47.8455192034139</v>
      </c>
      <c r="P85" s="15" t="n">
        <f aca="false">IFERROR(L85/H85,0)</f>
        <v>10.1511684118518</v>
      </c>
      <c r="Q85" s="13" t="n">
        <f aca="false">IFERROR(K85/J85,0)</f>
        <v>0.0186486988354511</v>
      </c>
      <c r="R85" s="11" t="str">
        <f aca="false">IF(COUNTIF($A$2:A85,A85)&gt;1,"Duplicate - Remove","Unique")</f>
        <v>Unique</v>
      </c>
      <c r="S85" s="11" t="str">
        <f aca="false">TRIM(IF(Raw_Data!G85="","Region missing; ","")&amp;IF(Raw_Data!H85="","Spend imputed; ","")&amp;IF(Raw_Data!L85="","Revenue imputed; ","")&amp;IF(Raw_Data!J85&lt;0,"Clicks corrected; ",""))</f>
        <v>Region missing;</v>
      </c>
    </row>
    <row r="86" customFormat="false" ht="15" hidden="false" customHeight="true" outlineLevel="0" collapsed="false">
      <c r="A86" s="11" t="n">
        <f aca="false">Raw_Data!A86</f>
        <v>1274</v>
      </c>
      <c r="B86" s="11" t="str">
        <f aca="false">PROPER(TRIM(Raw_Data!B86))</f>
        <v>Sunscreen Season Campaign</v>
      </c>
      <c r="C86" s="11" t="str">
        <f aca="false">IFERROR(INDEX(Lookup_Tables!$B$2:$B$26,MATCH(UPPER(TRIM(Raw_Data!C86)),Lookup_Tables!$C$2:$C$26,0)),"Unknown")</f>
        <v>Email</v>
      </c>
      <c r="D86" s="12" t="n">
        <f aca="false">IFERROR(IF(ISNUMBER(SEARCH("/",Raw_Data!D86)),DATE(VALUE(RIGHT(Raw_Data!D86,4)),VALUE(MID(Raw_Data!D86,FIND("/",Raw_Data!D86)+1,FIND("/",Raw_Data!D86,FIND("/",Raw_Data!D86)+1)-FIND("/",Raw_Data!D86)-1)),VALUE(LEFT(Raw_Data!D86,FIND("/",Raw_Data!D86)-1))),IF(ISNUMBER(VALUE(LEFT(Raw_Data!D86,4))),DATE(VALUE(LEFT(Raw_Data!D86,4)),VALUE(MID(Raw_Data!D86,6,2)),VALUE(MID(Raw_Data!D86,9,2))),DATEVALUE(Raw_Data!D86))),"")</f>
        <v>45430</v>
      </c>
      <c r="E86" s="12" t="n">
        <f aca="false">IFERROR(IF(ISNUMBER(SEARCH("/",Raw_Data!E86)),DATE(VALUE(RIGHT(Raw_Data!E86,4)),VALUE(MID(Raw_Data!E86,FIND("/",Raw_Data!E86)+1,FIND("/",Raw_Data!E86,FIND("/",Raw_Data!E86)+1)-FIND("/",Raw_Data!E86)-1)),VALUE(LEFT(Raw_Data!E86,FIND("/",Raw_Data!E86)-1))),IF(ISNUMBER(VALUE(LEFT(Raw_Data!E86,4))),DATE(VALUE(LEFT(Raw_Data!E86,4)),VALUE(MID(Raw_Data!E86,6,2)),VALUE(MID(Raw_Data!E86,9,2))),DATEVALUE(Raw_Data!E86))),"")</f>
        <v>45448</v>
      </c>
      <c r="F86" s="11" t="str">
        <f aca="false">Raw_Data!F86</f>
        <v>Female 18-24</v>
      </c>
      <c r="G86" s="11" t="str">
        <f aca="false">IF(TRIM(Raw_Data!G86)="","Unspecified",IFERROR(INDEX(Lookup_Tables!$F$2:$F$24,MATCH(UPPER(TRIM(Raw_Data!G86)),Lookup_Tables!$G$2:$G$24,0)),"Unknown"))</f>
        <v>North</v>
      </c>
      <c r="H86" s="11" t="n">
        <f aca="false">IF(Raw_Data!H86="",ROUND(AVERAGEIFS(Raw_Data!$H$2:$H$839,Raw_Data!$C$2:$C$839,Raw_Data!C86),2),Raw_Data!H86)</f>
        <v>6196.57</v>
      </c>
      <c r="I86" s="11" t="n">
        <f aca="false">Raw_Data!I86</f>
        <v>246041</v>
      </c>
      <c r="J86" s="11" t="n">
        <f aca="false">IF(Raw_Data!J86&lt;0,ABS(Raw_Data!J86),Raw_Data!J86)</f>
        <v>6823</v>
      </c>
      <c r="K86" s="11" t="n">
        <f aca="false">Raw_Data!K86</f>
        <v>99</v>
      </c>
      <c r="L86" s="11" t="n">
        <f aca="false">IF(Raw_Data!L86="",ROUND(AVERAGEIFS(Raw_Data!$L$2:$L$839,Raw_Data!$C$2:$C$839,Raw_Data!C86),2),Raw_Data!L86)</f>
        <v>167735.67</v>
      </c>
      <c r="M86" s="13" t="n">
        <f aca="false">IFERROR(J86/I86,0)</f>
        <v>0.027731150499307</v>
      </c>
      <c r="N86" s="14" t="n">
        <f aca="false">IFERROR(H86/J86,0)</f>
        <v>0.908188480140701</v>
      </c>
      <c r="O86" s="14" t="n">
        <f aca="false">IFERROR(H86/K86,0)</f>
        <v>62.5916161616162</v>
      </c>
      <c r="P86" s="15" t="n">
        <f aca="false">IFERROR(L86/H86,0)</f>
        <v>27.0691156559193</v>
      </c>
      <c r="Q86" s="13" t="n">
        <f aca="false">IFERROR(K86/J86,0)</f>
        <v>0.0145097464458449</v>
      </c>
      <c r="R86" s="11" t="str">
        <f aca="false">IF(COUNTIF($A$2:A86,A86)&gt;1,"Duplicate - Remove","Unique")</f>
        <v>Unique</v>
      </c>
      <c r="S86" s="11" t="str">
        <f aca="false">TRIM(IF(Raw_Data!G86="","Region missing; ","")&amp;IF(Raw_Data!H86="","Spend imputed; ","")&amp;IF(Raw_Data!L86="","Revenue imputed; ","")&amp;IF(Raw_Data!J86&lt;0,"Clicks corrected; ",""))</f>
        <v/>
      </c>
    </row>
    <row r="87" customFormat="false" ht="15" hidden="false" customHeight="true" outlineLevel="0" collapsed="false">
      <c r="A87" s="11" t="n">
        <f aca="false">Raw_Data!A87</f>
        <v>1490</v>
      </c>
      <c r="B87" s="11" t="str">
        <f aca="false">PROPER(TRIM(Raw_Data!B87))</f>
        <v>Men'S Grooming Drive</v>
      </c>
      <c r="C87" s="11" t="str">
        <f aca="false">IFERROR(INDEX(Lookup_Tables!$B$2:$B$26,MATCH(UPPER(TRIM(Raw_Data!C87)),Lookup_Tables!$C$2:$C$26,0)),"Unknown")</f>
        <v>Google Ads</v>
      </c>
      <c r="D87" s="12" t="n">
        <f aca="false">IFERROR(IF(ISNUMBER(SEARCH("/",Raw_Data!D87)),DATE(VALUE(RIGHT(Raw_Data!D87,4)),VALUE(MID(Raw_Data!D87,FIND("/",Raw_Data!D87)+1,FIND("/",Raw_Data!D87,FIND("/",Raw_Data!D87)+1)-FIND("/",Raw_Data!D87)-1)),VALUE(LEFT(Raw_Data!D87,FIND("/",Raw_Data!D87)-1))),IF(ISNUMBER(VALUE(LEFT(Raw_Data!D87,4))),DATE(VALUE(LEFT(Raw_Data!D87,4)),VALUE(MID(Raw_Data!D87,6,2)),VALUE(MID(Raw_Data!D87,9,2))),DATEVALUE(Raw_Data!D87))),"")</f>
        <v>45626</v>
      </c>
      <c r="E87" s="12" t="n">
        <f aca="false">IFERROR(IF(ISNUMBER(SEARCH("/",Raw_Data!E87)),DATE(VALUE(RIGHT(Raw_Data!E87,4)),VALUE(MID(Raw_Data!E87,FIND("/",Raw_Data!E87)+1,FIND("/",Raw_Data!E87,FIND("/",Raw_Data!E87)+1)-FIND("/",Raw_Data!E87)-1)),VALUE(LEFT(Raw_Data!E87,FIND("/",Raw_Data!E87)-1))),IF(ISNUMBER(VALUE(LEFT(Raw_Data!E87,4))),DATE(VALUE(LEFT(Raw_Data!E87,4)),VALUE(MID(Raw_Data!E87,6,2)),VALUE(MID(Raw_Data!E87,9,2))),DATEVALUE(Raw_Data!E87))),"")</f>
        <v>45639</v>
      </c>
      <c r="F87" s="11" t="str">
        <f aca="false">Raw_Data!F87</f>
        <v>Female 45+</v>
      </c>
      <c r="G87" s="11" t="str">
        <f aca="false">IF(TRIM(Raw_Data!G87)="","Unspecified",IFERROR(INDEX(Lookup_Tables!$F$2:$F$24,MATCH(UPPER(TRIM(Raw_Data!G87)),Lookup_Tables!$G$2:$G$24,0)),"Unknown"))</f>
        <v>Central</v>
      </c>
      <c r="H87" s="11" t="n">
        <f aca="false">IF(Raw_Data!H87="",ROUND(AVERAGEIFS(Raw_Data!$H$2:$H$839,Raw_Data!$C$2:$C$839,Raw_Data!C87),2),Raw_Data!H87)</f>
        <v>54401.39</v>
      </c>
      <c r="I87" s="11" t="n">
        <f aca="false">Raw_Data!I87</f>
        <v>1565233</v>
      </c>
      <c r="J87" s="11" t="n">
        <f aca="false">IF(Raw_Data!J87&lt;0,ABS(Raw_Data!J87),Raw_Data!J87)</f>
        <v>46182</v>
      </c>
      <c r="K87" s="11" t="n">
        <f aca="false">Raw_Data!K87</f>
        <v>1175</v>
      </c>
      <c r="L87" s="11" t="n">
        <f aca="false">IF(Raw_Data!L87="",ROUND(AVERAGEIFS(Raw_Data!$L$2:$L$839,Raw_Data!$C$2:$C$839,Raw_Data!C87),2),Raw_Data!L87)</f>
        <v>869206.93</v>
      </c>
      <c r="M87" s="13" t="n">
        <f aca="false">IFERROR(J87/I87,0)</f>
        <v>0.0295048724375221</v>
      </c>
      <c r="N87" s="14" t="n">
        <f aca="false">IFERROR(H87/J87,0)</f>
        <v>1.17797821662119</v>
      </c>
      <c r="O87" s="14" t="n">
        <f aca="false">IFERROR(H87/K87,0)</f>
        <v>46.2990553191489</v>
      </c>
      <c r="P87" s="15" t="n">
        <f aca="false">IFERROR(L87/H87,0)</f>
        <v>15.9776603134589</v>
      </c>
      <c r="Q87" s="13" t="n">
        <f aca="false">IFERROR(K87/J87,0)</f>
        <v>0.0254428132172708</v>
      </c>
      <c r="R87" s="11" t="str">
        <f aca="false">IF(COUNTIF($A$2:A87,A87)&gt;1,"Duplicate - Remove","Unique")</f>
        <v>Unique</v>
      </c>
      <c r="S87" s="11" t="str">
        <f aca="false">TRIM(IF(Raw_Data!G87="","Region missing; ","")&amp;IF(Raw_Data!H87="","Spend imputed; ","")&amp;IF(Raw_Data!L87="","Revenue imputed; ","")&amp;IF(Raw_Data!J87&lt;0,"Clicks corrected; ",""))</f>
        <v/>
      </c>
    </row>
    <row r="88" customFormat="false" ht="15" hidden="false" customHeight="true" outlineLevel="0" collapsed="false">
      <c r="A88" s="11" t="n">
        <f aca="false">Raw_Data!A88</f>
        <v>1119</v>
      </c>
      <c r="B88" s="11" t="str">
        <f aca="false">PROPER(TRIM(Raw_Data!B88))</f>
        <v>Summer Glow Launch</v>
      </c>
      <c r="C88" s="11" t="str">
        <f aca="false">IFERROR(INDEX(Lookup_Tables!$B$2:$B$26,MATCH(UPPER(TRIM(Raw_Data!C88)),Lookup_Tables!$C$2:$C$26,0)),"Unknown")</f>
        <v>Instagram</v>
      </c>
      <c r="D88" s="12" t="n">
        <f aca="false">IFERROR(IF(ISNUMBER(SEARCH("/",Raw_Data!D88)),DATE(VALUE(RIGHT(Raw_Data!D88,4)),VALUE(MID(Raw_Data!D88,FIND("/",Raw_Data!D88)+1,FIND("/",Raw_Data!D88,FIND("/",Raw_Data!D88)+1)-FIND("/",Raw_Data!D88)-1)),VALUE(LEFT(Raw_Data!D88,FIND("/",Raw_Data!D88)-1))),IF(ISNUMBER(VALUE(LEFT(Raw_Data!D88,4))),DATE(VALUE(LEFT(Raw_Data!D88,4)),VALUE(MID(Raw_Data!D88,6,2)),VALUE(MID(Raw_Data!D88,9,2))),DATEVALUE(Raw_Data!D88))),"")</f>
        <v>45326</v>
      </c>
      <c r="E88" s="12" t="n">
        <f aca="false">IFERROR(IF(ISNUMBER(SEARCH("/",Raw_Data!E88)),DATE(VALUE(RIGHT(Raw_Data!E88,4)),VALUE(MID(Raw_Data!E88,FIND("/",Raw_Data!E88)+1,FIND("/",Raw_Data!E88,FIND("/",Raw_Data!E88)+1)-FIND("/",Raw_Data!E88)-1)),VALUE(LEFT(Raw_Data!E88,FIND("/",Raw_Data!E88)-1))),IF(ISNUMBER(VALUE(LEFT(Raw_Data!E88,4))),DATE(VALUE(LEFT(Raw_Data!E88,4)),VALUE(MID(Raw_Data!E88,6,2)),VALUE(MID(Raw_Data!E88,9,2))),DATEVALUE(Raw_Data!E88))),"")</f>
        <v>45353</v>
      </c>
      <c r="F88" s="11" t="str">
        <f aca="false">Raw_Data!F88</f>
        <v>Male 18-24</v>
      </c>
      <c r="G88" s="11" t="str">
        <f aca="false">IF(TRIM(Raw_Data!G88)="","Unspecified",IFERROR(INDEX(Lookup_Tables!$F$2:$F$24,MATCH(UPPER(TRIM(Raw_Data!G88)),Lookup_Tables!$G$2:$G$24,0)),"Unknown"))</f>
        <v>North</v>
      </c>
      <c r="H88" s="11" t="n">
        <f aca="false">IF(Raw_Data!H88="",ROUND(AVERAGEIFS(Raw_Data!$H$2:$H$839,Raw_Data!$C$2:$C$839,Raw_Data!C88),2),Raw_Data!H88)</f>
        <v>8475.36</v>
      </c>
      <c r="I88" s="11" t="n">
        <f aca="false">Raw_Data!I88</f>
        <v>234287</v>
      </c>
      <c r="J88" s="11" t="n">
        <f aca="false">IF(Raw_Data!J88&lt;0,ABS(Raw_Data!J88),Raw_Data!J88)</f>
        <v>3794</v>
      </c>
      <c r="K88" s="11" t="n">
        <f aca="false">Raw_Data!K88</f>
        <v>202</v>
      </c>
      <c r="L88" s="11" t="n">
        <f aca="false">IF(Raw_Data!L88="",ROUND(AVERAGEIFS(Raw_Data!$L$2:$L$839,Raw_Data!$C$2:$C$839,Raw_Data!C88),2),Raw_Data!L88)</f>
        <v>265992.46</v>
      </c>
      <c r="M88" s="13" t="n">
        <f aca="false">IFERROR(J88/I88,0)</f>
        <v>0.0161938135705353</v>
      </c>
      <c r="N88" s="14" t="n">
        <f aca="false">IFERROR(H88/J88,0)</f>
        <v>2.23388508170796</v>
      </c>
      <c r="O88" s="14" t="n">
        <f aca="false">IFERROR(H88/K88,0)</f>
        <v>41.9572277227723</v>
      </c>
      <c r="P88" s="15" t="n">
        <f aca="false">IFERROR(L88/H88,0)</f>
        <v>31.3842078684563</v>
      </c>
      <c r="Q88" s="13" t="n">
        <f aca="false">IFERROR(K88/J88,0)</f>
        <v>0.0532419609910385</v>
      </c>
      <c r="R88" s="11" t="str">
        <f aca="false">IF(COUNTIF($A$2:A88,A88)&gt;1,"Duplicate - Remove","Unique")</f>
        <v>Unique</v>
      </c>
      <c r="S88" s="11" t="str">
        <f aca="false">TRIM(IF(Raw_Data!G88="","Region missing; ","")&amp;IF(Raw_Data!H88="","Spend imputed; ","")&amp;IF(Raw_Data!L88="","Revenue imputed; ","")&amp;IF(Raw_Data!J88&lt;0,"Clicks corrected; ",""))</f>
        <v/>
      </c>
    </row>
    <row r="89" customFormat="false" ht="15" hidden="false" customHeight="true" outlineLevel="0" collapsed="false">
      <c r="A89" s="11" t="n">
        <f aca="false">Raw_Data!A89</f>
        <v>1416</v>
      </c>
      <c r="B89" s="11" t="str">
        <f aca="false">PROPER(TRIM(Raw_Data!B89))</f>
        <v>Festive Gift Bundle</v>
      </c>
      <c r="C89" s="11" t="str">
        <f aca="false">IFERROR(INDEX(Lookup_Tables!$B$2:$B$26,MATCH(UPPER(TRIM(Raw_Data!C89)),Lookup_Tables!$C$2:$C$26,0)),"Unknown")</f>
        <v>Facebook</v>
      </c>
      <c r="D89" s="12" t="n">
        <f aca="false">IFERROR(IF(ISNUMBER(SEARCH("/",Raw_Data!D89)),DATE(VALUE(RIGHT(Raw_Data!D89,4)),VALUE(MID(Raw_Data!D89,FIND("/",Raw_Data!D89)+1,FIND("/",Raw_Data!D89,FIND("/",Raw_Data!D89)+1)-FIND("/",Raw_Data!D89)-1)),VALUE(LEFT(Raw_Data!D89,FIND("/",Raw_Data!D89)-1))),IF(ISNUMBER(VALUE(LEFT(Raw_Data!D89,4))),DATE(VALUE(LEFT(Raw_Data!D89,4)),VALUE(MID(Raw_Data!D89,6,2)),VALUE(MID(Raw_Data!D89,9,2))),DATEVALUE(Raw_Data!D89))),"")</f>
        <v>45387</v>
      </c>
      <c r="E89" s="12" t="n">
        <f aca="false">IFERROR(IF(ISNUMBER(SEARCH("/",Raw_Data!E89)),DATE(VALUE(RIGHT(Raw_Data!E89,4)),VALUE(MID(Raw_Data!E89,FIND("/",Raw_Data!E89)+1,FIND("/",Raw_Data!E89,FIND("/",Raw_Data!E89)+1)-FIND("/",Raw_Data!E89)-1)),VALUE(LEFT(Raw_Data!E89,FIND("/",Raw_Data!E89)-1))),IF(ISNUMBER(VALUE(LEFT(Raw_Data!E89,4))),DATE(VALUE(LEFT(Raw_Data!E89,4)),VALUE(MID(Raw_Data!E89,6,2)),VALUE(MID(Raw_Data!E89,9,2))),DATEVALUE(Raw_Data!E89))),"")</f>
        <v>45399</v>
      </c>
      <c r="F89" s="11" t="str">
        <f aca="false">Raw_Data!F89</f>
        <v>Male 45+</v>
      </c>
      <c r="G89" s="11" t="str">
        <f aca="false">IF(TRIM(Raw_Data!G89)="","Unspecified",IFERROR(INDEX(Lookup_Tables!$F$2:$F$24,MATCH(UPPER(TRIM(Raw_Data!G89)),Lookup_Tables!$G$2:$G$24,0)),"Unknown"))</f>
        <v>West</v>
      </c>
      <c r="H89" s="11" t="n">
        <f aca="false">IF(Raw_Data!H89="",ROUND(AVERAGEIFS(Raw_Data!$H$2:$H$839,Raw_Data!$C$2:$C$839,Raw_Data!C89),2),Raw_Data!H89)</f>
        <v>41069.13</v>
      </c>
      <c r="I89" s="11" t="n">
        <f aca="false">Raw_Data!I89</f>
        <v>678144</v>
      </c>
      <c r="J89" s="11" t="n">
        <f aca="false">IF(Raw_Data!J89&lt;0,ABS(Raw_Data!J89),Raw_Data!J89)</f>
        <v>9731</v>
      </c>
      <c r="K89" s="11" t="n">
        <f aca="false">Raw_Data!K89</f>
        <v>394</v>
      </c>
      <c r="L89" s="11" t="n">
        <f aca="false">IF(Raw_Data!L89="",ROUND(AVERAGEIFS(Raw_Data!$L$2:$L$839,Raw_Data!$C$2:$C$839,Raw_Data!C89),2),Raw_Data!L89)</f>
        <v>686200.23</v>
      </c>
      <c r="M89" s="13" t="n">
        <f aca="false">IFERROR(J89/I89,0)</f>
        <v>0.0143494597017743</v>
      </c>
      <c r="N89" s="14" t="n">
        <f aca="false">IFERROR(H89/J89,0)</f>
        <v>4.22044291439729</v>
      </c>
      <c r="O89" s="14" t="n">
        <f aca="false">IFERROR(H89/K89,0)</f>
        <v>104.236370558376</v>
      </c>
      <c r="P89" s="15" t="n">
        <f aca="false">IFERROR(L89/H89,0)</f>
        <v>16.7084189511684</v>
      </c>
      <c r="Q89" s="13" t="n">
        <f aca="false">IFERROR(K89/J89,0)</f>
        <v>0.0404891583598808</v>
      </c>
      <c r="R89" s="11" t="str">
        <f aca="false">IF(COUNTIF($A$2:A89,A89)&gt;1,"Duplicate - Remove","Unique")</f>
        <v>Unique</v>
      </c>
      <c r="S89" s="11" t="str">
        <f aca="false">TRIM(IF(Raw_Data!G89="","Region missing; ","")&amp;IF(Raw_Data!H89="","Spend imputed; ","")&amp;IF(Raw_Data!L89="","Revenue imputed; ","")&amp;IF(Raw_Data!J89&lt;0,"Clicks corrected; ",""))</f>
        <v/>
      </c>
    </row>
    <row r="90" customFormat="false" ht="15" hidden="false" customHeight="true" outlineLevel="0" collapsed="false">
      <c r="A90" s="11" t="n">
        <f aca="false">Raw_Data!A90</f>
        <v>1792</v>
      </c>
      <c r="B90" s="11" t="str">
        <f aca="false">PROPER(TRIM(Raw_Data!B90))</f>
        <v>Hair Care Revamp</v>
      </c>
      <c r="C90" s="11" t="str">
        <f aca="false">IFERROR(INDEX(Lookup_Tables!$B$2:$B$26,MATCH(UPPER(TRIM(Raw_Data!C90)),Lookup_Tables!$C$2:$C$26,0)),"Unknown")</f>
        <v>Instagram</v>
      </c>
      <c r="D90" s="12" t="n">
        <f aca="false">IFERROR(IF(ISNUMBER(SEARCH("/",Raw_Data!D90)),DATE(VALUE(RIGHT(Raw_Data!D90,4)),VALUE(MID(Raw_Data!D90,FIND("/",Raw_Data!D90)+1,FIND("/",Raw_Data!D90,FIND("/",Raw_Data!D90)+1)-FIND("/",Raw_Data!D90)-1)),VALUE(LEFT(Raw_Data!D90,FIND("/",Raw_Data!D90)-1))),IF(ISNUMBER(VALUE(LEFT(Raw_Data!D90,4))),DATE(VALUE(LEFT(Raw_Data!D90,4)),VALUE(MID(Raw_Data!D90,6,2)),VALUE(MID(Raw_Data!D90,9,2))),DATEVALUE(Raw_Data!D90))),"")</f>
        <v>45599</v>
      </c>
      <c r="E90" s="12" t="n">
        <f aca="false">IFERROR(IF(ISNUMBER(SEARCH("/",Raw_Data!E90)),DATE(VALUE(RIGHT(Raw_Data!E90,4)),VALUE(MID(Raw_Data!E90,FIND("/",Raw_Data!E90)+1,FIND("/",Raw_Data!E90,FIND("/",Raw_Data!E90)+1)-FIND("/",Raw_Data!E90)-1)),VALUE(LEFT(Raw_Data!E90,FIND("/",Raw_Data!E90)-1))),IF(ISNUMBER(VALUE(LEFT(Raw_Data!E90,4))),DATE(VALUE(LEFT(Raw_Data!E90,4)),VALUE(MID(Raw_Data!E90,6,2)),VALUE(MID(Raw_Data!E90,9,2))),DATEVALUE(Raw_Data!E90))),"")</f>
        <v>45625</v>
      </c>
      <c r="F90" s="11" t="str">
        <f aca="false">Raw_Data!F90</f>
        <v>Male 25-34</v>
      </c>
      <c r="G90" s="11" t="str">
        <f aca="false">IF(TRIM(Raw_Data!G90)="","Unspecified",IFERROR(INDEX(Lookup_Tables!$F$2:$F$24,MATCH(UPPER(TRIM(Raw_Data!G90)),Lookup_Tables!$G$2:$G$24,0)),"Unknown"))</f>
        <v>West</v>
      </c>
      <c r="H90" s="11" t="n">
        <f aca="false">IF(Raw_Data!H90="",ROUND(AVERAGEIFS(Raw_Data!$H$2:$H$839,Raw_Data!$C$2:$C$839,Raw_Data!C90),2),Raw_Data!H90)</f>
        <v>33825.05</v>
      </c>
      <c r="I90" s="11" t="n">
        <f aca="false">Raw_Data!I90</f>
        <v>997988</v>
      </c>
      <c r="J90" s="11" t="n">
        <f aca="false">IF(Raw_Data!J90&lt;0,ABS(Raw_Data!J90),Raw_Data!J90)</f>
        <v>20980</v>
      </c>
      <c r="K90" s="11" t="n">
        <f aca="false">Raw_Data!K90</f>
        <v>1020</v>
      </c>
      <c r="L90" s="11" t="n">
        <f aca="false">IF(Raw_Data!L90="",ROUND(AVERAGEIFS(Raw_Data!$L$2:$L$839,Raw_Data!$C$2:$C$839,Raw_Data!C90),2),Raw_Data!L90)</f>
        <v>1510139.03</v>
      </c>
      <c r="M90" s="13" t="n">
        <f aca="false">IFERROR(J90/I90,0)</f>
        <v>0.0210222968612849</v>
      </c>
      <c r="N90" s="14" t="n">
        <f aca="false">IFERROR(H90/J90,0)</f>
        <v>1.6122521448999</v>
      </c>
      <c r="O90" s="14" t="n">
        <f aca="false">IFERROR(H90/K90,0)</f>
        <v>33.1618137254902</v>
      </c>
      <c r="P90" s="15" t="n">
        <f aca="false">IFERROR(L90/H90,0)</f>
        <v>44.6455816029836</v>
      </c>
      <c r="Q90" s="13" t="n">
        <f aca="false">IFERROR(K90/J90,0)</f>
        <v>0.0486177311725453</v>
      </c>
      <c r="R90" s="11" t="str">
        <f aca="false">IF(COUNTIF($A$2:A90,A90)&gt;1,"Duplicate - Remove","Unique")</f>
        <v>Unique</v>
      </c>
      <c r="S90" s="11" t="str">
        <f aca="false">TRIM(IF(Raw_Data!G90="","Region missing; ","")&amp;IF(Raw_Data!H90="","Spend imputed; ","")&amp;IF(Raw_Data!L90="","Revenue imputed; ","")&amp;IF(Raw_Data!J90&lt;0,"Clicks corrected; ",""))</f>
        <v/>
      </c>
    </row>
    <row r="91" customFormat="false" ht="15" hidden="false" customHeight="true" outlineLevel="0" collapsed="false">
      <c r="A91" s="11" t="n">
        <f aca="false">Raw_Data!A91</f>
        <v>1441</v>
      </c>
      <c r="B91" s="11" t="str">
        <f aca="false">PROPER(TRIM(Raw_Data!B91))</f>
        <v>Influencer Collab - Skincare</v>
      </c>
      <c r="C91" s="11" t="str">
        <f aca="false">IFERROR(INDEX(Lookup_Tables!$B$2:$B$26,MATCH(UPPER(TRIM(Raw_Data!C91)),Lookup_Tables!$C$2:$C$26,0)),"Unknown")</f>
        <v>Instagram</v>
      </c>
      <c r="D91" s="12" t="n">
        <f aca="false">IFERROR(IF(ISNUMBER(SEARCH("/",Raw_Data!D91)),DATE(VALUE(RIGHT(Raw_Data!D91,4)),VALUE(MID(Raw_Data!D91,FIND("/",Raw_Data!D91)+1,FIND("/",Raw_Data!D91,FIND("/",Raw_Data!D91)+1)-FIND("/",Raw_Data!D91)-1)),VALUE(LEFT(Raw_Data!D91,FIND("/",Raw_Data!D91)-1))),IF(ISNUMBER(VALUE(LEFT(Raw_Data!D91,4))),DATE(VALUE(LEFT(Raw_Data!D91,4)),VALUE(MID(Raw_Data!D91,6,2)),VALUE(MID(Raw_Data!D91,9,2))),DATEVALUE(Raw_Data!D91))),"")</f>
        <v>45362</v>
      </c>
      <c r="E91" s="12" t="n">
        <f aca="false">IFERROR(IF(ISNUMBER(SEARCH("/",Raw_Data!E91)),DATE(VALUE(RIGHT(Raw_Data!E91,4)),VALUE(MID(Raw_Data!E91,FIND("/",Raw_Data!E91)+1,FIND("/",Raw_Data!E91,FIND("/",Raw_Data!E91)+1)-FIND("/",Raw_Data!E91)-1)),VALUE(LEFT(Raw_Data!E91,FIND("/",Raw_Data!E91)-1))),IF(ISNUMBER(VALUE(LEFT(Raw_Data!E91,4))),DATE(VALUE(LEFT(Raw_Data!E91,4)),VALUE(MID(Raw_Data!E91,6,2)),VALUE(MID(Raw_Data!E91,9,2))),DATEVALUE(Raw_Data!E91))),"")</f>
        <v>45378</v>
      </c>
      <c r="F91" s="11" t="str">
        <f aca="false">Raw_Data!F91</f>
        <v>Female 18-24</v>
      </c>
      <c r="G91" s="11" t="str">
        <f aca="false">IF(TRIM(Raw_Data!G91)="","Unspecified",IFERROR(INDEX(Lookup_Tables!$F$2:$F$24,MATCH(UPPER(TRIM(Raw_Data!G91)),Lookup_Tables!$G$2:$G$24,0)),"Unknown"))</f>
        <v>West</v>
      </c>
      <c r="H91" s="11" t="n">
        <f aca="false">IF(Raw_Data!H91="",ROUND(AVERAGEIFS(Raw_Data!$H$2:$H$839,Raw_Data!$C$2:$C$839,Raw_Data!C91),2),Raw_Data!H91)</f>
        <v>23423.97</v>
      </c>
      <c r="I91" s="11" t="n">
        <f aca="false">Raw_Data!I91</f>
        <v>440177</v>
      </c>
      <c r="J91" s="11" t="n">
        <f aca="false">IF(Raw_Data!J91&lt;0,ABS(Raw_Data!J91),Raw_Data!J91)</f>
        <v>4899</v>
      </c>
      <c r="K91" s="11" t="n">
        <f aca="false">Raw_Data!K91</f>
        <v>61</v>
      </c>
      <c r="L91" s="11" t="n">
        <f aca="false">IF(Raw_Data!L91="",ROUND(AVERAGEIFS(Raw_Data!$L$2:$L$839,Raw_Data!$C$2:$C$839,Raw_Data!C91),2),Raw_Data!L91)</f>
        <v>103025.54</v>
      </c>
      <c r="M91" s="13" t="n">
        <f aca="false">IFERROR(J91/I91,0)</f>
        <v>0.0111296137690066</v>
      </c>
      <c r="N91" s="14" t="n">
        <f aca="false">IFERROR(H91/J91,0)</f>
        <v>4.78137783221066</v>
      </c>
      <c r="O91" s="14" t="n">
        <f aca="false">IFERROR(H91/K91,0)</f>
        <v>383.999508196721</v>
      </c>
      <c r="P91" s="15" t="n">
        <f aca="false">IFERROR(L91/H91,0)</f>
        <v>4.39829542131415</v>
      </c>
      <c r="Q91" s="13" t="n">
        <f aca="false">IFERROR(K91/J91,0)</f>
        <v>0.012451520718514</v>
      </c>
      <c r="R91" s="11" t="str">
        <f aca="false">IF(COUNTIF($A$2:A91,A91)&gt;1,"Duplicate - Remove","Unique")</f>
        <v>Unique</v>
      </c>
      <c r="S91" s="11" t="str">
        <f aca="false">TRIM(IF(Raw_Data!G91="","Region missing; ","")&amp;IF(Raw_Data!H91="","Spend imputed; ","")&amp;IF(Raw_Data!L91="","Revenue imputed; ","")&amp;IF(Raw_Data!J91&lt;0,"Clicks corrected; ",""))</f>
        <v/>
      </c>
    </row>
    <row r="92" customFormat="false" ht="15" hidden="false" customHeight="true" outlineLevel="0" collapsed="false">
      <c r="A92" s="11" t="n">
        <f aca="false">Raw_Data!A92</f>
        <v>1244</v>
      </c>
      <c r="B92" s="11" t="str">
        <f aca="false">PROPER(TRIM(Raw_Data!B92))</f>
        <v>Festive Gift Bundle</v>
      </c>
      <c r="C92" s="11" t="str">
        <f aca="false">IFERROR(INDEX(Lookup_Tables!$B$2:$B$26,MATCH(UPPER(TRIM(Raw_Data!C92)),Lookup_Tables!$C$2:$C$26,0)),"Unknown")</f>
        <v>Instagram</v>
      </c>
      <c r="D92" s="12" t="n">
        <f aca="false">IFERROR(IF(ISNUMBER(SEARCH("/",Raw_Data!D92)),DATE(VALUE(RIGHT(Raw_Data!D92,4)),VALUE(MID(Raw_Data!D92,FIND("/",Raw_Data!D92)+1,FIND("/",Raw_Data!D92,FIND("/",Raw_Data!D92)+1)-FIND("/",Raw_Data!D92)-1)),VALUE(LEFT(Raw_Data!D92,FIND("/",Raw_Data!D92)-1))),IF(ISNUMBER(VALUE(LEFT(Raw_Data!D92,4))),DATE(VALUE(LEFT(Raw_Data!D92,4)),VALUE(MID(Raw_Data!D92,6,2)),VALUE(MID(Raw_Data!D92,9,2))),DATEVALUE(Raw_Data!D92))),"")</f>
        <v>45560</v>
      </c>
      <c r="E92" s="12" t="n">
        <f aca="false">IFERROR(IF(ISNUMBER(SEARCH("/",Raw_Data!E92)),DATE(VALUE(RIGHT(Raw_Data!E92,4)),VALUE(MID(Raw_Data!E92,FIND("/",Raw_Data!E92)+1,FIND("/",Raw_Data!E92,FIND("/",Raw_Data!E92)+1)-FIND("/",Raw_Data!E92)-1)),VALUE(LEFT(Raw_Data!E92,FIND("/",Raw_Data!E92)-1))),IF(ISNUMBER(VALUE(LEFT(Raw_Data!E92,4))),DATE(VALUE(LEFT(Raw_Data!E92,4)),VALUE(MID(Raw_Data!E92,6,2)),VALUE(MID(Raw_Data!E92,9,2))),DATEVALUE(Raw_Data!E92))),"")</f>
        <v>45589</v>
      </c>
      <c r="F92" s="11" t="str">
        <f aca="false">Raw_Data!F92</f>
        <v>Female 45+</v>
      </c>
      <c r="G92" s="11" t="str">
        <f aca="false">IF(TRIM(Raw_Data!G92)="","Unspecified",IFERROR(INDEX(Lookup_Tables!$F$2:$F$24,MATCH(UPPER(TRIM(Raw_Data!G92)),Lookup_Tables!$G$2:$G$24,0)),"Unknown"))</f>
        <v>West</v>
      </c>
      <c r="H92" s="11" t="n">
        <f aca="false">IF(Raw_Data!H92="",ROUND(AVERAGEIFS(Raw_Data!$H$2:$H$839,Raw_Data!$C$2:$C$839,Raw_Data!C92),2),Raw_Data!H92)</f>
        <v>13404.28</v>
      </c>
      <c r="I92" s="11" t="n">
        <f aca="false">Raw_Data!I92</f>
        <v>408194</v>
      </c>
      <c r="J92" s="11" t="n">
        <f aca="false">IF(Raw_Data!J92&lt;0,ABS(Raw_Data!J92),Raw_Data!J92)</f>
        <v>3073</v>
      </c>
      <c r="K92" s="11" t="n">
        <f aca="false">Raw_Data!K92</f>
        <v>231</v>
      </c>
      <c r="L92" s="11" t="n">
        <f aca="false">IF(Raw_Data!L92="",ROUND(AVERAGEIFS(Raw_Data!$L$2:$L$839,Raw_Data!$C$2:$C$839,Raw_Data!C92),2),Raw_Data!L92)</f>
        <v>211428.99</v>
      </c>
      <c r="M92" s="13" t="n">
        <f aca="false">IFERROR(J92/I92,0)</f>
        <v>0.00752828312028104</v>
      </c>
      <c r="N92" s="14" t="n">
        <f aca="false">IFERROR(H92/J92,0)</f>
        <v>4.36195248942402</v>
      </c>
      <c r="O92" s="14" t="n">
        <f aca="false">IFERROR(H92/K92,0)</f>
        <v>58.0271861471862</v>
      </c>
      <c r="P92" s="15" t="n">
        <f aca="false">IFERROR(L92/H92,0)</f>
        <v>15.7732448143429</v>
      </c>
      <c r="Q92" s="13" t="n">
        <f aca="false">IFERROR(K92/J92,0)</f>
        <v>0.0751708428246014</v>
      </c>
      <c r="R92" s="11" t="str">
        <f aca="false">IF(COUNTIF($A$2:A92,A92)&gt;1,"Duplicate - Remove","Unique")</f>
        <v>Unique</v>
      </c>
      <c r="S92" s="11" t="str">
        <f aca="false">TRIM(IF(Raw_Data!G92="","Region missing; ","")&amp;IF(Raw_Data!H92="","Spend imputed; ","")&amp;IF(Raw_Data!L92="","Revenue imputed; ","")&amp;IF(Raw_Data!J92&lt;0,"Clicks corrected; ",""))</f>
        <v/>
      </c>
    </row>
    <row r="93" customFormat="false" ht="15" hidden="false" customHeight="true" outlineLevel="0" collapsed="false">
      <c r="A93" s="11" t="n">
        <f aca="false">Raw_Data!A93</f>
        <v>1698</v>
      </c>
      <c r="B93" s="11" t="str">
        <f aca="false">PROPER(TRIM(Raw_Data!B93))</f>
        <v>New Year Wellness</v>
      </c>
      <c r="C93" s="11" t="str">
        <f aca="false">IFERROR(INDEX(Lookup_Tables!$B$2:$B$26,MATCH(UPPER(TRIM(Raw_Data!C93)),Lookup_Tables!$C$2:$C$26,0)),"Unknown")</f>
        <v>Instagram</v>
      </c>
      <c r="D93" s="12" t="n">
        <f aca="false">IFERROR(IF(ISNUMBER(SEARCH("/",Raw_Data!D93)),DATE(VALUE(RIGHT(Raw_Data!D93,4)),VALUE(MID(Raw_Data!D93,FIND("/",Raw_Data!D93)+1,FIND("/",Raw_Data!D93,FIND("/",Raw_Data!D93)+1)-FIND("/",Raw_Data!D93)-1)),VALUE(LEFT(Raw_Data!D93,FIND("/",Raw_Data!D93)-1))),IF(ISNUMBER(VALUE(LEFT(Raw_Data!D93,4))),DATE(VALUE(LEFT(Raw_Data!D93,4)),VALUE(MID(Raw_Data!D93,6,2)),VALUE(MID(Raw_Data!D93,9,2))),DATEVALUE(Raw_Data!D93))),"")</f>
        <v>45549</v>
      </c>
      <c r="E93" s="12" t="n">
        <f aca="false">IFERROR(IF(ISNUMBER(SEARCH("/",Raw_Data!E93)),DATE(VALUE(RIGHT(Raw_Data!E93,4)),VALUE(MID(Raw_Data!E93,FIND("/",Raw_Data!E93)+1,FIND("/",Raw_Data!E93,FIND("/",Raw_Data!E93)+1)-FIND("/",Raw_Data!E93)-1)),VALUE(LEFT(Raw_Data!E93,FIND("/",Raw_Data!E93)-1))),IF(ISNUMBER(VALUE(LEFT(Raw_Data!E93,4))),DATE(VALUE(LEFT(Raw_Data!E93,4)),VALUE(MID(Raw_Data!E93,6,2)),VALUE(MID(Raw_Data!E93,9,2))),DATEVALUE(Raw_Data!E93))),"")</f>
        <v>45578</v>
      </c>
      <c r="F93" s="11" t="str">
        <f aca="false">Raw_Data!F93</f>
        <v>Female 18-24</v>
      </c>
      <c r="G93" s="11" t="str">
        <f aca="false">IF(TRIM(Raw_Data!G93)="","Unspecified",IFERROR(INDEX(Lookup_Tables!$F$2:$F$24,MATCH(UPPER(TRIM(Raw_Data!G93)),Lookup_Tables!$G$2:$G$24,0)),"Unknown"))</f>
        <v>South</v>
      </c>
      <c r="H93" s="11" t="n">
        <f aca="false">IF(Raw_Data!H93="",ROUND(AVERAGEIFS(Raw_Data!$H$2:$H$839,Raw_Data!$C$2:$C$839,Raw_Data!C93),2),Raw_Data!H93)</f>
        <v>47964.56</v>
      </c>
      <c r="I93" s="11" t="n">
        <f aca="false">Raw_Data!I93</f>
        <v>1588718</v>
      </c>
      <c r="J93" s="11" t="n">
        <f aca="false">IF(Raw_Data!J93&lt;0,ABS(Raw_Data!J93),Raw_Data!J93)</f>
        <v>10029</v>
      </c>
      <c r="K93" s="11" t="n">
        <f aca="false">Raw_Data!K93</f>
        <v>110</v>
      </c>
      <c r="L93" s="11" t="n">
        <f aca="false">IF(Raw_Data!L93="",ROUND(AVERAGEIFS(Raw_Data!$L$2:$L$839,Raw_Data!$C$2:$C$839,Raw_Data!C93),2),Raw_Data!L93)</f>
        <v>62857.33</v>
      </c>
      <c r="M93" s="13" t="n">
        <f aca="false">IFERROR(J93/I93,0)</f>
        <v>0.00631263698151591</v>
      </c>
      <c r="N93" s="14" t="n">
        <f aca="false">IFERROR(H93/J93,0)</f>
        <v>4.78258649915246</v>
      </c>
      <c r="O93" s="14" t="n">
        <f aca="false">IFERROR(H93/K93,0)</f>
        <v>436.041454545455</v>
      </c>
      <c r="P93" s="15" t="n">
        <f aca="false">IFERROR(L93/H93,0)</f>
        <v>1.31049529068963</v>
      </c>
      <c r="Q93" s="13" t="n">
        <f aca="false">IFERROR(K93/J93,0)</f>
        <v>0.0109681922424968</v>
      </c>
      <c r="R93" s="11" t="str">
        <f aca="false">IF(COUNTIF($A$2:A93,A93)&gt;1,"Duplicate - Remove","Unique")</f>
        <v>Unique</v>
      </c>
      <c r="S93" s="11" t="str">
        <f aca="false">TRIM(IF(Raw_Data!G93="","Region missing; ","")&amp;IF(Raw_Data!H93="","Spend imputed; ","")&amp;IF(Raw_Data!L93="","Revenue imputed; ","")&amp;IF(Raw_Data!J93&lt;0,"Clicks corrected; ",""))</f>
        <v/>
      </c>
    </row>
    <row r="94" customFormat="false" ht="15" hidden="false" customHeight="true" outlineLevel="0" collapsed="false">
      <c r="A94" s="11" t="n">
        <f aca="false">Raw_Data!A94</f>
        <v>1304</v>
      </c>
      <c r="B94" s="11" t="str">
        <f aca="false">PROPER(TRIM(Raw_Data!B94))</f>
        <v>Baby Care Trust Campaign</v>
      </c>
      <c r="C94" s="11" t="str">
        <f aca="false">IFERROR(INDEX(Lookup_Tables!$B$2:$B$26,MATCH(UPPER(TRIM(Raw_Data!C94)),Lookup_Tables!$C$2:$C$26,0)),"Unknown")</f>
        <v>Instagram</v>
      </c>
      <c r="D94" s="12" t="n">
        <f aca="false">IFERROR(IF(ISNUMBER(SEARCH("/",Raw_Data!D94)),DATE(VALUE(RIGHT(Raw_Data!D94,4)),VALUE(MID(Raw_Data!D94,FIND("/",Raw_Data!D94)+1,FIND("/",Raw_Data!D94,FIND("/",Raw_Data!D94)+1)-FIND("/",Raw_Data!D94)-1)),VALUE(LEFT(Raw_Data!D94,FIND("/",Raw_Data!D94)-1))),IF(ISNUMBER(VALUE(LEFT(Raw_Data!D94,4))),DATE(VALUE(LEFT(Raw_Data!D94,4)),VALUE(MID(Raw_Data!D94,6,2)),VALUE(MID(Raw_Data!D94,9,2))),DATEVALUE(Raw_Data!D94))),"")</f>
        <v>45517</v>
      </c>
      <c r="E94" s="12" t="n">
        <f aca="false">IFERROR(IF(ISNUMBER(SEARCH("/",Raw_Data!E94)),DATE(VALUE(RIGHT(Raw_Data!E94,4)),VALUE(MID(Raw_Data!E94,FIND("/",Raw_Data!E94)+1,FIND("/",Raw_Data!E94,FIND("/",Raw_Data!E94)+1)-FIND("/",Raw_Data!E94)-1)),VALUE(LEFT(Raw_Data!E94,FIND("/",Raw_Data!E94)-1))),IF(ISNUMBER(VALUE(LEFT(Raw_Data!E94,4))),DATE(VALUE(LEFT(Raw_Data!E94,4)),VALUE(MID(Raw_Data!E94,6,2)),VALUE(MID(Raw_Data!E94,9,2))),DATEVALUE(Raw_Data!E94))),"")</f>
        <v>45545</v>
      </c>
      <c r="F94" s="11" t="str">
        <f aca="false">Raw_Data!F94</f>
        <v>Male 18-24</v>
      </c>
      <c r="G94" s="11" t="str">
        <f aca="false">IF(TRIM(Raw_Data!G94)="","Unspecified",IFERROR(INDEX(Lookup_Tables!$F$2:$F$24,MATCH(UPPER(TRIM(Raw_Data!G94)),Lookup_Tables!$G$2:$G$24,0)),"Unknown"))</f>
        <v>West</v>
      </c>
      <c r="H94" s="11" t="n">
        <f aca="false">IF(Raw_Data!H94="",ROUND(AVERAGEIFS(Raw_Data!$H$2:$H$839,Raw_Data!$C$2:$C$839,Raw_Data!C94),2),Raw_Data!H94)</f>
        <v>16698.73</v>
      </c>
      <c r="I94" s="11" t="n">
        <f aca="false">Raw_Data!I94</f>
        <v>491676</v>
      </c>
      <c r="J94" s="11" t="n">
        <f aca="false">IF(Raw_Data!J94&lt;0,ABS(Raw_Data!J94),Raw_Data!J94)</f>
        <v>14875</v>
      </c>
      <c r="K94" s="11" t="n">
        <f aca="false">Raw_Data!K94</f>
        <v>205</v>
      </c>
      <c r="L94" s="11" t="n">
        <f aca="false">IF(Raw_Data!L94="",ROUND(AVERAGEIFS(Raw_Data!$L$2:$L$839,Raw_Data!$C$2:$C$839,Raw_Data!C94),2),Raw_Data!L94)</f>
        <v>150341.56</v>
      </c>
      <c r="M94" s="13" t="n">
        <f aca="false">IFERROR(J94/I94,0)</f>
        <v>0.0302536629813129</v>
      </c>
      <c r="N94" s="14" t="n">
        <f aca="false">IFERROR(H94/J94,0)</f>
        <v>1.12260369747899</v>
      </c>
      <c r="O94" s="14" t="n">
        <f aca="false">IFERROR(H94/K94,0)</f>
        <v>81.4572195121951</v>
      </c>
      <c r="P94" s="15" t="n">
        <f aca="false">IFERROR(L94/H94,0)</f>
        <v>9.00317329521467</v>
      </c>
      <c r="Q94" s="13" t="n">
        <f aca="false">IFERROR(K94/J94,0)</f>
        <v>0.013781512605042</v>
      </c>
      <c r="R94" s="11" t="str">
        <f aca="false">IF(COUNTIF($A$2:A94,A94)&gt;1,"Duplicate - Remove","Unique")</f>
        <v>Unique</v>
      </c>
      <c r="S94" s="11" t="str">
        <f aca="false">TRIM(IF(Raw_Data!G94="","Region missing; ","")&amp;IF(Raw_Data!H94="","Spend imputed; ","")&amp;IF(Raw_Data!L94="","Revenue imputed; ","")&amp;IF(Raw_Data!J94&lt;0,"Clicks corrected; ",""))</f>
        <v/>
      </c>
    </row>
    <row r="95" customFormat="false" ht="15" hidden="false" customHeight="true" outlineLevel="0" collapsed="false">
      <c r="A95" s="11" t="n">
        <f aca="false">Raw_Data!A95</f>
        <v>1456</v>
      </c>
      <c r="B95" s="11" t="str">
        <f aca="false">PROPER(TRIM(Raw_Data!B95))</f>
        <v>Back To College Offer</v>
      </c>
      <c r="C95" s="11" t="str">
        <f aca="false">IFERROR(INDEX(Lookup_Tables!$B$2:$B$26,MATCH(UPPER(TRIM(Raw_Data!C95)),Lookup_Tables!$C$2:$C$26,0)),"Unknown")</f>
        <v>Instagram</v>
      </c>
      <c r="D95" s="12" t="n">
        <f aca="false">IFERROR(IF(ISNUMBER(SEARCH("/",Raw_Data!D95)),DATE(VALUE(RIGHT(Raw_Data!D95,4)),VALUE(MID(Raw_Data!D95,FIND("/",Raw_Data!D95)+1,FIND("/",Raw_Data!D95,FIND("/",Raw_Data!D95)+1)-FIND("/",Raw_Data!D95)-1)),VALUE(LEFT(Raw_Data!D95,FIND("/",Raw_Data!D95)-1))),IF(ISNUMBER(VALUE(LEFT(Raw_Data!D95,4))),DATE(VALUE(LEFT(Raw_Data!D95,4)),VALUE(MID(Raw_Data!D95,6,2)),VALUE(MID(Raw_Data!D95,9,2))),DATEVALUE(Raw_Data!D95))),"")</f>
        <v>45538</v>
      </c>
      <c r="E95" s="12" t="n">
        <f aca="false">IFERROR(IF(ISNUMBER(SEARCH("/",Raw_Data!E95)),DATE(VALUE(RIGHT(Raw_Data!E95,4)),VALUE(MID(Raw_Data!E95,FIND("/",Raw_Data!E95)+1,FIND("/",Raw_Data!E95,FIND("/",Raw_Data!E95)+1)-FIND("/",Raw_Data!E95)-1)),VALUE(LEFT(Raw_Data!E95,FIND("/",Raw_Data!E95)-1))),IF(ISNUMBER(VALUE(LEFT(Raw_Data!E95,4))),DATE(VALUE(LEFT(Raw_Data!E95,4)),VALUE(MID(Raw_Data!E95,6,2)),VALUE(MID(Raw_Data!E95,9,2))),DATEVALUE(Raw_Data!E95))),"")</f>
        <v>45564</v>
      </c>
      <c r="F95" s="11" t="str">
        <f aca="false">Raw_Data!F95</f>
        <v>Female 25-34</v>
      </c>
      <c r="G95" s="11" t="str">
        <f aca="false">IF(TRIM(Raw_Data!G95)="","Unspecified",IFERROR(INDEX(Lookup_Tables!$F$2:$F$24,MATCH(UPPER(TRIM(Raw_Data!G95)),Lookup_Tables!$G$2:$G$24,0)),"Unknown"))</f>
        <v>West</v>
      </c>
      <c r="H95" s="11" t="n">
        <f aca="false">IF(Raw_Data!H95="",ROUND(AVERAGEIFS(Raw_Data!$H$2:$H$839,Raw_Data!$C$2:$C$839,Raw_Data!C95),2),Raw_Data!H95)</f>
        <v>20526.88</v>
      </c>
      <c r="I95" s="11" t="n">
        <f aca="false">Raw_Data!I95</f>
        <v>416511</v>
      </c>
      <c r="J95" s="11" t="n">
        <f aca="false">IF(Raw_Data!J95&lt;0,ABS(Raw_Data!J95),Raw_Data!J95)</f>
        <v>11494</v>
      </c>
      <c r="K95" s="11" t="n">
        <f aca="false">Raw_Data!K95</f>
        <v>645</v>
      </c>
      <c r="L95" s="11" t="n">
        <f aca="false">IF(Raw_Data!L95="",ROUND(AVERAGEIFS(Raw_Data!$L$2:$L$839,Raw_Data!$C$2:$C$839,Raw_Data!C95),2),Raw_Data!L95)</f>
        <v>309391.11</v>
      </c>
      <c r="M95" s="13" t="n">
        <f aca="false">IFERROR(J95/I95,0)</f>
        <v>0.0275959098319132</v>
      </c>
      <c r="N95" s="14" t="n">
        <f aca="false">IFERROR(H95/J95,0)</f>
        <v>1.78587784931269</v>
      </c>
      <c r="O95" s="14" t="n">
        <f aca="false">IFERROR(H95/K95,0)</f>
        <v>31.8246201550388</v>
      </c>
      <c r="P95" s="15" t="n">
        <f aca="false">IFERROR(L95/H95,0)</f>
        <v>15.0724859306431</v>
      </c>
      <c r="Q95" s="13" t="n">
        <f aca="false">IFERROR(K95/J95,0)</f>
        <v>0.0561162345571603</v>
      </c>
      <c r="R95" s="11" t="str">
        <f aca="false">IF(COUNTIF($A$2:A95,A95)&gt;1,"Duplicate - Remove","Unique")</f>
        <v>Unique</v>
      </c>
      <c r="S95" s="11" t="str">
        <f aca="false">TRIM(IF(Raw_Data!G95="","Region missing; ","")&amp;IF(Raw_Data!H95="","Spend imputed; ","")&amp;IF(Raw_Data!L95="","Revenue imputed; ","")&amp;IF(Raw_Data!J95&lt;0,"Clicks corrected; ",""))</f>
        <v/>
      </c>
    </row>
    <row r="96" customFormat="false" ht="15" hidden="false" customHeight="true" outlineLevel="0" collapsed="false">
      <c r="A96" s="11" t="n">
        <f aca="false">Raw_Data!A96</f>
        <v>1469</v>
      </c>
      <c r="B96" s="11" t="str">
        <f aca="false">PROPER(TRIM(Raw_Data!B96))</f>
        <v>Anti-Ageing Serum Push</v>
      </c>
      <c r="C96" s="11" t="str">
        <f aca="false">IFERROR(INDEX(Lookup_Tables!$B$2:$B$26,MATCH(UPPER(TRIM(Raw_Data!C96)),Lookup_Tables!$C$2:$C$26,0)),"Unknown")</f>
        <v>Facebook</v>
      </c>
      <c r="D96" s="12" t="n">
        <f aca="false">IFERROR(IF(ISNUMBER(SEARCH("/",Raw_Data!D96)),DATE(VALUE(RIGHT(Raw_Data!D96,4)),VALUE(MID(Raw_Data!D96,FIND("/",Raw_Data!D96)+1,FIND("/",Raw_Data!D96,FIND("/",Raw_Data!D96)+1)-FIND("/",Raw_Data!D96)-1)),VALUE(LEFT(Raw_Data!D96,FIND("/",Raw_Data!D96)-1))),IF(ISNUMBER(VALUE(LEFT(Raw_Data!D96,4))),DATE(VALUE(LEFT(Raw_Data!D96,4)),VALUE(MID(Raw_Data!D96,6,2)),VALUE(MID(Raw_Data!D96,9,2))),DATEVALUE(Raw_Data!D96))),"")</f>
        <v>45422</v>
      </c>
      <c r="E96" s="12" t="n">
        <f aca="false">IFERROR(IF(ISNUMBER(SEARCH("/",Raw_Data!E96)),DATE(VALUE(RIGHT(Raw_Data!E96,4)),VALUE(MID(Raw_Data!E96,FIND("/",Raw_Data!E96)+1,FIND("/",Raw_Data!E96,FIND("/",Raw_Data!E96)+1)-FIND("/",Raw_Data!E96)-1)),VALUE(LEFT(Raw_Data!E96,FIND("/",Raw_Data!E96)-1))),IF(ISNUMBER(VALUE(LEFT(Raw_Data!E96,4))),DATE(VALUE(LEFT(Raw_Data!E96,4)),VALUE(MID(Raw_Data!E96,6,2)),VALUE(MID(Raw_Data!E96,9,2))),DATEVALUE(Raw_Data!E96))),"")</f>
        <v>45448</v>
      </c>
      <c r="F96" s="11" t="str">
        <f aca="false">Raw_Data!F96</f>
        <v>Female 25-34</v>
      </c>
      <c r="G96" s="11" t="str">
        <f aca="false">IF(TRIM(Raw_Data!G96)="","Unspecified",IFERROR(INDEX(Lookup_Tables!$F$2:$F$24,MATCH(UPPER(TRIM(Raw_Data!G96)),Lookup_Tables!$G$2:$G$24,0)),"Unknown"))</f>
        <v>West</v>
      </c>
      <c r="H96" s="11" t="n">
        <f aca="false">IF(Raw_Data!H96="",ROUND(AVERAGEIFS(Raw_Data!$H$2:$H$839,Raw_Data!$C$2:$C$839,Raw_Data!C96),2),Raw_Data!H96)</f>
        <v>47368.77</v>
      </c>
      <c r="I96" s="11" t="n">
        <f aca="false">Raw_Data!I96</f>
        <v>880163</v>
      </c>
      <c r="J96" s="11" t="n">
        <f aca="false">IF(Raw_Data!J96&lt;0,ABS(Raw_Data!J96),Raw_Data!J96)</f>
        <v>9781</v>
      </c>
      <c r="K96" s="11" t="n">
        <f aca="false">Raw_Data!K96</f>
        <v>528</v>
      </c>
      <c r="L96" s="11" t="n">
        <f aca="false">IF(Raw_Data!L96="",ROUND(AVERAGEIFS(Raw_Data!$L$2:$L$839,Raw_Data!$C$2:$C$839,Raw_Data!C96),2),Raw_Data!L96)</f>
        <v>391052.4</v>
      </c>
      <c r="M96" s="13" t="n">
        <f aca="false">IFERROR(J96/I96,0)</f>
        <v>0.0111127143495012</v>
      </c>
      <c r="N96" s="14" t="n">
        <f aca="false">IFERROR(H96/J96,0)</f>
        <v>4.84293732747163</v>
      </c>
      <c r="O96" s="14" t="n">
        <f aca="false">IFERROR(H96/K96,0)</f>
        <v>89.7135795454545</v>
      </c>
      <c r="P96" s="15" t="n">
        <f aca="false">IFERROR(L96/H96,0)</f>
        <v>8.25548985122476</v>
      </c>
      <c r="Q96" s="13" t="n">
        <f aca="false">IFERROR(K96/J96,0)</f>
        <v>0.0539822104079338</v>
      </c>
      <c r="R96" s="11" t="str">
        <f aca="false">IF(COUNTIF($A$2:A96,A96)&gt;1,"Duplicate - Remove","Unique")</f>
        <v>Unique</v>
      </c>
      <c r="S96" s="11" t="str">
        <f aca="false">TRIM(IF(Raw_Data!G96="","Region missing; ","")&amp;IF(Raw_Data!H96="","Spend imputed; ","")&amp;IF(Raw_Data!L96="","Revenue imputed; ","")&amp;IF(Raw_Data!J96&lt;0,"Clicks corrected; ",""))</f>
        <v/>
      </c>
    </row>
    <row r="97" customFormat="false" ht="15" hidden="false" customHeight="true" outlineLevel="0" collapsed="false">
      <c r="A97" s="11" t="n">
        <f aca="false">Raw_Data!A97</f>
        <v>1740</v>
      </c>
      <c r="B97" s="11" t="str">
        <f aca="false">PROPER(TRIM(Raw_Data!B97))</f>
        <v>Clearance Sale Push</v>
      </c>
      <c r="C97" s="11" t="str">
        <f aca="false">IFERROR(INDEX(Lookup_Tables!$B$2:$B$26,MATCH(UPPER(TRIM(Raw_Data!C97)),Lookup_Tables!$C$2:$C$26,0)),"Unknown")</f>
        <v>Google Ads</v>
      </c>
      <c r="D97" s="12" t="n">
        <f aca="false">IFERROR(IF(ISNUMBER(SEARCH("/",Raw_Data!D97)),DATE(VALUE(RIGHT(Raw_Data!D97,4)),VALUE(MID(Raw_Data!D97,FIND("/",Raw_Data!D97)+1,FIND("/",Raw_Data!D97,FIND("/",Raw_Data!D97)+1)-FIND("/",Raw_Data!D97)-1)),VALUE(LEFT(Raw_Data!D97,FIND("/",Raw_Data!D97)-1))),IF(ISNUMBER(VALUE(LEFT(Raw_Data!D97,4))),DATE(VALUE(LEFT(Raw_Data!D97,4)),VALUE(MID(Raw_Data!D97,6,2)),VALUE(MID(Raw_Data!D97,9,2))),DATEVALUE(Raw_Data!D97))),"")</f>
        <v>45482</v>
      </c>
      <c r="E97" s="12" t="n">
        <f aca="false">IFERROR(IF(ISNUMBER(SEARCH("/",Raw_Data!E97)),DATE(VALUE(RIGHT(Raw_Data!E97,4)),VALUE(MID(Raw_Data!E97,FIND("/",Raw_Data!E97)+1,FIND("/",Raw_Data!E97,FIND("/",Raw_Data!E97)+1)-FIND("/",Raw_Data!E97)-1)),VALUE(LEFT(Raw_Data!E97,FIND("/",Raw_Data!E97)-1))),IF(ISNUMBER(VALUE(LEFT(Raw_Data!E97,4))),DATE(VALUE(LEFT(Raw_Data!E97,4)),VALUE(MID(Raw_Data!E97,6,2)),VALUE(MID(Raw_Data!E97,9,2))),DATEVALUE(Raw_Data!E97))),"")</f>
        <v>45501</v>
      </c>
      <c r="F97" s="11" t="str">
        <f aca="false">Raw_Data!F97</f>
        <v>Female 45+</v>
      </c>
      <c r="G97" s="11" t="str">
        <f aca="false">IF(TRIM(Raw_Data!G97)="","Unspecified",IFERROR(INDEX(Lookup_Tables!$F$2:$F$24,MATCH(UPPER(TRIM(Raw_Data!G97)),Lookup_Tables!$G$2:$G$24,0)),"Unknown"))</f>
        <v>East</v>
      </c>
      <c r="H97" s="11" t="n">
        <f aca="false">IF(Raw_Data!H97="",ROUND(AVERAGEIFS(Raw_Data!$H$2:$H$839,Raw_Data!$C$2:$C$839,Raw_Data!C97),2),Raw_Data!H97)</f>
        <v>63711.93</v>
      </c>
      <c r="I97" s="11" t="n">
        <f aca="false">Raw_Data!I97</f>
        <v>1190828</v>
      </c>
      <c r="J97" s="11" t="n">
        <f aca="false">IF(Raw_Data!J97&lt;0,ABS(Raw_Data!J97),Raw_Data!J97)</f>
        <v>29984</v>
      </c>
      <c r="K97" s="11" t="n">
        <f aca="false">Raw_Data!K97</f>
        <v>2166</v>
      </c>
      <c r="L97" s="11" t="n">
        <f aca="false">IF(Raw_Data!L97="",ROUND(AVERAGEIFS(Raw_Data!$L$2:$L$839,Raw_Data!$C$2:$C$839,Raw_Data!C97),2),Raw_Data!L97)</f>
        <v>2880304.59</v>
      </c>
      <c r="M97" s="13" t="n">
        <f aca="false">IFERROR(J97/I97,0)</f>
        <v>0.0251791190667334</v>
      </c>
      <c r="N97" s="14" t="n">
        <f aca="false">IFERROR(H97/J97,0)</f>
        <v>2.12486426093917</v>
      </c>
      <c r="O97" s="14" t="n">
        <f aca="false">IFERROR(H97/K97,0)</f>
        <v>29.4145567867036</v>
      </c>
      <c r="P97" s="15" t="n">
        <f aca="false">IFERROR(L97/H97,0)</f>
        <v>45.2082457712394</v>
      </c>
      <c r="Q97" s="13" t="n">
        <f aca="false">IFERROR(K97/J97,0)</f>
        <v>0.0722385272145144</v>
      </c>
      <c r="R97" s="11" t="str">
        <f aca="false">IF(COUNTIF($A$2:A97,A97)&gt;1,"Duplicate - Remove","Unique")</f>
        <v>Unique</v>
      </c>
      <c r="S97" s="11" t="str">
        <f aca="false">TRIM(IF(Raw_Data!G97="","Region missing; ","")&amp;IF(Raw_Data!H97="","Spend imputed; ","")&amp;IF(Raw_Data!L97="","Revenue imputed; ","")&amp;IF(Raw_Data!J97&lt;0,"Clicks corrected; ",""))</f>
        <v/>
      </c>
    </row>
    <row r="98" customFormat="false" ht="15" hidden="false" customHeight="true" outlineLevel="0" collapsed="false">
      <c r="A98" s="11" t="n">
        <f aca="false">Raw_Data!A98</f>
        <v>1735</v>
      </c>
      <c r="B98" s="11" t="str">
        <f aca="false">PROPER(TRIM(Raw_Data!B98))</f>
        <v>Influencer Collab - Skincare</v>
      </c>
      <c r="C98" s="11" t="str">
        <f aca="false">IFERROR(INDEX(Lookup_Tables!$B$2:$B$26,MATCH(UPPER(TRIM(Raw_Data!C98)),Lookup_Tables!$C$2:$C$26,0)),"Unknown")</f>
        <v>Email</v>
      </c>
      <c r="D98" s="12" t="n">
        <f aca="false">IFERROR(IF(ISNUMBER(SEARCH("/",Raw_Data!D98)),DATE(VALUE(RIGHT(Raw_Data!D98,4)),VALUE(MID(Raw_Data!D98,FIND("/",Raw_Data!D98)+1,FIND("/",Raw_Data!D98,FIND("/",Raw_Data!D98)+1)-FIND("/",Raw_Data!D98)-1)),VALUE(LEFT(Raw_Data!D98,FIND("/",Raw_Data!D98)-1))),IF(ISNUMBER(VALUE(LEFT(Raw_Data!D98,4))),DATE(VALUE(LEFT(Raw_Data!D98,4)),VALUE(MID(Raw_Data!D98,6,2)),VALUE(MID(Raw_Data!D98,9,2))),DATEVALUE(Raw_Data!D98))),"")</f>
        <v>45331</v>
      </c>
      <c r="E98" s="12" t="n">
        <f aca="false">IFERROR(IF(ISNUMBER(SEARCH("/",Raw_Data!E98)),DATE(VALUE(RIGHT(Raw_Data!E98,4)),VALUE(MID(Raw_Data!E98,FIND("/",Raw_Data!E98)+1,FIND("/",Raw_Data!E98,FIND("/",Raw_Data!E98)+1)-FIND("/",Raw_Data!E98)-1)),VALUE(LEFT(Raw_Data!E98,FIND("/",Raw_Data!E98)-1))),IF(ISNUMBER(VALUE(LEFT(Raw_Data!E98,4))),DATE(VALUE(LEFT(Raw_Data!E98,4)),VALUE(MID(Raw_Data!E98,6,2)),VALUE(MID(Raw_Data!E98,9,2))),DATEVALUE(Raw_Data!E98))),"")</f>
        <v>45355</v>
      </c>
      <c r="F98" s="11" t="str">
        <f aca="false">Raw_Data!F98</f>
        <v>Male 18-24</v>
      </c>
      <c r="G98" s="11" t="str">
        <f aca="false">IF(TRIM(Raw_Data!G98)="","Unspecified",IFERROR(INDEX(Lookup_Tables!$F$2:$F$24,MATCH(UPPER(TRIM(Raw_Data!G98)),Lookup_Tables!$G$2:$G$24,0)),"Unknown"))</f>
        <v>Central</v>
      </c>
      <c r="H98" s="11" t="n">
        <f aca="false">IF(Raw_Data!H98="",ROUND(AVERAGEIFS(Raw_Data!$H$2:$H$839,Raw_Data!$C$2:$C$839,Raw_Data!C98),2),Raw_Data!H98)</f>
        <v>7190.89</v>
      </c>
      <c r="I98" s="11" t="n">
        <f aca="false">Raw_Data!I98</f>
        <v>261151</v>
      </c>
      <c r="J98" s="11" t="n">
        <f aca="false">IF(Raw_Data!J98&lt;0,ABS(Raw_Data!J98),Raw_Data!J98)</f>
        <v>6157</v>
      </c>
      <c r="K98" s="11" t="n">
        <f aca="false">Raw_Data!K98</f>
        <v>430</v>
      </c>
      <c r="L98" s="11" t="n">
        <f aca="false">IF(Raw_Data!L98="",ROUND(AVERAGEIFS(Raw_Data!$L$2:$L$839,Raw_Data!$C$2:$C$839,Raw_Data!C98),2),Raw_Data!L98)</f>
        <v>740821.77</v>
      </c>
      <c r="M98" s="13" t="n">
        <f aca="false">IFERROR(J98/I98,0)</f>
        <v>0.0235763983289361</v>
      </c>
      <c r="N98" s="14" t="n">
        <f aca="false">IFERROR(H98/J98,0)</f>
        <v>1.16792106545396</v>
      </c>
      <c r="O98" s="14" t="n">
        <f aca="false">IFERROR(H98/K98,0)</f>
        <v>16.723</v>
      </c>
      <c r="P98" s="15" t="n">
        <f aca="false">IFERROR(L98/H98,0)</f>
        <v>103.022264281612</v>
      </c>
      <c r="Q98" s="13" t="n">
        <f aca="false">IFERROR(K98/J98,0)</f>
        <v>0.0698392074062043</v>
      </c>
      <c r="R98" s="11" t="str">
        <f aca="false">IF(COUNTIF($A$2:A98,A98)&gt;1,"Duplicate - Remove","Unique")</f>
        <v>Unique</v>
      </c>
      <c r="S98" s="11" t="str">
        <f aca="false">TRIM(IF(Raw_Data!G98="","Region missing; ","")&amp;IF(Raw_Data!H98="","Spend imputed; ","")&amp;IF(Raw_Data!L98="","Revenue imputed; ","")&amp;IF(Raw_Data!J98&lt;0,"Clicks corrected; ",""))</f>
        <v/>
      </c>
    </row>
    <row r="99" customFormat="false" ht="15" hidden="false" customHeight="true" outlineLevel="0" collapsed="false">
      <c r="A99" s="11" t="n">
        <f aca="false">Raw_Data!A99</f>
        <v>1263</v>
      </c>
      <c r="B99" s="11" t="str">
        <f aca="false">PROPER(TRIM(Raw_Data!B99))</f>
        <v>Clearance Sale Push</v>
      </c>
      <c r="C99" s="11" t="str">
        <f aca="false">IFERROR(INDEX(Lookup_Tables!$B$2:$B$26,MATCH(UPPER(TRIM(Raw_Data!C99)),Lookup_Tables!$C$2:$C$26,0)),"Unknown")</f>
        <v>Instagram</v>
      </c>
      <c r="D99" s="12" t="n">
        <f aca="false">IFERROR(IF(ISNUMBER(SEARCH("/",Raw_Data!D99)),DATE(VALUE(RIGHT(Raw_Data!D99,4)),VALUE(MID(Raw_Data!D99,FIND("/",Raw_Data!D99)+1,FIND("/",Raw_Data!D99,FIND("/",Raw_Data!D99)+1)-FIND("/",Raw_Data!D99)-1)),VALUE(LEFT(Raw_Data!D99,FIND("/",Raw_Data!D99)-1))),IF(ISNUMBER(VALUE(LEFT(Raw_Data!D99,4))),DATE(VALUE(LEFT(Raw_Data!D99,4)),VALUE(MID(Raw_Data!D99,6,2)),VALUE(MID(Raw_Data!D99,9,2))),DATEVALUE(Raw_Data!D99))),"")</f>
        <v>45455</v>
      </c>
      <c r="E99" s="12" t="n">
        <f aca="false">IFERROR(IF(ISNUMBER(SEARCH("/",Raw_Data!E99)),DATE(VALUE(RIGHT(Raw_Data!E99,4)),VALUE(MID(Raw_Data!E99,FIND("/",Raw_Data!E99)+1,FIND("/",Raw_Data!E99,FIND("/",Raw_Data!E99)+1)-FIND("/",Raw_Data!E99)-1)),VALUE(LEFT(Raw_Data!E99,FIND("/",Raw_Data!E99)-1))),IF(ISNUMBER(VALUE(LEFT(Raw_Data!E99,4))),DATE(VALUE(LEFT(Raw_Data!E99,4)),VALUE(MID(Raw_Data!E99,6,2)),VALUE(MID(Raw_Data!E99,9,2))),DATEVALUE(Raw_Data!E99))),"")</f>
        <v>45477</v>
      </c>
      <c r="F99" s="11" t="str">
        <f aca="false">Raw_Data!F99</f>
        <v>Female 18-24</v>
      </c>
      <c r="G99" s="11" t="str">
        <f aca="false">IF(TRIM(Raw_Data!G99)="","Unspecified",IFERROR(INDEX(Lookup_Tables!$F$2:$F$24,MATCH(UPPER(TRIM(Raw_Data!G99)),Lookup_Tables!$G$2:$G$24,0)),"Unknown"))</f>
        <v>North</v>
      </c>
      <c r="H99" s="11" t="n">
        <f aca="false">IF(Raw_Data!H99="",ROUND(AVERAGEIFS(Raw_Data!$H$2:$H$839,Raw_Data!$C$2:$C$839,Raw_Data!C99),2),Raw_Data!H99)</f>
        <v>15778.16</v>
      </c>
      <c r="I99" s="11" t="n">
        <f aca="false">Raw_Data!I99</f>
        <v>434846</v>
      </c>
      <c r="J99" s="11" t="n">
        <f aca="false">IF(Raw_Data!J99&lt;0,ABS(Raw_Data!J99),Raw_Data!J99)</f>
        <v>5054</v>
      </c>
      <c r="K99" s="11" t="n">
        <f aca="false">Raw_Data!K99</f>
        <v>68</v>
      </c>
      <c r="L99" s="11" t="n">
        <f aca="false">IF(Raw_Data!L99="",ROUND(AVERAGEIFS(Raw_Data!$L$2:$L$839,Raw_Data!$C$2:$C$839,Raw_Data!C99),2),Raw_Data!L99)</f>
        <v>95933.65</v>
      </c>
      <c r="M99" s="13" t="n">
        <f aca="false">IFERROR(J99/I99,0)</f>
        <v>0.011622505438707</v>
      </c>
      <c r="N99" s="14" t="n">
        <f aca="false">IFERROR(H99/J99,0)</f>
        <v>3.1219153146023</v>
      </c>
      <c r="O99" s="14" t="n">
        <f aca="false">IFERROR(H99/K99,0)</f>
        <v>232.031764705882</v>
      </c>
      <c r="P99" s="15" t="n">
        <f aca="false">IFERROR(L99/H99,0)</f>
        <v>6.08015446668053</v>
      </c>
      <c r="Q99" s="13" t="n">
        <f aca="false">IFERROR(K99/J99,0)</f>
        <v>0.0134546893549664</v>
      </c>
      <c r="R99" s="11" t="str">
        <f aca="false">IF(COUNTIF($A$2:A99,A99)&gt;1,"Duplicate - Remove","Unique")</f>
        <v>Unique</v>
      </c>
      <c r="S99" s="11" t="str">
        <f aca="false">TRIM(IF(Raw_Data!G99="","Region missing; ","")&amp;IF(Raw_Data!H99="","Spend imputed; ","")&amp;IF(Raw_Data!L99="","Revenue imputed; ","")&amp;IF(Raw_Data!J99&lt;0,"Clicks corrected; ",""))</f>
        <v/>
      </c>
    </row>
    <row r="100" customFormat="false" ht="15" hidden="false" customHeight="true" outlineLevel="0" collapsed="false">
      <c r="A100" s="11" t="n">
        <f aca="false">Raw_Data!A100</f>
        <v>1086</v>
      </c>
      <c r="B100" s="11" t="str">
        <f aca="false">PROPER(TRIM(Raw_Data!B100))</f>
        <v>Anti-Ageing Serum Push</v>
      </c>
      <c r="C100" s="11" t="str">
        <f aca="false">IFERROR(INDEX(Lookup_Tables!$B$2:$B$26,MATCH(UPPER(TRIM(Raw_Data!C100)),Lookup_Tables!$C$2:$C$26,0)),"Unknown")</f>
        <v>Google Ads</v>
      </c>
      <c r="D100" s="12" t="n">
        <f aca="false">IFERROR(IF(ISNUMBER(SEARCH("/",Raw_Data!D100)),DATE(VALUE(RIGHT(Raw_Data!D100,4)),VALUE(MID(Raw_Data!D100,FIND("/",Raw_Data!D100)+1,FIND("/",Raw_Data!D100,FIND("/",Raw_Data!D100)+1)-FIND("/",Raw_Data!D100)-1)),VALUE(LEFT(Raw_Data!D100,FIND("/",Raw_Data!D100)-1))),IF(ISNUMBER(VALUE(LEFT(Raw_Data!D100,4))),DATE(VALUE(LEFT(Raw_Data!D100,4)),VALUE(MID(Raw_Data!D100,6,2)),VALUE(MID(Raw_Data!D100,9,2))),DATEVALUE(Raw_Data!D100))),"")</f>
        <v>45519</v>
      </c>
      <c r="E100" s="12" t="n">
        <f aca="false">IFERROR(IF(ISNUMBER(SEARCH("/",Raw_Data!E100)),DATE(VALUE(RIGHT(Raw_Data!E100,4)),VALUE(MID(Raw_Data!E100,FIND("/",Raw_Data!E100)+1,FIND("/",Raw_Data!E100,FIND("/",Raw_Data!E100)+1)-FIND("/",Raw_Data!E100)-1)),VALUE(LEFT(Raw_Data!E100,FIND("/",Raw_Data!E100)-1))),IF(ISNUMBER(VALUE(LEFT(Raw_Data!E100,4))),DATE(VALUE(LEFT(Raw_Data!E100,4)),VALUE(MID(Raw_Data!E100,6,2)),VALUE(MID(Raw_Data!E100,9,2))),DATEVALUE(Raw_Data!E100))),"")</f>
        <v>45548</v>
      </c>
      <c r="F100" s="11" t="str">
        <f aca="false">Raw_Data!F100</f>
        <v>Male 35-44</v>
      </c>
      <c r="G100" s="11" t="str">
        <f aca="false">IF(TRIM(Raw_Data!G100)="","Unspecified",IFERROR(INDEX(Lookup_Tables!$F$2:$F$24,MATCH(UPPER(TRIM(Raw_Data!G100)),Lookup_Tables!$G$2:$G$24,0)),"Unknown"))</f>
        <v>South</v>
      </c>
      <c r="H100" s="11" t="n">
        <f aca="false">IF(Raw_Data!H100="",ROUND(AVERAGEIFS(Raw_Data!$H$2:$H$839,Raw_Data!$C$2:$C$839,Raw_Data!C100),2),Raw_Data!H100)</f>
        <v>50174.52</v>
      </c>
      <c r="I100" s="11" t="n">
        <f aca="false">Raw_Data!I100</f>
        <v>1416752</v>
      </c>
      <c r="J100" s="11" t="n">
        <f aca="false">IF(Raw_Data!J100&lt;0,ABS(Raw_Data!J100),Raw_Data!J100)</f>
        <v>24001</v>
      </c>
      <c r="K100" s="11" t="n">
        <f aca="false">Raw_Data!K100</f>
        <v>1331</v>
      </c>
      <c r="L100" s="11" t="n">
        <f aca="false">IF(Raw_Data!L100="",ROUND(AVERAGEIFS(Raw_Data!$L$2:$L$839,Raw_Data!$C$2:$C$839,Raw_Data!C100),2),Raw_Data!L100)</f>
        <v>947588.01</v>
      </c>
      <c r="M100" s="13" t="n">
        <f aca="false">IFERROR(J100/I100,0)</f>
        <v>0.0169408619151411</v>
      </c>
      <c r="N100" s="14" t="n">
        <f aca="false">IFERROR(H100/J100,0)</f>
        <v>2.0905178950877</v>
      </c>
      <c r="O100" s="14" t="n">
        <f aca="false">IFERROR(H100/K100,0)</f>
        <v>37.6968595041322</v>
      </c>
      <c r="P100" s="15" t="n">
        <f aca="false">IFERROR(L100/H100,0)</f>
        <v>18.8858410603629</v>
      </c>
      <c r="Q100" s="13" t="n">
        <f aca="false">IFERROR(K100/J100,0)</f>
        <v>0.0554560226657223</v>
      </c>
      <c r="R100" s="11" t="str">
        <f aca="false">IF(COUNTIF($A$2:A100,A100)&gt;1,"Duplicate - Remove","Unique")</f>
        <v>Unique</v>
      </c>
      <c r="S100" s="11" t="str">
        <f aca="false">TRIM(IF(Raw_Data!G100="","Region missing; ","")&amp;IF(Raw_Data!H100="","Spend imputed; ","")&amp;IF(Raw_Data!L100="","Revenue imputed; ","")&amp;IF(Raw_Data!J100&lt;0,"Clicks corrected; ",""))</f>
        <v/>
      </c>
    </row>
    <row r="101" customFormat="false" ht="15" hidden="false" customHeight="true" outlineLevel="0" collapsed="false">
      <c r="A101" s="11" t="n">
        <f aca="false">Raw_Data!A101</f>
        <v>1582</v>
      </c>
      <c r="B101" s="11" t="str">
        <f aca="false">PROPER(TRIM(Raw_Data!B101))</f>
        <v>Wedding Season Special</v>
      </c>
      <c r="C101" s="11" t="str">
        <f aca="false">IFERROR(INDEX(Lookup_Tables!$B$2:$B$26,MATCH(UPPER(TRIM(Raw_Data!C101)),Lookup_Tables!$C$2:$C$26,0)),"Unknown")</f>
        <v>Instagram</v>
      </c>
      <c r="D101" s="12" t="n">
        <f aca="false">IFERROR(IF(ISNUMBER(SEARCH("/",Raw_Data!D101)),DATE(VALUE(RIGHT(Raw_Data!D101,4)),VALUE(MID(Raw_Data!D101,FIND("/",Raw_Data!D101)+1,FIND("/",Raw_Data!D101,FIND("/",Raw_Data!D101)+1)-FIND("/",Raw_Data!D101)-1)),VALUE(LEFT(Raw_Data!D101,FIND("/",Raw_Data!D101)-1))),IF(ISNUMBER(VALUE(LEFT(Raw_Data!D101,4))),DATE(VALUE(LEFT(Raw_Data!D101,4)),VALUE(MID(Raw_Data!D101,6,2)),VALUE(MID(Raw_Data!D101,9,2))),DATEVALUE(Raw_Data!D101))),"")</f>
        <v>45552</v>
      </c>
      <c r="E101" s="12" t="n">
        <f aca="false">IFERROR(IF(ISNUMBER(SEARCH("/",Raw_Data!E101)),DATE(VALUE(RIGHT(Raw_Data!E101,4)),VALUE(MID(Raw_Data!E101,FIND("/",Raw_Data!E101)+1,FIND("/",Raw_Data!E101,FIND("/",Raw_Data!E101)+1)-FIND("/",Raw_Data!E101)-1)),VALUE(LEFT(Raw_Data!E101,FIND("/",Raw_Data!E101)-1))),IF(ISNUMBER(VALUE(LEFT(Raw_Data!E101,4))),DATE(VALUE(LEFT(Raw_Data!E101,4)),VALUE(MID(Raw_Data!E101,6,2)),VALUE(MID(Raw_Data!E101,9,2))),DATEVALUE(Raw_Data!E101))),"")</f>
        <v>45580</v>
      </c>
      <c r="F101" s="11" t="str">
        <f aca="false">Raw_Data!F101</f>
        <v>Female 35-44</v>
      </c>
      <c r="G101" s="11" t="str">
        <f aca="false">IF(TRIM(Raw_Data!G101)="","Unspecified",IFERROR(INDEX(Lookup_Tables!$F$2:$F$24,MATCH(UPPER(TRIM(Raw_Data!G101)),Lookup_Tables!$G$2:$G$24,0)),"Unknown"))</f>
        <v>West</v>
      </c>
      <c r="H101" s="11" t="n">
        <f aca="false">IF(Raw_Data!H101="",ROUND(AVERAGEIFS(Raw_Data!$H$2:$H$839,Raw_Data!$C$2:$C$839,Raw_Data!C101),2),Raw_Data!H101)</f>
        <v>22523.58</v>
      </c>
      <c r="I101" s="11" t="n">
        <f aca="false">Raw_Data!I101</f>
        <v>773125</v>
      </c>
      <c r="J101" s="11" t="n">
        <f aca="false">IF(Raw_Data!J101&lt;0,ABS(Raw_Data!J101),Raw_Data!J101)</f>
        <v>9252</v>
      </c>
      <c r="K101" s="11" t="n">
        <f aca="false">Raw_Data!K101</f>
        <v>411</v>
      </c>
      <c r="L101" s="11" t="n">
        <f aca="false">IF(Raw_Data!L101="",ROUND(AVERAGEIFS(Raw_Data!$L$2:$L$839,Raw_Data!$C$2:$C$839,Raw_Data!C101),2),Raw_Data!L101)</f>
        <v>172627.2</v>
      </c>
      <c r="M101" s="13" t="n">
        <f aca="false">IFERROR(J101/I101,0)</f>
        <v>0.0119670169765562</v>
      </c>
      <c r="N101" s="14" t="n">
        <f aca="false">IFERROR(H101/J101,0)</f>
        <v>2.43445525291829</v>
      </c>
      <c r="O101" s="14" t="n">
        <f aca="false">IFERROR(H101/K101,0)</f>
        <v>54.801897810219</v>
      </c>
      <c r="P101" s="15" t="n">
        <f aca="false">IFERROR(L101/H101,0)</f>
        <v>7.66428782635798</v>
      </c>
      <c r="Q101" s="13" t="n">
        <f aca="false">IFERROR(K101/J101,0)</f>
        <v>0.0444228274967575</v>
      </c>
      <c r="R101" s="11" t="str">
        <f aca="false">IF(COUNTIF($A$2:A101,A101)&gt;1,"Duplicate - Remove","Unique")</f>
        <v>Unique</v>
      </c>
      <c r="S101" s="11" t="str">
        <f aca="false">TRIM(IF(Raw_Data!G101="","Region missing; ","")&amp;IF(Raw_Data!H101="","Spend imputed; ","")&amp;IF(Raw_Data!L101="","Revenue imputed; ","")&amp;IF(Raw_Data!J101&lt;0,"Clicks corrected; ",""))</f>
        <v/>
      </c>
    </row>
    <row r="102" customFormat="false" ht="15" hidden="false" customHeight="true" outlineLevel="0" collapsed="false">
      <c r="A102" s="11" t="n">
        <f aca="false">Raw_Data!A102</f>
        <v>1254</v>
      </c>
      <c r="B102" s="11" t="str">
        <f aca="false">PROPER(TRIM(Raw_Data!B102))</f>
        <v>Hair Care Revamp</v>
      </c>
      <c r="C102" s="11" t="str">
        <f aca="false">IFERROR(INDEX(Lookup_Tables!$B$2:$B$26,MATCH(UPPER(TRIM(Raw_Data!C102)),Lookup_Tables!$C$2:$C$26,0)),"Unknown")</f>
        <v>Email</v>
      </c>
      <c r="D102" s="12" t="n">
        <f aca="false">IFERROR(IF(ISNUMBER(SEARCH("/",Raw_Data!D102)),DATE(VALUE(RIGHT(Raw_Data!D102,4)),VALUE(MID(Raw_Data!D102,FIND("/",Raw_Data!D102)+1,FIND("/",Raw_Data!D102,FIND("/",Raw_Data!D102)+1)-FIND("/",Raw_Data!D102)-1)),VALUE(LEFT(Raw_Data!D102,FIND("/",Raw_Data!D102)-1))),IF(ISNUMBER(VALUE(LEFT(Raw_Data!D102,4))),DATE(VALUE(LEFT(Raw_Data!D102,4)),VALUE(MID(Raw_Data!D102,6,2)),VALUE(MID(Raw_Data!D102,9,2))),DATEVALUE(Raw_Data!D102))),"")</f>
        <v>45457</v>
      </c>
      <c r="E102" s="12" t="n">
        <f aca="false">IFERROR(IF(ISNUMBER(SEARCH("/",Raw_Data!E102)),DATE(VALUE(RIGHT(Raw_Data!E102,4)),VALUE(MID(Raw_Data!E102,FIND("/",Raw_Data!E102)+1,FIND("/",Raw_Data!E102,FIND("/",Raw_Data!E102)+1)-FIND("/",Raw_Data!E102)-1)),VALUE(LEFT(Raw_Data!E102,FIND("/",Raw_Data!E102)-1))),IF(ISNUMBER(VALUE(LEFT(Raw_Data!E102,4))),DATE(VALUE(LEFT(Raw_Data!E102,4)),VALUE(MID(Raw_Data!E102,6,2)),VALUE(MID(Raw_Data!E102,9,2))),DATEVALUE(Raw_Data!E102))),"")</f>
        <v>45485</v>
      </c>
      <c r="F102" s="11" t="str">
        <f aca="false">Raw_Data!F102</f>
        <v>Male 35-44</v>
      </c>
      <c r="G102" s="11" t="str">
        <f aca="false">IF(TRIM(Raw_Data!G102)="","Unspecified",IFERROR(INDEX(Lookup_Tables!$F$2:$F$24,MATCH(UPPER(TRIM(Raw_Data!G102)),Lookup_Tables!$G$2:$G$24,0)),"Unknown"))</f>
        <v>South</v>
      </c>
      <c r="H102" s="11" t="n">
        <f aca="false">IF(Raw_Data!H102="",ROUND(AVERAGEIFS(Raw_Data!$H$2:$H$839,Raw_Data!$C$2:$C$839,Raw_Data!C102),2),Raw_Data!H102)</f>
        <v>2927.27</v>
      </c>
      <c r="I102" s="11" t="n">
        <f aca="false">Raw_Data!I102</f>
        <v>104748</v>
      </c>
      <c r="J102" s="11" t="n">
        <f aca="false">IF(Raw_Data!J102&lt;0,ABS(Raw_Data!J102),Raw_Data!J102)</f>
        <v>3397</v>
      </c>
      <c r="K102" s="11" t="n">
        <f aca="false">Raw_Data!K102</f>
        <v>165</v>
      </c>
      <c r="L102" s="11" t="n">
        <f aca="false">IF(Raw_Data!L102="",ROUND(AVERAGEIFS(Raw_Data!$L$2:$L$839,Raw_Data!$C$2:$C$839,Raw_Data!C102),2),Raw_Data!L102)</f>
        <v>74228.72</v>
      </c>
      <c r="M102" s="13" t="n">
        <f aca="false">IFERROR(J102/I102,0)</f>
        <v>0.0324302134646962</v>
      </c>
      <c r="N102" s="14" t="n">
        <f aca="false">IFERROR(H102/J102,0)</f>
        <v>0.861722107742125</v>
      </c>
      <c r="O102" s="14" t="n">
        <f aca="false">IFERROR(H102/K102,0)</f>
        <v>17.7410303030303</v>
      </c>
      <c r="P102" s="15" t="n">
        <f aca="false">IFERROR(L102/H102,0)</f>
        <v>25.3576608922306</v>
      </c>
      <c r="Q102" s="13" t="n">
        <f aca="false">IFERROR(K102/J102,0)</f>
        <v>0.0485722696496909</v>
      </c>
      <c r="R102" s="11" t="str">
        <f aca="false">IF(COUNTIF($A$2:A102,A102)&gt;1,"Duplicate - Remove","Unique")</f>
        <v>Unique</v>
      </c>
      <c r="S102" s="11" t="str">
        <f aca="false">TRIM(IF(Raw_Data!G102="","Region missing; ","")&amp;IF(Raw_Data!H102="","Spend imputed; ","")&amp;IF(Raw_Data!L102="","Revenue imputed; ","")&amp;IF(Raw_Data!J102&lt;0,"Clicks corrected; ",""))</f>
        <v/>
      </c>
    </row>
    <row r="103" customFormat="false" ht="15" hidden="false" customHeight="true" outlineLevel="0" collapsed="false">
      <c r="A103" s="11" t="n">
        <f aca="false">Raw_Data!A103</f>
        <v>1504</v>
      </c>
      <c r="B103" s="11" t="str">
        <f aca="false">PROPER(TRIM(Raw_Data!B103))</f>
        <v>Hair Care Revamp</v>
      </c>
      <c r="C103" s="11" t="str">
        <f aca="false">IFERROR(INDEX(Lookup_Tables!$B$2:$B$26,MATCH(UPPER(TRIM(Raw_Data!C103)),Lookup_Tables!$C$2:$C$26,0)),"Unknown")</f>
        <v>Google Ads</v>
      </c>
      <c r="D103" s="12" t="n">
        <f aca="false">IFERROR(IF(ISNUMBER(SEARCH("/",Raw_Data!D103)),DATE(VALUE(RIGHT(Raw_Data!D103,4)),VALUE(MID(Raw_Data!D103,FIND("/",Raw_Data!D103)+1,FIND("/",Raw_Data!D103,FIND("/",Raw_Data!D103)+1)-FIND("/",Raw_Data!D103)-1)),VALUE(LEFT(Raw_Data!D103,FIND("/",Raw_Data!D103)-1))),IF(ISNUMBER(VALUE(LEFT(Raw_Data!D103,4))),DATE(VALUE(LEFT(Raw_Data!D103,4)),VALUE(MID(Raw_Data!D103,6,2)),VALUE(MID(Raw_Data!D103,9,2))),DATEVALUE(Raw_Data!D103))),"")</f>
        <v>45618</v>
      </c>
      <c r="E103" s="12" t="n">
        <f aca="false">IFERROR(IF(ISNUMBER(SEARCH("/",Raw_Data!E103)),DATE(VALUE(RIGHT(Raw_Data!E103,4)),VALUE(MID(Raw_Data!E103,FIND("/",Raw_Data!E103)+1,FIND("/",Raw_Data!E103,FIND("/",Raw_Data!E103)+1)-FIND("/",Raw_Data!E103)-1)),VALUE(LEFT(Raw_Data!E103,FIND("/",Raw_Data!E103)-1))),IF(ISNUMBER(VALUE(LEFT(Raw_Data!E103,4))),DATE(VALUE(LEFT(Raw_Data!E103,4)),VALUE(MID(Raw_Data!E103,6,2)),VALUE(MID(Raw_Data!E103,9,2))),DATEVALUE(Raw_Data!E103))),"")</f>
        <v>45624</v>
      </c>
      <c r="F103" s="11" t="str">
        <f aca="false">Raw_Data!F103</f>
        <v>Male 18-24</v>
      </c>
      <c r="G103" s="11" t="str">
        <f aca="false">IF(TRIM(Raw_Data!G103)="","Unspecified",IFERROR(INDEX(Lookup_Tables!$F$2:$F$24,MATCH(UPPER(TRIM(Raw_Data!G103)),Lookup_Tables!$G$2:$G$24,0)),"Unknown"))</f>
        <v>North</v>
      </c>
      <c r="H103" s="11" t="n">
        <f aca="false">IF(Raw_Data!H103="",ROUND(AVERAGEIFS(Raw_Data!$H$2:$H$839,Raw_Data!$C$2:$C$839,Raw_Data!C103),2),Raw_Data!H103)</f>
        <v>28841.76</v>
      </c>
      <c r="I103" s="11" t="n">
        <f aca="false">Raw_Data!I103</f>
        <v>1136843</v>
      </c>
      <c r="J103" s="11" t="n">
        <f aca="false">IF(Raw_Data!J103&lt;0,ABS(Raw_Data!J103),Raw_Data!J103)</f>
        <v>24946</v>
      </c>
      <c r="K103" s="11" t="n">
        <f aca="false">Raw_Data!K103</f>
        <v>1233</v>
      </c>
      <c r="L103" s="11" t="n">
        <f aca="false">IF(Raw_Data!L103="",ROUND(AVERAGEIFS(Raw_Data!$L$2:$L$839,Raw_Data!$C$2:$C$839,Raw_Data!C103),2),Raw_Data!L103)</f>
        <v>1844355.02</v>
      </c>
      <c r="M103" s="13" t="n">
        <f aca="false">IFERROR(J103/I103,0)</f>
        <v>0.0219432234706112</v>
      </c>
      <c r="N103" s="14" t="n">
        <f aca="false">IFERROR(H103/J103,0)</f>
        <v>1.15616772228013</v>
      </c>
      <c r="O103" s="14" t="n">
        <f aca="false">IFERROR(H103/K103,0)</f>
        <v>23.3915328467153</v>
      </c>
      <c r="P103" s="15" t="n">
        <f aca="false">IFERROR(L103/H103,0)</f>
        <v>63.9473811584314</v>
      </c>
      <c r="Q103" s="13" t="n">
        <f aca="false">IFERROR(K103/J103,0)</f>
        <v>0.0494267618054999</v>
      </c>
      <c r="R103" s="11" t="str">
        <f aca="false">IF(COUNTIF($A$2:A103,A103)&gt;1,"Duplicate - Remove","Unique")</f>
        <v>Unique</v>
      </c>
      <c r="S103" s="11" t="str">
        <f aca="false">TRIM(IF(Raw_Data!G103="","Region missing; ","")&amp;IF(Raw_Data!H103="","Spend imputed; ","")&amp;IF(Raw_Data!L103="","Revenue imputed; ","")&amp;IF(Raw_Data!J103&lt;0,"Clicks corrected; ",""))</f>
        <v/>
      </c>
    </row>
    <row r="104" customFormat="false" ht="15" hidden="false" customHeight="true" outlineLevel="0" collapsed="false">
      <c r="A104" s="11" t="n">
        <f aca="false">Raw_Data!A104</f>
        <v>1393</v>
      </c>
      <c r="B104" s="11" t="str">
        <f aca="false">PROPER(TRIM(Raw_Data!B104))</f>
        <v>Summer Glow Launch</v>
      </c>
      <c r="C104" s="11" t="str">
        <f aca="false">IFERROR(INDEX(Lookup_Tables!$B$2:$B$26,MATCH(UPPER(TRIM(Raw_Data!C104)),Lookup_Tables!$C$2:$C$26,0)),"Unknown")</f>
        <v>Facebook</v>
      </c>
      <c r="D104" s="12" t="n">
        <f aca="false">IFERROR(IF(ISNUMBER(SEARCH("/",Raw_Data!D104)),DATE(VALUE(RIGHT(Raw_Data!D104,4)),VALUE(MID(Raw_Data!D104,FIND("/",Raw_Data!D104)+1,FIND("/",Raw_Data!D104,FIND("/",Raw_Data!D104)+1)-FIND("/",Raw_Data!D104)-1)),VALUE(LEFT(Raw_Data!D104,FIND("/",Raw_Data!D104)-1))),IF(ISNUMBER(VALUE(LEFT(Raw_Data!D104,4))),DATE(VALUE(LEFT(Raw_Data!D104,4)),VALUE(MID(Raw_Data!D104,6,2)),VALUE(MID(Raw_Data!D104,9,2))),DATEVALUE(Raw_Data!D104))),"")</f>
        <v>45508</v>
      </c>
      <c r="E104" s="12" t="n">
        <f aca="false">IFERROR(IF(ISNUMBER(SEARCH("/",Raw_Data!E104)),DATE(VALUE(RIGHT(Raw_Data!E104,4)),VALUE(MID(Raw_Data!E104,FIND("/",Raw_Data!E104)+1,FIND("/",Raw_Data!E104,FIND("/",Raw_Data!E104)+1)-FIND("/",Raw_Data!E104)-1)),VALUE(LEFT(Raw_Data!E104,FIND("/",Raw_Data!E104)-1))),IF(ISNUMBER(VALUE(LEFT(Raw_Data!E104,4))),DATE(VALUE(LEFT(Raw_Data!E104,4)),VALUE(MID(Raw_Data!E104,6,2)),VALUE(MID(Raw_Data!E104,9,2))),DATEVALUE(Raw_Data!E104))),"")</f>
        <v>45529</v>
      </c>
      <c r="F104" s="11" t="str">
        <f aca="false">Raw_Data!F104</f>
        <v>Male 25-34</v>
      </c>
      <c r="G104" s="11" t="str">
        <f aca="false">IF(TRIM(Raw_Data!G104)="","Unspecified",IFERROR(INDEX(Lookup_Tables!$F$2:$F$24,MATCH(UPPER(TRIM(Raw_Data!G104)),Lookup_Tables!$G$2:$G$24,0)),"Unknown"))</f>
        <v>East</v>
      </c>
      <c r="H104" s="11" t="n">
        <f aca="false">IF(Raw_Data!H104="",ROUND(AVERAGEIFS(Raw_Data!$H$2:$H$839,Raw_Data!$C$2:$C$839,Raw_Data!C104),2),Raw_Data!H104)</f>
        <v>38207.39</v>
      </c>
      <c r="I104" s="11" t="n">
        <f aca="false">Raw_Data!I104</f>
        <v>1376978</v>
      </c>
      <c r="J104" s="11" t="n">
        <f aca="false">IF(Raw_Data!J104&lt;0,ABS(Raw_Data!J104),Raw_Data!J104)</f>
        <v>17615</v>
      </c>
      <c r="K104" s="11" t="n">
        <f aca="false">Raw_Data!K104</f>
        <v>801</v>
      </c>
      <c r="L104" s="11" t="n">
        <f aca="false">IF(Raw_Data!L104="",ROUND(AVERAGEIFS(Raw_Data!$L$2:$L$839,Raw_Data!$C$2:$C$839,Raw_Data!C104),2),Raw_Data!L104)</f>
        <v>424152.63</v>
      </c>
      <c r="M104" s="13" t="n">
        <f aca="false">IFERROR(J104/I104,0)</f>
        <v>0.0127925064888473</v>
      </c>
      <c r="N104" s="14" t="n">
        <f aca="false">IFERROR(H104/J104,0)</f>
        <v>2.1690258302583</v>
      </c>
      <c r="O104" s="14" t="n">
        <f aca="false">IFERROR(H104/K104,0)</f>
        <v>47.6996129837703</v>
      </c>
      <c r="P104" s="15" t="n">
        <f aca="false">IFERROR(L104/H104,0)</f>
        <v>11.1013243772998</v>
      </c>
      <c r="Q104" s="13" t="n">
        <f aca="false">IFERROR(K104/J104,0)</f>
        <v>0.0454726085722396</v>
      </c>
      <c r="R104" s="11" t="str">
        <f aca="false">IF(COUNTIF($A$2:A104,A104)&gt;1,"Duplicate - Remove","Unique")</f>
        <v>Unique</v>
      </c>
      <c r="S104" s="11" t="str">
        <f aca="false">TRIM(IF(Raw_Data!G104="","Region missing; ","")&amp;IF(Raw_Data!H104="","Spend imputed; ","")&amp;IF(Raw_Data!L104="","Revenue imputed; ","")&amp;IF(Raw_Data!J104&lt;0,"Clicks corrected; ",""))</f>
        <v/>
      </c>
    </row>
    <row r="105" customFormat="false" ht="15" hidden="false" customHeight="true" outlineLevel="0" collapsed="false">
      <c r="A105" s="11" t="n">
        <f aca="false">Raw_Data!A105</f>
        <v>1078</v>
      </c>
      <c r="B105" s="11" t="str">
        <f aca="false">PROPER(TRIM(Raw_Data!B105))</f>
        <v>Anti-Ageing Serum Push</v>
      </c>
      <c r="C105" s="11" t="str">
        <f aca="false">IFERROR(INDEX(Lookup_Tables!$B$2:$B$26,MATCH(UPPER(TRIM(Raw_Data!C105)),Lookup_Tables!$C$2:$C$26,0)),"Unknown")</f>
        <v>Google Ads</v>
      </c>
      <c r="D105" s="12" t="n">
        <f aca="false">IFERROR(IF(ISNUMBER(SEARCH("/",Raw_Data!D105)),DATE(VALUE(RIGHT(Raw_Data!D105,4)),VALUE(MID(Raw_Data!D105,FIND("/",Raw_Data!D105)+1,FIND("/",Raw_Data!D105,FIND("/",Raw_Data!D105)+1)-FIND("/",Raw_Data!D105)-1)),VALUE(LEFT(Raw_Data!D105,FIND("/",Raw_Data!D105)-1))),IF(ISNUMBER(VALUE(LEFT(Raw_Data!D105,4))),DATE(VALUE(LEFT(Raw_Data!D105,4)),VALUE(MID(Raw_Data!D105,6,2)),VALUE(MID(Raw_Data!D105,9,2))),DATEVALUE(Raw_Data!D105))),"")</f>
        <v>45406</v>
      </c>
      <c r="E105" s="12" t="n">
        <f aca="false">IFERROR(IF(ISNUMBER(SEARCH("/",Raw_Data!E105)),DATE(VALUE(RIGHT(Raw_Data!E105,4)),VALUE(MID(Raw_Data!E105,FIND("/",Raw_Data!E105)+1,FIND("/",Raw_Data!E105,FIND("/",Raw_Data!E105)+1)-FIND("/",Raw_Data!E105)-1)),VALUE(LEFT(Raw_Data!E105,FIND("/",Raw_Data!E105)-1))),IF(ISNUMBER(VALUE(LEFT(Raw_Data!E105,4))),DATE(VALUE(LEFT(Raw_Data!E105,4)),VALUE(MID(Raw_Data!E105,6,2)),VALUE(MID(Raw_Data!E105,9,2))),DATEVALUE(Raw_Data!E105))),"")</f>
        <v>45411</v>
      </c>
      <c r="F105" s="11" t="str">
        <f aca="false">Raw_Data!F105</f>
        <v>Male 35-44</v>
      </c>
      <c r="G105" s="11" t="str">
        <f aca="false">IF(TRIM(Raw_Data!G105)="","Unspecified",IFERROR(INDEX(Lookup_Tables!$F$2:$F$24,MATCH(UPPER(TRIM(Raw_Data!G105)),Lookup_Tables!$G$2:$G$24,0)),"Unknown"))</f>
        <v>South</v>
      </c>
      <c r="H105" s="11" t="n">
        <f aca="false">IF(Raw_Data!H105="",ROUND(AVERAGEIFS(Raw_Data!$H$2:$H$839,Raw_Data!$C$2:$C$839,Raw_Data!C105),2),Raw_Data!H105)</f>
        <v>75157.81</v>
      </c>
      <c r="I105" s="11" t="n">
        <f aca="false">Raw_Data!I105</f>
        <v>2704133</v>
      </c>
      <c r="J105" s="11" t="n">
        <f aca="false">IF(Raw_Data!J105&lt;0,ABS(Raw_Data!J105),Raw_Data!J105)</f>
        <v>66248</v>
      </c>
      <c r="K105" s="11" t="n">
        <f aca="false">Raw_Data!K105</f>
        <v>4332</v>
      </c>
      <c r="L105" s="11" t="n">
        <f aca="false">IF(Raw_Data!L105="",ROUND(AVERAGEIFS(Raw_Data!$L$2:$L$839,Raw_Data!$C$2:$C$839,Raw_Data!C105),2),Raw_Data!L105)</f>
        <v>2380518.05</v>
      </c>
      <c r="M105" s="13" t="n">
        <f aca="false">IFERROR(J105/I105,0)</f>
        <v>0.0244987949927019</v>
      </c>
      <c r="N105" s="14" t="n">
        <f aca="false">IFERROR(H105/J105,0)</f>
        <v>1.13449175824176</v>
      </c>
      <c r="O105" s="14" t="n">
        <f aca="false">IFERROR(H105/K105,0)</f>
        <v>17.3494482917821</v>
      </c>
      <c r="P105" s="15" t="n">
        <f aca="false">IFERROR(L105/H105,0)</f>
        <v>31.6735951992215</v>
      </c>
      <c r="Q105" s="13" t="n">
        <f aca="false">IFERROR(K105/J105,0)</f>
        <v>0.0653906533027412</v>
      </c>
      <c r="R105" s="11" t="str">
        <f aca="false">IF(COUNTIF($A$2:A105,A105)&gt;1,"Duplicate - Remove","Unique")</f>
        <v>Unique</v>
      </c>
      <c r="S105" s="11" t="str">
        <f aca="false">TRIM(IF(Raw_Data!G105="","Region missing; ","")&amp;IF(Raw_Data!H105="","Spend imputed; ","")&amp;IF(Raw_Data!L105="","Revenue imputed; ","")&amp;IF(Raw_Data!J105&lt;0,"Clicks corrected; ",""))</f>
        <v/>
      </c>
    </row>
    <row r="106" customFormat="false" ht="15" hidden="false" customHeight="true" outlineLevel="0" collapsed="false">
      <c r="A106" s="11" t="n">
        <f aca="false">Raw_Data!A106</f>
        <v>1674</v>
      </c>
      <c r="B106" s="11" t="str">
        <f aca="false">PROPER(TRIM(Raw_Data!B106))</f>
        <v>Hair Care Revamp</v>
      </c>
      <c r="C106" s="11" t="str">
        <f aca="false">IFERROR(INDEX(Lookup_Tables!$B$2:$B$26,MATCH(UPPER(TRIM(Raw_Data!C106)),Lookup_Tables!$C$2:$C$26,0)),"Unknown")</f>
        <v>Instagram</v>
      </c>
      <c r="D106" s="12" t="n">
        <f aca="false">IFERROR(IF(ISNUMBER(SEARCH("/",Raw_Data!D106)),DATE(VALUE(RIGHT(Raw_Data!D106,4)),VALUE(MID(Raw_Data!D106,FIND("/",Raw_Data!D106)+1,FIND("/",Raw_Data!D106,FIND("/",Raw_Data!D106)+1)-FIND("/",Raw_Data!D106)-1)),VALUE(LEFT(Raw_Data!D106,FIND("/",Raw_Data!D106)-1))),IF(ISNUMBER(VALUE(LEFT(Raw_Data!D106,4))),DATE(VALUE(LEFT(Raw_Data!D106,4)),VALUE(MID(Raw_Data!D106,6,2)),VALUE(MID(Raw_Data!D106,9,2))),DATEVALUE(Raw_Data!D106))),"")</f>
        <v>45313</v>
      </c>
      <c r="E106" s="12" t="n">
        <f aca="false">IFERROR(IF(ISNUMBER(SEARCH("/",Raw_Data!E106)),DATE(VALUE(RIGHT(Raw_Data!E106,4)),VALUE(MID(Raw_Data!E106,FIND("/",Raw_Data!E106)+1,FIND("/",Raw_Data!E106,FIND("/",Raw_Data!E106)+1)-FIND("/",Raw_Data!E106)-1)),VALUE(LEFT(Raw_Data!E106,FIND("/",Raw_Data!E106)-1))),IF(ISNUMBER(VALUE(LEFT(Raw_Data!E106,4))),DATE(VALUE(LEFT(Raw_Data!E106,4)),VALUE(MID(Raw_Data!E106,6,2)),VALUE(MID(Raw_Data!E106,9,2))),DATEVALUE(Raw_Data!E106))),"")</f>
        <v>45337</v>
      </c>
      <c r="F106" s="11" t="str">
        <f aca="false">Raw_Data!F106</f>
        <v>Female 45+</v>
      </c>
      <c r="G106" s="11" t="str">
        <f aca="false">IF(TRIM(Raw_Data!G106)="","Unspecified",IFERROR(INDEX(Lookup_Tables!$F$2:$F$24,MATCH(UPPER(TRIM(Raw_Data!G106)),Lookup_Tables!$G$2:$G$24,0)),"Unknown"))</f>
        <v>Central</v>
      </c>
      <c r="H106" s="11" t="n">
        <f aca="false">IF(Raw_Data!H106="",ROUND(AVERAGEIFS(Raw_Data!$H$2:$H$839,Raw_Data!$C$2:$C$839,Raw_Data!C106),2),Raw_Data!H106)</f>
        <v>38697.84</v>
      </c>
      <c r="I106" s="11" t="n">
        <f aca="false">Raw_Data!I106</f>
        <v>1348232</v>
      </c>
      <c r="J106" s="11" t="n">
        <f aca="false">IF(Raw_Data!J106&lt;0,ABS(Raw_Data!J106),Raw_Data!J106)</f>
        <v>45330</v>
      </c>
      <c r="K106" s="11" t="n">
        <f aca="false">Raw_Data!K106</f>
        <v>2279</v>
      </c>
      <c r="L106" s="11" t="n">
        <f aca="false">IF(Raw_Data!L106="",ROUND(AVERAGEIFS(Raw_Data!$L$2:$L$839,Raw_Data!$C$2:$C$839,Raw_Data!C106),2),Raw_Data!L106)</f>
        <v>1185846.6</v>
      </c>
      <c r="M106" s="13" t="n">
        <f aca="false">IFERROR(J106/I106,0)</f>
        <v>0.0336218098962196</v>
      </c>
      <c r="N106" s="14" t="n">
        <f aca="false">IFERROR(H106/J106,0)</f>
        <v>0.853691594970218</v>
      </c>
      <c r="O106" s="14" t="n">
        <f aca="false">IFERROR(H106/K106,0)</f>
        <v>16.9801842913559</v>
      </c>
      <c r="P106" s="15" t="n">
        <f aca="false">IFERROR(L106/H106,0)</f>
        <v>30.6437413561067</v>
      </c>
      <c r="Q106" s="13" t="n">
        <f aca="false">IFERROR(K106/J106,0)</f>
        <v>0.0502757555702625</v>
      </c>
      <c r="R106" s="11" t="str">
        <f aca="false">IF(COUNTIF($A$2:A106,A106)&gt;1,"Duplicate - Remove","Unique")</f>
        <v>Unique</v>
      </c>
      <c r="S106" s="11" t="str">
        <f aca="false">TRIM(IF(Raw_Data!G106="","Region missing; ","")&amp;IF(Raw_Data!H106="","Spend imputed; ","")&amp;IF(Raw_Data!L106="","Revenue imputed; ","")&amp;IF(Raw_Data!J106&lt;0,"Clicks corrected; ",""))</f>
        <v/>
      </c>
    </row>
    <row r="107" customFormat="false" ht="15" hidden="false" customHeight="true" outlineLevel="0" collapsed="false">
      <c r="A107" s="11" t="n">
        <f aca="false">Raw_Data!A107</f>
        <v>1116</v>
      </c>
      <c r="B107" s="11" t="str">
        <f aca="false">PROPER(TRIM(Raw_Data!B107))</f>
        <v>New Year Wellness</v>
      </c>
      <c r="C107" s="11" t="str">
        <f aca="false">IFERROR(INDEX(Lookup_Tables!$B$2:$B$26,MATCH(UPPER(TRIM(Raw_Data!C107)),Lookup_Tables!$C$2:$C$26,0)),"Unknown")</f>
        <v>Facebook</v>
      </c>
      <c r="D107" s="12" t="n">
        <f aca="false">IFERROR(IF(ISNUMBER(SEARCH("/",Raw_Data!D107)),DATE(VALUE(RIGHT(Raw_Data!D107,4)),VALUE(MID(Raw_Data!D107,FIND("/",Raw_Data!D107)+1,FIND("/",Raw_Data!D107,FIND("/",Raw_Data!D107)+1)-FIND("/",Raw_Data!D107)-1)),VALUE(LEFT(Raw_Data!D107,FIND("/",Raw_Data!D107)-1))),IF(ISNUMBER(VALUE(LEFT(Raw_Data!D107,4))),DATE(VALUE(LEFT(Raw_Data!D107,4)),VALUE(MID(Raw_Data!D107,6,2)),VALUE(MID(Raw_Data!D107,9,2))),DATEVALUE(Raw_Data!D107))),"")</f>
        <v>45537</v>
      </c>
      <c r="E107" s="12" t="n">
        <f aca="false">IFERROR(IF(ISNUMBER(SEARCH("/",Raw_Data!E107)),DATE(VALUE(RIGHT(Raw_Data!E107,4)),VALUE(MID(Raw_Data!E107,FIND("/",Raw_Data!E107)+1,FIND("/",Raw_Data!E107,FIND("/",Raw_Data!E107)+1)-FIND("/",Raw_Data!E107)-1)),VALUE(LEFT(Raw_Data!E107,FIND("/",Raw_Data!E107)-1))),IF(ISNUMBER(VALUE(LEFT(Raw_Data!E107,4))),DATE(VALUE(LEFT(Raw_Data!E107,4)),VALUE(MID(Raw_Data!E107,6,2)),VALUE(MID(Raw_Data!E107,9,2))),DATEVALUE(Raw_Data!E107))),"")</f>
        <v>45549</v>
      </c>
      <c r="F107" s="11" t="str">
        <f aca="false">Raw_Data!F107</f>
        <v>Female 25-34</v>
      </c>
      <c r="G107" s="11" t="str">
        <f aca="false">IF(TRIM(Raw_Data!G107)="","Unspecified",IFERROR(INDEX(Lookup_Tables!$F$2:$F$24,MATCH(UPPER(TRIM(Raw_Data!G107)),Lookup_Tables!$G$2:$G$24,0)),"Unknown"))</f>
        <v>North</v>
      </c>
      <c r="H107" s="11" t="n">
        <f aca="false">IF(Raw_Data!H107="",ROUND(AVERAGEIFS(Raw_Data!$H$2:$H$839,Raw_Data!$C$2:$C$839,Raw_Data!C107),2),Raw_Data!H107)</f>
        <v>32593.67</v>
      </c>
      <c r="I107" s="11" t="n">
        <f aca="false">Raw_Data!I107</f>
        <v>655550</v>
      </c>
      <c r="J107" s="11" t="n">
        <f aca="false">IF(Raw_Data!J107&lt;0,ABS(Raw_Data!J107),Raw_Data!J107)</f>
        <v>21275</v>
      </c>
      <c r="K107" s="11" t="n">
        <f aca="false">Raw_Data!K107</f>
        <v>1034</v>
      </c>
      <c r="L107" s="11" t="n">
        <f aca="false">IF(Raw_Data!L107="",ROUND(AVERAGEIFS(Raw_Data!$L$2:$L$839,Raw_Data!$C$2:$C$839,Raw_Data!C107),2),Raw_Data!L107)</f>
        <v>1524627.96</v>
      </c>
      <c r="M107" s="13" t="n">
        <f aca="false">IFERROR(J107/I107,0)</f>
        <v>0.0324536648615666</v>
      </c>
      <c r="N107" s="14" t="n">
        <f aca="false">IFERROR(H107/J107,0)</f>
        <v>1.53201739130435</v>
      </c>
      <c r="O107" s="14" t="n">
        <f aca="false">IFERROR(H107/K107,0)</f>
        <v>31.5219245647969</v>
      </c>
      <c r="P107" s="15" t="n">
        <f aca="false">IFERROR(L107/H107,0)</f>
        <v>46.7768115710811</v>
      </c>
      <c r="Q107" s="13" t="n">
        <f aca="false">IFERROR(K107/J107,0)</f>
        <v>0.0486016451233843</v>
      </c>
      <c r="R107" s="11" t="str">
        <f aca="false">IF(COUNTIF($A$2:A107,A107)&gt;1,"Duplicate - Remove","Unique")</f>
        <v>Unique</v>
      </c>
      <c r="S107" s="11" t="str">
        <f aca="false">TRIM(IF(Raw_Data!G107="","Region missing; ","")&amp;IF(Raw_Data!H107="","Spend imputed; ","")&amp;IF(Raw_Data!L107="","Revenue imputed; ","")&amp;IF(Raw_Data!J107&lt;0,"Clicks corrected; ",""))</f>
        <v/>
      </c>
    </row>
    <row r="108" customFormat="false" ht="15" hidden="false" customHeight="true" outlineLevel="0" collapsed="false">
      <c r="A108" s="11" t="n">
        <f aca="false">Raw_Data!A108</f>
        <v>1731</v>
      </c>
      <c r="B108" s="11" t="str">
        <f aca="false">PROPER(TRIM(Raw_Data!B108))</f>
        <v>Hair Care Revamp</v>
      </c>
      <c r="C108" s="11" t="str">
        <f aca="false">IFERROR(INDEX(Lookup_Tables!$B$2:$B$26,MATCH(UPPER(TRIM(Raw_Data!C108)),Lookup_Tables!$C$2:$C$26,0)),"Unknown")</f>
        <v>Facebook</v>
      </c>
      <c r="D108" s="12" t="n">
        <f aca="false">IFERROR(IF(ISNUMBER(SEARCH("/",Raw_Data!D108)),DATE(VALUE(RIGHT(Raw_Data!D108,4)),VALUE(MID(Raw_Data!D108,FIND("/",Raw_Data!D108)+1,FIND("/",Raw_Data!D108,FIND("/",Raw_Data!D108)+1)-FIND("/",Raw_Data!D108)-1)),VALUE(LEFT(Raw_Data!D108,FIND("/",Raw_Data!D108)-1))),IF(ISNUMBER(VALUE(LEFT(Raw_Data!D108,4))),DATE(VALUE(LEFT(Raw_Data!D108,4)),VALUE(MID(Raw_Data!D108,6,2)),VALUE(MID(Raw_Data!D108,9,2))),DATEVALUE(Raw_Data!D108))),"")</f>
        <v>45544</v>
      </c>
      <c r="E108" s="12" t="n">
        <f aca="false">IFERROR(IF(ISNUMBER(SEARCH("/",Raw_Data!E108)),DATE(VALUE(RIGHT(Raw_Data!E108,4)),VALUE(MID(Raw_Data!E108,FIND("/",Raw_Data!E108)+1,FIND("/",Raw_Data!E108,FIND("/",Raw_Data!E108)+1)-FIND("/",Raw_Data!E108)-1)),VALUE(LEFT(Raw_Data!E108,FIND("/",Raw_Data!E108)-1))),IF(ISNUMBER(VALUE(LEFT(Raw_Data!E108,4))),DATE(VALUE(LEFT(Raw_Data!E108,4)),VALUE(MID(Raw_Data!E108,6,2)),VALUE(MID(Raw_Data!E108,9,2))),DATEVALUE(Raw_Data!E108))),"")</f>
        <v>45549</v>
      </c>
      <c r="F108" s="11" t="str">
        <f aca="false">Raw_Data!F108</f>
        <v>Male 25-34</v>
      </c>
      <c r="G108" s="11" t="str">
        <f aca="false">IF(TRIM(Raw_Data!G108)="","Unspecified",IFERROR(INDEX(Lookup_Tables!$F$2:$F$24,MATCH(UPPER(TRIM(Raw_Data!G108)),Lookup_Tables!$G$2:$G$24,0)),"Unknown"))</f>
        <v>West</v>
      </c>
      <c r="H108" s="11" t="n">
        <f aca="false">IF(Raw_Data!H108="",ROUND(AVERAGEIFS(Raw_Data!$H$2:$H$839,Raw_Data!$C$2:$C$839,Raw_Data!C108),2),Raw_Data!H108)</f>
        <v>37448.66</v>
      </c>
      <c r="I108" s="11" t="n">
        <f aca="false">Raw_Data!I108</f>
        <v>950202</v>
      </c>
      <c r="J108" s="11" t="n">
        <f aca="false">IF(Raw_Data!J108&lt;0,ABS(Raw_Data!J108),Raw_Data!J108)</f>
        <v>6688</v>
      </c>
      <c r="K108" s="11" t="n">
        <f aca="false">Raw_Data!K108</f>
        <v>160</v>
      </c>
      <c r="L108" s="11" t="n">
        <f aca="false">IF(Raw_Data!L108="",ROUND(AVERAGEIFS(Raw_Data!$L$2:$L$839,Raw_Data!$C$2:$C$839,Raw_Data!C108),2),Raw_Data!L108)</f>
        <v>64353.3</v>
      </c>
      <c r="M108" s="13" t="n">
        <f aca="false">IFERROR(J108/I108,0)</f>
        <v>0.00703850339191035</v>
      </c>
      <c r="N108" s="14" t="n">
        <f aca="false">IFERROR(H108/J108,0)</f>
        <v>5.59938098086125</v>
      </c>
      <c r="O108" s="14" t="n">
        <f aca="false">IFERROR(H108/K108,0)</f>
        <v>234.054125</v>
      </c>
      <c r="P108" s="15" t="n">
        <f aca="false">IFERROR(L108/H108,0)</f>
        <v>1.71844065982601</v>
      </c>
      <c r="Q108" s="13" t="n">
        <f aca="false">IFERROR(K108/J108,0)</f>
        <v>0.0239234449760766</v>
      </c>
      <c r="R108" s="11" t="str">
        <f aca="false">IF(COUNTIF($A$2:A108,A108)&gt;1,"Duplicate - Remove","Unique")</f>
        <v>Unique</v>
      </c>
      <c r="S108" s="11" t="str">
        <f aca="false">TRIM(IF(Raw_Data!G108="","Region missing; ","")&amp;IF(Raw_Data!H108="","Spend imputed; ","")&amp;IF(Raw_Data!L108="","Revenue imputed; ","")&amp;IF(Raw_Data!J108&lt;0,"Clicks corrected; ",""))</f>
        <v/>
      </c>
    </row>
    <row r="109" customFormat="false" ht="15" hidden="false" customHeight="true" outlineLevel="0" collapsed="false">
      <c r="A109" s="11" t="n">
        <f aca="false">Raw_Data!A109</f>
        <v>1121</v>
      </c>
      <c r="B109" s="11" t="str">
        <f aca="false">PROPER(TRIM(Raw_Data!B109))</f>
        <v>Influencer Collab - Skincare</v>
      </c>
      <c r="C109" s="11" t="str">
        <f aca="false">IFERROR(INDEX(Lookup_Tables!$B$2:$B$26,MATCH(UPPER(TRIM(Raw_Data!C109)),Lookup_Tables!$C$2:$C$26,0)),"Unknown")</f>
        <v>Google Ads</v>
      </c>
      <c r="D109" s="12" t="n">
        <f aca="false">IFERROR(IF(ISNUMBER(SEARCH("/",Raw_Data!D109)),DATE(VALUE(RIGHT(Raw_Data!D109,4)),VALUE(MID(Raw_Data!D109,FIND("/",Raw_Data!D109)+1,FIND("/",Raw_Data!D109,FIND("/",Raw_Data!D109)+1)-FIND("/",Raw_Data!D109)-1)),VALUE(LEFT(Raw_Data!D109,FIND("/",Raw_Data!D109)-1))),IF(ISNUMBER(VALUE(LEFT(Raw_Data!D109,4))),DATE(VALUE(LEFT(Raw_Data!D109,4)),VALUE(MID(Raw_Data!D109,6,2)),VALUE(MID(Raw_Data!D109,9,2))),DATEVALUE(Raw_Data!D109))),"")</f>
        <v>45445</v>
      </c>
      <c r="E109" s="12" t="n">
        <f aca="false">IFERROR(IF(ISNUMBER(SEARCH("/",Raw_Data!E109)),DATE(VALUE(RIGHT(Raw_Data!E109,4)),VALUE(MID(Raw_Data!E109,FIND("/",Raw_Data!E109)+1,FIND("/",Raw_Data!E109,FIND("/",Raw_Data!E109)+1)-FIND("/",Raw_Data!E109)-1)),VALUE(LEFT(Raw_Data!E109,FIND("/",Raw_Data!E109)-1))),IF(ISNUMBER(VALUE(LEFT(Raw_Data!E109,4))),DATE(VALUE(LEFT(Raw_Data!E109,4)),VALUE(MID(Raw_Data!E109,6,2)),VALUE(MID(Raw_Data!E109,9,2))),DATEVALUE(Raw_Data!E109))),"")</f>
        <v>45471</v>
      </c>
      <c r="F109" s="11" t="str">
        <f aca="false">Raw_Data!F109</f>
        <v>Male 18-24</v>
      </c>
      <c r="G109" s="11" t="str">
        <f aca="false">IF(TRIM(Raw_Data!G109)="","Unspecified",IFERROR(INDEX(Lookup_Tables!$F$2:$F$24,MATCH(UPPER(TRIM(Raw_Data!G109)),Lookup_Tables!$G$2:$G$24,0)),"Unknown"))</f>
        <v>West</v>
      </c>
      <c r="H109" s="11" t="n">
        <f aca="false">IF(Raw_Data!H109="",ROUND(AVERAGEIFS(Raw_Data!$H$2:$H$839,Raw_Data!$C$2:$C$839,Raw_Data!C109),2),Raw_Data!H109)</f>
        <v>55761.5</v>
      </c>
      <c r="I109" s="11" t="n">
        <f aca="false">Raw_Data!I109</f>
        <v>2032812</v>
      </c>
      <c r="J109" s="11" t="n">
        <f aca="false">IF(Raw_Data!J109&lt;0,ABS(Raw_Data!J109),Raw_Data!J109)</f>
        <v>56486</v>
      </c>
      <c r="K109" s="11" t="n">
        <f aca="false">Raw_Data!K109</f>
        <v>934</v>
      </c>
      <c r="L109" s="11" t="n">
        <f aca="false">IF(Raw_Data!L109="",ROUND(AVERAGEIFS(Raw_Data!$L$2:$L$839,Raw_Data!$C$2:$C$839,Raw_Data!C109),2),Raw_Data!L109)</f>
        <v>840537.27</v>
      </c>
      <c r="M109" s="13" t="n">
        <f aca="false">IFERROR(J109/I109,0)</f>
        <v>0.0277871244364949</v>
      </c>
      <c r="N109" s="14" t="n">
        <f aca="false">IFERROR(H109/J109,0)</f>
        <v>0.987173812980208</v>
      </c>
      <c r="O109" s="14" t="n">
        <f aca="false">IFERROR(H109/K109,0)</f>
        <v>59.7018201284797</v>
      </c>
      <c r="P109" s="15" t="n">
        <f aca="false">IFERROR(L109/H109,0)</f>
        <v>15.0737923118998</v>
      </c>
      <c r="Q109" s="13" t="n">
        <f aca="false">IFERROR(K109/J109,0)</f>
        <v>0.016535070636972</v>
      </c>
      <c r="R109" s="11" t="str">
        <f aca="false">IF(COUNTIF($A$2:A109,A109)&gt;1,"Duplicate - Remove","Unique")</f>
        <v>Unique</v>
      </c>
      <c r="S109" s="11" t="str">
        <f aca="false">TRIM(IF(Raw_Data!G109="","Region missing; ","")&amp;IF(Raw_Data!H109="","Spend imputed; ","")&amp;IF(Raw_Data!L109="","Revenue imputed; ","")&amp;IF(Raw_Data!J109&lt;0,"Clicks corrected; ",""))</f>
        <v>Clicks corrected;</v>
      </c>
    </row>
    <row r="110" customFormat="false" ht="15" hidden="false" customHeight="true" outlineLevel="0" collapsed="false">
      <c r="A110" s="11" t="n">
        <f aca="false">Raw_Data!A110</f>
        <v>1695</v>
      </c>
      <c r="B110" s="11" t="str">
        <f aca="false">PROPER(TRIM(Raw_Data!B110))</f>
        <v>Baby Care Trust Campaign</v>
      </c>
      <c r="C110" s="11" t="str">
        <f aca="false">IFERROR(INDEX(Lookup_Tables!$B$2:$B$26,MATCH(UPPER(TRIM(Raw_Data!C110)),Lookup_Tables!$C$2:$C$26,0)),"Unknown")</f>
        <v>Facebook</v>
      </c>
      <c r="D110" s="12" t="n">
        <f aca="false">IFERROR(IF(ISNUMBER(SEARCH("/",Raw_Data!D110)),DATE(VALUE(RIGHT(Raw_Data!D110,4)),VALUE(MID(Raw_Data!D110,FIND("/",Raw_Data!D110)+1,FIND("/",Raw_Data!D110,FIND("/",Raw_Data!D110)+1)-FIND("/",Raw_Data!D110)-1)),VALUE(LEFT(Raw_Data!D110,FIND("/",Raw_Data!D110)-1))),IF(ISNUMBER(VALUE(LEFT(Raw_Data!D110,4))),DATE(VALUE(LEFT(Raw_Data!D110,4)),VALUE(MID(Raw_Data!D110,6,2)),VALUE(MID(Raw_Data!D110,9,2))),DATEVALUE(Raw_Data!D110))),"")</f>
        <v>45396</v>
      </c>
      <c r="E110" s="12" t="n">
        <f aca="false">IFERROR(IF(ISNUMBER(SEARCH("/",Raw_Data!E110)),DATE(VALUE(RIGHT(Raw_Data!E110,4)),VALUE(MID(Raw_Data!E110,FIND("/",Raw_Data!E110)+1,FIND("/",Raw_Data!E110,FIND("/",Raw_Data!E110)+1)-FIND("/",Raw_Data!E110)-1)),VALUE(LEFT(Raw_Data!E110,FIND("/",Raw_Data!E110)-1))),IF(ISNUMBER(VALUE(LEFT(Raw_Data!E110,4))),DATE(VALUE(LEFT(Raw_Data!E110,4)),VALUE(MID(Raw_Data!E110,6,2)),VALUE(MID(Raw_Data!E110,9,2))),DATEVALUE(Raw_Data!E110))),"")</f>
        <v>45421</v>
      </c>
      <c r="F110" s="11" t="str">
        <f aca="false">Raw_Data!F110</f>
        <v>Male 25-34</v>
      </c>
      <c r="G110" s="11" t="str">
        <f aca="false">IF(TRIM(Raw_Data!G110)="","Unspecified",IFERROR(INDEX(Lookup_Tables!$F$2:$F$24,MATCH(UPPER(TRIM(Raw_Data!G110)),Lookup_Tables!$G$2:$G$24,0)),"Unknown"))</f>
        <v>West</v>
      </c>
      <c r="H110" s="11" t="n">
        <f aca="false">IF(Raw_Data!H110="",ROUND(AVERAGEIFS(Raw_Data!$H$2:$H$839,Raw_Data!$C$2:$C$839,Raw_Data!C110),2),Raw_Data!H110)</f>
        <v>46204.39</v>
      </c>
      <c r="I110" s="11" t="n">
        <f aca="false">Raw_Data!I110</f>
        <v>1165740</v>
      </c>
      <c r="J110" s="11" t="n">
        <f aca="false">IF(Raw_Data!J110&lt;0,ABS(Raw_Data!J110),Raw_Data!J110)</f>
        <v>6186</v>
      </c>
      <c r="K110" s="11" t="n">
        <f aca="false">Raw_Data!K110</f>
        <v>418</v>
      </c>
      <c r="L110" s="11" t="n">
        <f aca="false">IF(Raw_Data!L110="",ROUND(AVERAGEIFS(Raw_Data!$L$2:$L$839,Raw_Data!$C$2:$C$839,Raw_Data!C110),2),Raw_Data!L110)</f>
        <v>374879.56</v>
      </c>
      <c r="M110" s="13" t="n">
        <f aca="false">IFERROR(J110/I110,0)</f>
        <v>0.00530650059189871</v>
      </c>
      <c r="N110" s="14" t="n">
        <f aca="false">IFERROR(H110/J110,0)</f>
        <v>7.46918687358552</v>
      </c>
      <c r="O110" s="14" t="n">
        <f aca="false">IFERROR(H110/K110,0)</f>
        <v>110.536818181818</v>
      </c>
      <c r="P110" s="15" t="n">
        <f aca="false">IFERROR(L110/H110,0)</f>
        <v>8.11350523186217</v>
      </c>
      <c r="Q110" s="13" t="n">
        <f aca="false">IFERROR(K110/J110,0)</f>
        <v>0.0675719366311025</v>
      </c>
      <c r="R110" s="11" t="str">
        <f aca="false">IF(COUNTIF($A$2:A110,A110)&gt;1,"Duplicate - Remove","Unique")</f>
        <v>Unique</v>
      </c>
      <c r="S110" s="11" t="str">
        <f aca="false">TRIM(IF(Raw_Data!G110="","Region missing; ","")&amp;IF(Raw_Data!H110="","Spend imputed; ","")&amp;IF(Raw_Data!L110="","Revenue imputed; ","")&amp;IF(Raw_Data!J110&lt;0,"Clicks corrected; ",""))</f>
        <v/>
      </c>
    </row>
    <row r="111" customFormat="false" ht="15" hidden="false" customHeight="true" outlineLevel="0" collapsed="false">
      <c r="A111" s="11" t="n">
        <f aca="false">Raw_Data!A111</f>
        <v>1432</v>
      </c>
      <c r="B111" s="11" t="str">
        <f aca="false">PROPER(TRIM(Raw_Data!B111))</f>
        <v>Influencer Collab - Skincare</v>
      </c>
      <c r="C111" s="11" t="str">
        <f aca="false">IFERROR(INDEX(Lookup_Tables!$B$2:$B$26,MATCH(UPPER(TRIM(Raw_Data!C111)),Lookup_Tables!$C$2:$C$26,0)),"Unknown")</f>
        <v>Email</v>
      </c>
      <c r="D111" s="12" t="n">
        <f aca="false">IFERROR(IF(ISNUMBER(SEARCH("/",Raw_Data!D111)),DATE(VALUE(RIGHT(Raw_Data!D111,4)),VALUE(MID(Raw_Data!D111,FIND("/",Raw_Data!D111)+1,FIND("/",Raw_Data!D111,FIND("/",Raw_Data!D111)+1)-FIND("/",Raw_Data!D111)-1)),VALUE(LEFT(Raw_Data!D111,FIND("/",Raw_Data!D111)-1))),IF(ISNUMBER(VALUE(LEFT(Raw_Data!D111,4))),DATE(VALUE(LEFT(Raw_Data!D111,4)),VALUE(MID(Raw_Data!D111,6,2)),VALUE(MID(Raw_Data!D111,9,2))),DATEVALUE(Raw_Data!D111))),"")</f>
        <v>45338</v>
      </c>
      <c r="E111" s="12" t="n">
        <f aca="false">IFERROR(IF(ISNUMBER(SEARCH("/",Raw_Data!E111)),DATE(VALUE(RIGHT(Raw_Data!E111,4)),VALUE(MID(Raw_Data!E111,FIND("/",Raw_Data!E111)+1,FIND("/",Raw_Data!E111,FIND("/",Raw_Data!E111)+1)-FIND("/",Raw_Data!E111)-1)),VALUE(LEFT(Raw_Data!E111,FIND("/",Raw_Data!E111)-1))),IF(ISNUMBER(VALUE(LEFT(Raw_Data!E111,4))),DATE(VALUE(LEFT(Raw_Data!E111,4)),VALUE(MID(Raw_Data!E111,6,2)),VALUE(MID(Raw_Data!E111,9,2))),DATEVALUE(Raw_Data!E111))),"")</f>
        <v>45352</v>
      </c>
      <c r="F111" s="11" t="str">
        <f aca="false">Raw_Data!F111</f>
        <v>Female 18-24</v>
      </c>
      <c r="G111" s="11" t="str">
        <f aca="false">IF(TRIM(Raw_Data!G111)="","Unspecified",IFERROR(INDEX(Lookup_Tables!$F$2:$F$24,MATCH(UPPER(TRIM(Raw_Data!G111)),Lookup_Tables!$G$2:$G$24,0)),"Unknown"))</f>
        <v>Central</v>
      </c>
      <c r="H111" s="11" t="n">
        <f aca="false">IF(Raw_Data!H111="",ROUND(AVERAGEIFS(Raw_Data!$H$2:$H$839,Raw_Data!$C$2:$C$839,Raw_Data!C111),2),Raw_Data!H111)</f>
        <v>7166.96</v>
      </c>
      <c r="I111" s="11" t="n">
        <f aca="false">Raw_Data!I111</f>
        <v>189262</v>
      </c>
      <c r="J111" s="11" t="n">
        <f aca="false">IF(Raw_Data!J111&lt;0,ABS(Raw_Data!J111),Raw_Data!J111)</f>
        <v>4922</v>
      </c>
      <c r="K111" s="11" t="n">
        <f aca="false">Raw_Data!K111</f>
        <v>294</v>
      </c>
      <c r="L111" s="11" t="n">
        <f aca="false">IF(Raw_Data!L111="",ROUND(AVERAGEIFS(Raw_Data!$L$2:$L$839,Raw_Data!$C$2:$C$839,Raw_Data!C111),2),Raw_Data!L111)</f>
        <v>229702.39</v>
      </c>
      <c r="M111" s="13" t="n">
        <f aca="false">IFERROR(J111/I111,0)</f>
        <v>0.0260062770128182</v>
      </c>
      <c r="N111" s="14" t="n">
        <f aca="false">IFERROR(H111/J111,0)</f>
        <v>1.45610727346607</v>
      </c>
      <c r="O111" s="14" t="n">
        <f aca="false">IFERROR(H111/K111,0)</f>
        <v>24.3774149659864</v>
      </c>
      <c r="P111" s="15" t="n">
        <f aca="false">IFERROR(L111/H111,0)</f>
        <v>32.0501844575664</v>
      </c>
      <c r="Q111" s="13" t="n">
        <f aca="false">IFERROR(K111/J111,0)</f>
        <v>0.0597318163348232</v>
      </c>
      <c r="R111" s="11" t="str">
        <f aca="false">IF(COUNTIF($A$2:A111,A111)&gt;1,"Duplicate - Remove","Unique")</f>
        <v>Unique</v>
      </c>
      <c r="S111" s="11" t="str">
        <f aca="false">TRIM(IF(Raw_Data!G111="","Region missing; ","")&amp;IF(Raw_Data!H111="","Spend imputed; ","")&amp;IF(Raw_Data!L111="","Revenue imputed; ","")&amp;IF(Raw_Data!J111&lt;0,"Clicks corrected; ",""))</f>
        <v/>
      </c>
    </row>
    <row r="112" customFormat="false" ht="15" hidden="false" customHeight="true" outlineLevel="0" collapsed="false">
      <c r="A112" s="11" t="n">
        <f aca="false">Raw_Data!A112</f>
        <v>1790</v>
      </c>
      <c r="B112" s="11" t="str">
        <f aca="false">PROPER(TRIM(Raw_Data!B112))</f>
        <v>Influencer Collab - Skincare</v>
      </c>
      <c r="C112" s="11" t="str">
        <f aca="false">IFERROR(INDEX(Lookup_Tables!$B$2:$B$26,MATCH(UPPER(TRIM(Raw_Data!C112)),Lookup_Tables!$C$2:$C$26,0)),"Unknown")</f>
        <v>Facebook</v>
      </c>
      <c r="D112" s="12" t="n">
        <f aca="false">IFERROR(IF(ISNUMBER(SEARCH("/",Raw_Data!D112)),DATE(VALUE(RIGHT(Raw_Data!D112,4)),VALUE(MID(Raw_Data!D112,FIND("/",Raw_Data!D112)+1,FIND("/",Raw_Data!D112,FIND("/",Raw_Data!D112)+1)-FIND("/",Raw_Data!D112)-1)),VALUE(LEFT(Raw_Data!D112,FIND("/",Raw_Data!D112)-1))),IF(ISNUMBER(VALUE(LEFT(Raw_Data!D112,4))),DATE(VALUE(LEFT(Raw_Data!D112,4)),VALUE(MID(Raw_Data!D112,6,2)),VALUE(MID(Raw_Data!D112,9,2))),DATEVALUE(Raw_Data!D112))),"")</f>
        <v>45314</v>
      </c>
      <c r="E112" s="12" t="n">
        <f aca="false">IFERROR(IF(ISNUMBER(SEARCH("/",Raw_Data!E112)),DATE(VALUE(RIGHT(Raw_Data!E112,4)),VALUE(MID(Raw_Data!E112,FIND("/",Raw_Data!E112)+1,FIND("/",Raw_Data!E112,FIND("/",Raw_Data!E112)+1)-FIND("/",Raw_Data!E112)-1)),VALUE(LEFT(Raw_Data!E112,FIND("/",Raw_Data!E112)-1))),IF(ISNUMBER(VALUE(LEFT(Raw_Data!E112,4))),DATE(VALUE(LEFT(Raw_Data!E112,4)),VALUE(MID(Raw_Data!E112,6,2)),VALUE(MID(Raw_Data!E112,9,2))),DATEVALUE(Raw_Data!E112))),"")</f>
        <v>45328</v>
      </c>
      <c r="F112" s="11" t="str">
        <f aca="false">Raw_Data!F112</f>
        <v>Male 45+</v>
      </c>
      <c r="G112" s="11" t="str">
        <f aca="false">IF(TRIM(Raw_Data!G112)="","Unspecified",IFERROR(INDEX(Lookup_Tables!$F$2:$F$24,MATCH(UPPER(TRIM(Raw_Data!G112)),Lookup_Tables!$G$2:$G$24,0)),"Unknown"))</f>
        <v>West</v>
      </c>
      <c r="H112" s="11" t="n">
        <f aca="false">IF(Raw_Data!H112="",ROUND(AVERAGEIFS(Raw_Data!$H$2:$H$839,Raw_Data!$C$2:$C$839,Raw_Data!C112),2),Raw_Data!H112)</f>
        <v>6788.26</v>
      </c>
      <c r="I112" s="11" t="n">
        <f aca="false">Raw_Data!I112</f>
        <v>201835</v>
      </c>
      <c r="J112" s="11" t="n">
        <f aca="false">IF(Raw_Data!J112&lt;0,ABS(Raw_Data!J112),Raw_Data!J112)</f>
        <v>6852</v>
      </c>
      <c r="K112" s="11" t="n">
        <f aca="false">Raw_Data!K112</f>
        <v>98</v>
      </c>
      <c r="L112" s="11" t="n">
        <f aca="false">IF(Raw_Data!L112="",ROUND(AVERAGEIFS(Raw_Data!$L$2:$L$839,Raw_Data!$C$2:$C$839,Raw_Data!C112),2),Raw_Data!L112)</f>
        <v>152179.45</v>
      </c>
      <c r="M112" s="13" t="n">
        <f aca="false">IFERROR(J112/I112,0)</f>
        <v>0.0339485223078257</v>
      </c>
      <c r="N112" s="14" t="n">
        <f aca="false">IFERROR(H112/J112,0)</f>
        <v>0.990697606538237</v>
      </c>
      <c r="O112" s="14" t="n">
        <f aca="false">IFERROR(H112/K112,0)</f>
        <v>69.2679591836735</v>
      </c>
      <c r="P112" s="15" t="n">
        <f aca="false">IFERROR(L112/H112,0)</f>
        <v>22.418034960358</v>
      </c>
      <c r="Q112" s="13" t="n">
        <f aca="false">IFERROR(K112/J112,0)</f>
        <v>0.014302393461763</v>
      </c>
      <c r="R112" s="11" t="str">
        <f aca="false">IF(COUNTIF($A$2:A112,A112)&gt;1,"Duplicate - Remove","Unique")</f>
        <v>Unique</v>
      </c>
      <c r="S112" s="11" t="str">
        <f aca="false">TRIM(IF(Raw_Data!G112="","Region missing; ","")&amp;IF(Raw_Data!H112="","Spend imputed; ","")&amp;IF(Raw_Data!L112="","Revenue imputed; ","")&amp;IF(Raw_Data!J112&lt;0,"Clicks corrected; ",""))</f>
        <v/>
      </c>
    </row>
    <row r="113" customFormat="false" ht="15" hidden="false" customHeight="true" outlineLevel="0" collapsed="false">
      <c r="A113" s="11" t="n">
        <f aca="false">Raw_Data!A113</f>
        <v>1187</v>
      </c>
      <c r="B113" s="11" t="str">
        <f aca="false">PROPER(TRIM(Raw_Data!B113))</f>
        <v>Anti-Ageing Serum Push</v>
      </c>
      <c r="C113" s="11" t="str">
        <f aca="false">IFERROR(INDEX(Lookup_Tables!$B$2:$B$26,MATCH(UPPER(TRIM(Raw_Data!C113)),Lookup_Tables!$C$2:$C$26,0)),"Unknown")</f>
        <v>YouTube</v>
      </c>
      <c r="D113" s="12" t="n">
        <f aca="false">IFERROR(IF(ISNUMBER(SEARCH("/",Raw_Data!D113)),DATE(VALUE(RIGHT(Raw_Data!D113,4)),VALUE(MID(Raw_Data!D113,FIND("/",Raw_Data!D113)+1,FIND("/",Raw_Data!D113,FIND("/",Raw_Data!D113)+1)-FIND("/",Raw_Data!D113)-1)),VALUE(LEFT(Raw_Data!D113,FIND("/",Raw_Data!D113)-1))),IF(ISNUMBER(VALUE(LEFT(Raw_Data!D113,4))),DATE(VALUE(LEFT(Raw_Data!D113,4)),VALUE(MID(Raw_Data!D113,6,2)),VALUE(MID(Raw_Data!D113,9,2))),DATEVALUE(Raw_Data!D113))),"")</f>
        <v>45365</v>
      </c>
      <c r="E113" s="12" t="n">
        <f aca="false">IFERROR(IF(ISNUMBER(SEARCH("/",Raw_Data!E113)),DATE(VALUE(RIGHT(Raw_Data!E113,4)),VALUE(MID(Raw_Data!E113,FIND("/",Raw_Data!E113)+1,FIND("/",Raw_Data!E113,FIND("/",Raw_Data!E113)+1)-FIND("/",Raw_Data!E113)-1)),VALUE(LEFT(Raw_Data!E113,FIND("/",Raw_Data!E113)-1))),IF(ISNUMBER(VALUE(LEFT(Raw_Data!E113,4))),DATE(VALUE(LEFT(Raw_Data!E113,4)),VALUE(MID(Raw_Data!E113,6,2)),VALUE(MID(Raw_Data!E113,9,2))),DATEVALUE(Raw_Data!E113))),"")</f>
        <v>45380</v>
      </c>
      <c r="F113" s="11" t="str">
        <f aca="false">Raw_Data!F113</f>
        <v>Male 45+</v>
      </c>
      <c r="G113" s="11" t="str">
        <f aca="false">IF(TRIM(Raw_Data!G113)="","Unspecified",IFERROR(INDEX(Lookup_Tables!$F$2:$F$24,MATCH(UPPER(TRIM(Raw_Data!G113)),Lookup_Tables!$G$2:$G$24,0)),"Unknown"))</f>
        <v>South</v>
      </c>
      <c r="H113" s="11" t="n">
        <f aca="false">IF(Raw_Data!H113="",ROUND(AVERAGEIFS(Raw_Data!$H$2:$H$839,Raw_Data!$C$2:$C$839,Raw_Data!C113),2),Raw_Data!H113)</f>
        <v>28526.76</v>
      </c>
      <c r="I113" s="11" t="n">
        <f aca="false">Raw_Data!I113</f>
        <v>485533</v>
      </c>
      <c r="J113" s="11" t="n">
        <f aca="false">IF(Raw_Data!J113&lt;0,ABS(Raw_Data!J113),Raw_Data!J113)</f>
        <v>7272</v>
      </c>
      <c r="K113" s="11" t="n">
        <f aca="false">Raw_Data!K113</f>
        <v>574</v>
      </c>
      <c r="L113" s="11" t="n">
        <f aca="false">IF(Raw_Data!L113="",ROUND(AVERAGEIFS(Raw_Data!$L$2:$L$839,Raw_Data!$C$2:$C$839,Raw_Data!C113),2),Raw_Data!L113)</f>
        <v>461754.53</v>
      </c>
      <c r="M113" s="13" t="n">
        <f aca="false">IFERROR(J113/I113,0)</f>
        <v>0.0149773547833</v>
      </c>
      <c r="N113" s="14" t="n">
        <f aca="false">IFERROR(H113/J113,0)</f>
        <v>3.92282178217822</v>
      </c>
      <c r="O113" s="14" t="n">
        <f aca="false">IFERROR(H113/K113,0)</f>
        <v>49.6981881533101</v>
      </c>
      <c r="P113" s="15" t="n">
        <f aca="false">IFERROR(L113/H113,0)</f>
        <v>16.1867148600121</v>
      </c>
      <c r="Q113" s="13" t="n">
        <f aca="false">IFERROR(K113/J113,0)</f>
        <v>0.0789328932893289</v>
      </c>
      <c r="R113" s="11" t="str">
        <f aca="false">IF(COUNTIF($A$2:A113,A113)&gt;1,"Duplicate - Remove","Unique")</f>
        <v>Unique</v>
      </c>
      <c r="S113" s="11" t="str">
        <f aca="false">TRIM(IF(Raw_Data!G113="","Region missing; ","")&amp;IF(Raw_Data!H113="","Spend imputed; ","")&amp;IF(Raw_Data!L113="","Revenue imputed; ","")&amp;IF(Raw_Data!J113&lt;0,"Clicks corrected; ",""))</f>
        <v/>
      </c>
    </row>
    <row r="114" customFormat="false" ht="15" hidden="false" customHeight="true" outlineLevel="0" collapsed="false">
      <c r="A114" s="11" t="n">
        <f aca="false">Raw_Data!A114</f>
        <v>1598</v>
      </c>
      <c r="B114" s="11" t="str">
        <f aca="false">PROPER(TRIM(Raw_Data!B114))</f>
        <v>Wedding Season Special</v>
      </c>
      <c r="C114" s="11" t="str">
        <f aca="false">IFERROR(INDEX(Lookup_Tables!$B$2:$B$26,MATCH(UPPER(TRIM(Raw_Data!C114)),Lookup_Tables!$C$2:$C$26,0)),"Unknown")</f>
        <v>YouTube</v>
      </c>
      <c r="D114" s="12" t="n">
        <f aca="false">IFERROR(IF(ISNUMBER(SEARCH("/",Raw_Data!D114)),DATE(VALUE(RIGHT(Raw_Data!D114,4)),VALUE(MID(Raw_Data!D114,FIND("/",Raw_Data!D114)+1,FIND("/",Raw_Data!D114,FIND("/",Raw_Data!D114)+1)-FIND("/",Raw_Data!D114)-1)),VALUE(LEFT(Raw_Data!D114,FIND("/",Raw_Data!D114)-1))),IF(ISNUMBER(VALUE(LEFT(Raw_Data!D114,4))),DATE(VALUE(LEFT(Raw_Data!D114,4)),VALUE(MID(Raw_Data!D114,6,2)),VALUE(MID(Raw_Data!D114,9,2))),DATEVALUE(Raw_Data!D114))),"")</f>
        <v>45558</v>
      </c>
      <c r="E114" s="12" t="n">
        <f aca="false">IFERROR(IF(ISNUMBER(SEARCH("/",Raw_Data!E114)),DATE(VALUE(RIGHT(Raw_Data!E114,4)),VALUE(MID(Raw_Data!E114,FIND("/",Raw_Data!E114)+1,FIND("/",Raw_Data!E114,FIND("/",Raw_Data!E114)+1)-FIND("/",Raw_Data!E114)-1)),VALUE(LEFT(Raw_Data!E114,FIND("/",Raw_Data!E114)-1))),IF(ISNUMBER(VALUE(LEFT(Raw_Data!E114,4))),DATE(VALUE(LEFT(Raw_Data!E114,4)),VALUE(MID(Raw_Data!E114,6,2)),VALUE(MID(Raw_Data!E114,9,2))),DATEVALUE(Raw_Data!E114))),"")</f>
        <v>45586</v>
      </c>
      <c r="F114" s="11" t="str">
        <f aca="false">Raw_Data!F114</f>
        <v>Female 35-44</v>
      </c>
      <c r="G114" s="11" t="str">
        <f aca="false">IF(TRIM(Raw_Data!G114)="","Unspecified",IFERROR(INDEX(Lookup_Tables!$F$2:$F$24,MATCH(UPPER(TRIM(Raw_Data!G114)),Lookup_Tables!$G$2:$G$24,0)),"Unknown"))</f>
        <v>West</v>
      </c>
      <c r="H114" s="11" t="n">
        <f aca="false">IF(Raw_Data!H114="",ROUND(AVERAGEIFS(Raw_Data!$H$2:$H$839,Raw_Data!$C$2:$C$839,Raw_Data!C114),2),Raw_Data!H114)</f>
        <v>27464.77</v>
      </c>
      <c r="I114" s="11" t="n">
        <f aca="false">Raw_Data!I114</f>
        <v>712436</v>
      </c>
      <c r="J114" s="11" t="n">
        <f aca="false">IF(Raw_Data!J114&lt;0,ABS(Raw_Data!J114),Raw_Data!J114)</f>
        <v>24335</v>
      </c>
      <c r="K114" s="11" t="n">
        <f aca="false">Raw_Data!K114</f>
        <v>309</v>
      </c>
      <c r="L114" s="11" t="n">
        <f aca="false">IF(Raw_Data!L114="",ROUND(AVERAGEIFS(Raw_Data!$L$2:$L$839,Raw_Data!$C$2:$C$839,Raw_Data!C114),2),Raw_Data!L114)</f>
        <v>298204.85</v>
      </c>
      <c r="M114" s="13" t="n">
        <f aca="false">IFERROR(J114/I114,0)</f>
        <v>0.0341574541432494</v>
      </c>
      <c r="N114" s="14" t="n">
        <f aca="false">IFERROR(H114/J114,0)</f>
        <v>1.12861187589891</v>
      </c>
      <c r="O114" s="14" t="n">
        <f aca="false">IFERROR(H114/K114,0)</f>
        <v>88.8827508090615</v>
      </c>
      <c r="P114" s="15" t="n">
        <f aca="false">IFERROR(L114/H114,0)</f>
        <v>10.8577224568056</v>
      </c>
      <c r="Q114" s="13" t="n">
        <f aca="false">IFERROR(K114/J114,0)</f>
        <v>0.012697760427368</v>
      </c>
      <c r="R114" s="11" t="str">
        <f aca="false">IF(COUNTIF($A$2:A114,A114)&gt;1,"Duplicate - Remove","Unique")</f>
        <v>Unique</v>
      </c>
      <c r="S114" s="11" t="str">
        <f aca="false">TRIM(IF(Raw_Data!G114="","Region missing; ","")&amp;IF(Raw_Data!H114="","Spend imputed; ","")&amp;IF(Raw_Data!L114="","Revenue imputed; ","")&amp;IF(Raw_Data!J114&lt;0,"Clicks corrected; ",""))</f>
        <v/>
      </c>
    </row>
    <row r="115" customFormat="false" ht="15" hidden="false" customHeight="true" outlineLevel="0" collapsed="false">
      <c r="A115" s="11" t="n">
        <f aca="false">Raw_Data!A115</f>
        <v>1765</v>
      </c>
      <c r="B115" s="11" t="str">
        <f aca="false">PROPER(TRIM(Raw_Data!B115))</f>
        <v>Baby Care Trust Campaign</v>
      </c>
      <c r="C115" s="11" t="str">
        <f aca="false">IFERROR(INDEX(Lookup_Tables!$B$2:$B$26,MATCH(UPPER(TRIM(Raw_Data!C115)),Lookup_Tables!$C$2:$C$26,0)),"Unknown")</f>
        <v>Facebook</v>
      </c>
      <c r="D115" s="12" t="n">
        <f aca="false">IFERROR(IF(ISNUMBER(SEARCH("/",Raw_Data!D115)),DATE(VALUE(RIGHT(Raw_Data!D115,4)),VALUE(MID(Raw_Data!D115,FIND("/",Raw_Data!D115)+1,FIND("/",Raw_Data!D115,FIND("/",Raw_Data!D115)+1)-FIND("/",Raw_Data!D115)-1)),VALUE(LEFT(Raw_Data!D115,FIND("/",Raw_Data!D115)-1))),IF(ISNUMBER(VALUE(LEFT(Raw_Data!D115,4))),DATE(VALUE(LEFT(Raw_Data!D115,4)),VALUE(MID(Raw_Data!D115,6,2)),VALUE(MID(Raw_Data!D115,9,2))),DATEVALUE(Raw_Data!D115))),"")</f>
        <v>45472</v>
      </c>
      <c r="E115" s="12" t="n">
        <f aca="false">IFERROR(IF(ISNUMBER(SEARCH("/",Raw_Data!E115)),DATE(VALUE(RIGHT(Raw_Data!E115,4)),VALUE(MID(Raw_Data!E115,FIND("/",Raw_Data!E115)+1,FIND("/",Raw_Data!E115,FIND("/",Raw_Data!E115)+1)-FIND("/",Raw_Data!E115)-1)),VALUE(LEFT(Raw_Data!E115,FIND("/",Raw_Data!E115)-1))),IF(ISNUMBER(VALUE(LEFT(Raw_Data!E115,4))),DATE(VALUE(LEFT(Raw_Data!E115,4)),VALUE(MID(Raw_Data!E115,6,2)),VALUE(MID(Raw_Data!E115,9,2))),DATEVALUE(Raw_Data!E115))),"")</f>
        <v>45489</v>
      </c>
      <c r="F115" s="11" t="str">
        <f aca="false">Raw_Data!F115</f>
        <v>Male 35-44</v>
      </c>
      <c r="G115" s="11" t="str">
        <f aca="false">IF(TRIM(Raw_Data!G115)="","Unspecified",IFERROR(INDEX(Lookup_Tables!$F$2:$F$24,MATCH(UPPER(TRIM(Raw_Data!G115)),Lookup_Tables!$G$2:$G$24,0)),"Unknown"))</f>
        <v>South</v>
      </c>
      <c r="H115" s="11" t="n">
        <f aca="false">IF(Raw_Data!H115="",ROUND(AVERAGEIFS(Raw_Data!$H$2:$H$839,Raw_Data!$C$2:$C$839,Raw_Data!C115),2),Raw_Data!H115)</f>
        <v>16945.69</v>
      </c>
      <c r="I115" s="11" t="n">
        <f aca="false">Raw_Data!I115</f>
        <v>377329</v>
      </c>
      <c r="J115" s="11" t="n">
        <f aca="false">IF(Raw_Data!J115&lt;0,ABS(Raw_Data!J115),Raw_Data!J115)</f>
        <v>4500</v>
      </c>
      <c r="K115" s="11" t="n">
        <f aca="false">Raw_Data!K115</f>
        <v>234</v>
      </c>
      <c r="L115" s="11" t="n">
        <f aca="false">IF(Raw_Data!L115="",ROUND(AVERAGEIFS(Raw_Data!$L$2:$L$839,Raw_Data!$C$2:$C$839,Raw_Data!C115),2),Raw_Data!L115)</f>
        <v>796455.55</v>
      </c>
      <c r="M115" s="13" t="n">
        <f aca="false">IFERROR(J115/I115,0)</f>
        <v>0.0119259320115867</v>
      </c>
      <c r="N115" s="14" t="n">
        <f aca="false">IFERROR(H115/J115,0)</f>
        <v>3.76570888888889</v>
      </c>
      <c r="O115" s="14" t="n">
        <f aca="false">IFERROR(H115/K115,0)</f>
        <v>72.4174786324786</v>
      </c>
      <c r="P115" s="15" t="n">
        <f aca="false">IFERROR(L115/H115,0)</f>
        <v>47.0004791778913</v>
      </c>
      <c r="Q115" s="13" t="n">
        <f aca="false">IFERROR(K115/J115,0)</f>
        <v>0.052</v>
      </c>
      <c r="R115" s="11" t="str">
        <f aca="false">IF(COUNTIF($A$2:A115,A115)&gt;1,"Duplicate - Remove","Unique")</f>
        <v>Unique</v>
      </c>
      <c r="S115" s="11" t="str">
        <f aca="false">TRIM(IF(Raw_Data!G115="","Region missing; ","")&amp;IF(Raw_Data!H115="","Spend imputed; ","")&amp;IF(Raw_Data!L115="","Revenue imputed; ","")&amp;IF(Raw_Data!J115&lt;0,"Clicks corrected; ",""))</f>
        <v>Revenue imputed;</v>
      </c>
    </row>
    <row r="116" customFormat="false" ht="15" hidden="false" customHeight="true" outlineLevel="0" collapsed="false">
      <c r="A116" s="11" t="n">
        <f aca="false">Raw_Data!A116</f>
        <v>1130</v>
      </c>
      <c r="B116" s="11" t="str">
        <f aca="false">PROPER(TRIM(Raw_Data!B116))</f>
        <v>Influencer Collab - Skincare</v>
      </c>
      <c r="C116" s="11" t="str">
        <f aca="false">IFERROR(INDEX(Lookup_Tables!$B$2:$B$26,MATCH(UPPER(TRIM(Raw_Data!C116)),Lookup_Tables!$C$2:$C$26,0)),"Unknown")</f>
        <v>Facebook</v>
      </c>
      <c r="D116" s="12" t="n">
        <f aca="false">IFERROR(IF(ISNUMBER(SEARCH("/",Raw_Data!D116)),DATE(VALUE(RIGHT(Raw_Data!D116,4)),VALUE(MID(Raw_Data!D116,FIND("/",Raw_Data!D116)+1,FIND("/",Raw_Data!D116,FIND("/",Raw_Data!D116)+1)-FIND("/",Raw_Data!D116)-1)),VALUE(LEFT(Raw_Data!D116,FIND("/",Raw_Data!D116)-1))),IF(ISNUMBER(VALUE(LEFT(Raw_Data!D116,4))),DATE(VALUE(LEFT(Raw_Data!D116,4)),VALUE(MID(Raw_Data!D116,6,2)),VALUE(MID(Raw_Data!D116,9,2))),DATEVALUE(Raw_Data!D116))),"")</f>
        <v>45415</v>
      </c>
      <c r="E116" s="12" t="n">
        <f aca="false">IFERROR(IF(ISNUMBER(SEARCH("/",Raw_Data!E116)),DATE(VALUE(RIGHT(Raw_Data!E116,4)),VALUE(MID(Raw_Data!E116,FIND("/",Raw_Data!E116)+1,FIND("/",Raw_Data!E116,FIND("/",Raw_Data!E116)+1)-FIND("/",Raw_Data!E116)-1)),VALUE(LEFT(Raw_Data!E116,FIND("/",Raw_Data!E116)-1))),IF(ISNUMBER(VALUE(LEFT(Raw_Data!E116,4))),DATE(VALUE(LEFT(Raw_Data!E116,4)),VALUE(MID(Raw_Data!E116,6,2)),VALUE(MID(Raw_Data!E116,9,2))),DATEVALUE(Raw_Data!E116))),"")</f>
        <v>45428</v>
      </c>
      <c r="F116" s="11" t="str">
        <f aca="false">Raw_Data!F116</f>
        <v>Male 25-34</v>
      </c>
      <c r="G116" s="11" t="str">
        <f aca="false">IF(TRIM(Raw_Data!G116)="","Unspecified",IFERROR(INDEX(Lookup_Tables!$F$2:$F$24,MATCH(UPPER(TRIM(Raw_Data!G116)),Lookup_Tables!$G$2:$G$24,0)),"Unknown"))</f>
        <v>West</v>
      </c>
      <c r="H116" s="11" t="n">
        <f aca="false">IF(Raw_Data!H116="",ROUND(AVERAGEIFS(Raw_Data!$H$2:$H$839,Raw_Data!$C$2:$C$839,Raw_Data!C116),2),Raw_Data!H116)</f>
        <v>12782.3</v>
      </c>
      <c r="I116" s="11" t="n">
        <f aca="false">Raw_Data!I116</f>
        <v>326948</v>
      </c>
      <c r="J116" s="11" t="n">
        <f aca="false">IF(Raw_Data!J116&lt;0,ABS(Raw_Data!J116),Raw_Data!J116)</f>
        <v>5332</v>
      </c>
      <c r="K116" s="11" t="n">
        <f aca="false">Raw_Data!K116</f>
        <v>220</v>
      </c>
      <c r="L116" s="11" t="n">
        <f aca="false">IF(Raw_Data!L116="",ROUND(AVERAGEIFS(Raw_Data!$L$2:$L$839,Raw_Data!$C$2:$C$839,Raw_Data!C116),2),Raw_Data!L116)</f>
        <v>267740.9</v>
      </c>
      <c r="M116" s="13" t="n">
        <f aca="false">IFERROR(J116/I116,0)</f>
        <v>0.0163084037828646</v>
      </c>
      <c r="N116" s="14" t="n">
        <f aca="false">IFERROR(H116/J116,0)</f>
        <v>2.39728057014254</v>
      </c>
      <c r="O116" s="14" t="n">
        <f aca="false">IFERROR(H116/K116,0)</f>
        <v>58.1013636363636</v>
      </c>
      <c r="P116" s="15" t="n">
        <f aca="false">IFERROR(L116/H116,0)</f>
        <v>20.9462225108157</v>
      </c>
      <c r="Q116" s="13" t="n">
        <f aca="false">IFERROR(K116/J116,0)</f>
        <v>0.0412603150787697</v>
      </c>
      <c r="R116" s="11" t="str">
        <f aca="false">IF(COUNTIF($A$2:A116,A116)&gt;1,"Duplicate - Remove","Unique")</f>
        <v>Unique</v>
      </c>
      <c r="S116" s="11" t="str">
        <f aca="false">TRIM(IF(Raw_Data!G116="","Region missing; ","")&amp;IF(Raw_Data!H116="","Spend imputed; ","")&amp;IF(Raw_Data!L116="","Revenue imputed; ","")&amp;IF(Raw_Data!J116&lt;0,"Clicks corrected; ",""))</f>
        <v/>
      </c>
    </row>
    <row r="117" customFormat="false" ht="15" hidden="false" customHeight="true" outlineLevel="0" collapsed="false">
      <c r="A117" s="11" t="n">
        <f aca="false">Raw_Data!A117</f>
        <v>1392</v>
      </c>
      <c r="B117" s="11" t="str">
        <f aca="false">PROPER(TRIM(Raw_Data!B117))</f>
        <v>Wedding Season Special</v>
      </c>
      <c r="C117" s="11" t="str">
        <f aca="false">IFERROR(INDEX(Lookup_Tables!$B$2:$B$26,MATCH(UPPER(TRIM(Raw_Data!C117)),Lookup_Tables!$C$2:$C$26,0)),"Unknown")</f>
        <v>Email</v>
      </c>
      <c r="D117" s="12" t="n">
        <f aca="false">IFERROR(IF(ISNUMBER(SEARCH("/",Raw_Data!D117)),DATE(VALUE(RIGHT(Raw_Data!D117,4)),VALUE(MID(Raw_Data!D117,FIND("/",Raw_Data!D117)+1,FIND("/",Raw_Data!D117,FIND("/",Raw_Data!D117)+1)-FIND("/",Raw_Data!D117)-1)),VALUE(LEFT(Raw_Data!D117,FIND("/",Raw_Data!D117)-1))),IF(ISNUMBER(VALUE(LEFT(Raw_Data!D117,4))),DATE(VALUE(LEFT(Raw_Data!D117,4)),VALUE(MID(Raw_Data!D117,6,2)),VALUE(MID(Raw_Data!D117,9,2))),DATEVALUE(Raw_Data!D117))),"")</f>
        <v>45491</v>
      </c>
      <c r="E117" s="12" t="n">
        <f aca="false">IFERROR(IF(ISNUMBER(SEARCH("/",Raw_Data!E117)),DATE(VALUE(RIGHT(Raw_Data!E117,4)),VALUE(MID(Raw_Data!E117,FIND("/",Raw_Data!E117)+1,FIND("/",Raw_Data!E117,FIND("/",Raw_Data!E117)+1)-FIND("/",Raw_Data!E117)-1)),VALUE(LEFT(Raw_Data!E117,FIND("/",Raw_Data!E117)-1))),IF(ISNUMBER(VALUE(LEFT(Raw_Data!E117,4))),DATE(VALUE(LEFT(Raw_Data!E117,4)),VALUE(MID(Raw_Data!E117,6,2)),VALUE(MID(Raw_Data!E117,9,2))),DATEVALUE(Raw_Data!E117))),"")</f>
        <v>45519</v>
      </c>
      <c r="F117" s="11" t="str">
        <f aca="false">Raw_Data!F117</f>
        <v>Male 35-44</v>
      </c>
      <c r="G117" s="11" t="str">
        <f aca="false">IF(TRIM(Raw_Data!G117)="","Unspecified",IFERROR(INDEX(Lookup_Tables!$F$2:$F$24,MATCH(UPPER(TRIM(Raw_Data!G117)),Lookup_Tables!$G$2:$G$24,0)),"Unknown"))</f>
        <v>South</v>
      </c>
      <c r="H117" s="11" t="n">
        <f aca="false">IF(Raw_Data!H117="",ROUND(AVERAGEIFS(Raw_Data!$H$2:$H$839,Raw_Data!$C$2:$C$839,Raw_Data!C117),2),Raw_Data!H117)</f>
        <v>6180.37</v>
      </c>
      <c r="I117" s="11" t="n">
        <f aca="false">Raw_Data!I117</f>
        <v>112174</v>
      </c>
      <c r="J117" s="11" t="n">
        <f aca="false">IF(Raw_Data!J117&lt;0,ABS(Raw_Data!J117),Raw_Data!J117)</f>
        <v>3898</v>
      </c>
      <c r="K117" s="11" t="n">
        <f aca="false">Raw_Data!K117</f>
        <v>116</v>
      </c>
      <c r="L117" s="11" t="n">
        <f aca="false">IF(Raw_Data!L117="",ROUND(AVERAGEIFS(Raw_Data!$L$2:$L$839,Raw_Data!$C$2:$C$839,Raw_Data!C117),2),Raw_Data!L117)</f>
        <v>56212.25</v>
      </c>
      <c r="M117" s="13" t="n">
        <f aca="false">IFERROR(J117/I117,0)</f>
        <v>0.0347495854654376</v>
      </c>
      <c r="N117" s="14" t="n">
        <f aca="false">IFERROR(H117/J117,0)</f>
        <v>1.58552334530528</v>
      </c>
      <c r="O117" s="14" t="n">
        <f aca="false">IFERROR(H117/K117,0)</f>
        <v>53.2790517241379</v>
      </c>
      <c r="P117" s="15" t="n">
        <f aca="false">IFERROR(L117/H117,0)</f>
        <v>9.09528879338939</v>
      </c>
      <c r="Q117" s="13" t="n">
        <f aca="false">IFERROR(K117/J117,0)</f>
        <v>0.0297588506926629</v>
      </c>
      <c r="R117" s="11" t="str">
        <f aca="false">IF(COUNTIF($A$2:A117,A117)&gt;1,"Duplicate - Remove","Unique")</f>
        <v>Unique</v>
      </c>
      <c r="S117" s="11" t="str">
        <f aca="false">TRIM(IF(Raw_Data!G117="","Region missing; ","")&amp;IF(Raw_Data!H117="","Spend imputed; ","")&amp;IF(Raw_Data!L117="","Revenue imputed; ","")&amp;IF(Raw_Data!J117&lt;0,"Clicks corrected; ",""))</f>
        <v/>
      </c>
    </row>
    <row r="118" customFormat="false" ht="15" hidden="false" customHeight="true" outlineLevel="0" collapsed="false">
      <c r="A118" s="11" t="n">
        <f aca="false">Raw_Data!A118</f>
        <v>1217</v>
      </c>
      <c r="B118" s="11" t="str">
        <f aca="false">PROPER(TRIM(Raw_Data!B118))</f>
        <v>Herbal Range Awareness</v>
      </c>
      <c r="C118" s="11" t="str">
        <f aca="false">IFERROR(INDEX(Lookup_Tables!$B$2:$B$26,MATCH(UPPER(TRIM(Raw_Data!C118)),Lookup_Tables!$C$2:$C$26,0)),"Unknown")</f>
        <v>Instagram</v>
      </c>
      <c r="D118" s="12" t="n">
        <f aca="false">IFERROR(IF(ISNUMBER(SEARCH("/",Raw_Data!D118)),DATE(VALUE(RIGHT(Raw_Data!D118,4)),VALUE(MID(Raw_Data!D118,FIND("/",Raw_Data!D118)+1,FIND("/",Raw_Data!D118,FIND("/",Raw_Data!D118)+1)-FIND("/",Raw_Data!D118)-1)),VALUE(LEFT(Raw_Data!D118,FIND("/",Raw_Data!D118)-1))),IF(ISNUMBER(VALUE(LEFT(Raw_Data!D118,4))),DATE(VALUE(LEFT(Raw_Data!D118,4)),VALUE(MID(Raw_Data!D118,6,2)),VALUE(MID(Raw_Data!D118,9,2))),DATEVALUE(Raw_Data!D118))),"")</f>
        <v>45453</v>
      </c>
      <c r="E118" s="12" t="n">
        <f aca="false">IFERROR(IF(ISNUMBER(SEARCH("/",Raw_Data!E118)),DATE(VALUE(RIGHT(Raw_Data!E118,4)),VALUE(MID(Raw_Data!E118,FIND("/",Raw_Data!E118)+1,FIND("/",Raw_Data!E118,FIND("/",Raw_Data!E118)+1)-FIND("/",Raw_Data!E118)-1)),VALUE(LEFT(Raw_Data!E118,FIND("/",Raw_Data!E118)-1))),IF(ISNUMBER(VALUE(LEFT(Raw_Data!E118,4))),DATE(VALUE(LEFT(Raw_Data!E118,4)),VALUE(MID(Raw_Data!E118,6,2)),VALUE(MID(Raw_Data!E118,9,2))),DATEVALUE(Raw_Data!E118))),"")</f>
        <v>45471</v>
      </c>
      <c r="F118" s="11" t="str">
        <f aca="false">Raw_Data!F118</f>
        <v>Male 35-44</v>
      </c>
      <c r="G118" s="11" t="str">
        <f aca="false">IF(TRIM(Raw_Data!G118)="","Unspecified",IFERROR(INDEX(Lookup_Tables!$F$2:$F$24,MATCH(UPPER(TRIM(Raw_Data!G118)),Lookup_Tables!$G$2:$G$24,0)),"Unknown"))</f>
        <v>East</v>
      </c>
      <c r="H118" s="11" t="n">
        <f aca="false">IF(Raw_Data!H118="",ROUND(AVERAGEIFS(Raw_Data!$H$2:$H$839,Raw_Data!$C$2:$C$839,Raw_Data!C118),2),Raw_Data!H118)</f>
        <v>8251.26</v>
      </c>
      <c r="I118" s="11" t="n">
        <f aca="false">Raw_Data!I118</f>
        <v>174550</v>
      </c>
      <c r="J118" s="11" t="n">
        <f aca="false">IF(Raw_Data!J118&lt;0,ABS(Raw_Data!J118),Raw_Data!J118)</f>
        <v>2032</v>
      </c>
      <c r="K118" s="11" t="n">
        <f aca="false">Raw_Data!K118</f>
        <v>125</v>
      </c>
      <c r="L118" s="11" t="n">
        <f aca="false">IF(Raw_Data!L118="",ROUND(AVERAGEIFS(Raw_Data!$L$2:$L$839,Raw_Data!$C$2:$C$839,Raw_Data!C118),2),Raw_Data!L118)</f>
        <v>122797.49</v>
      </c>
      <c r="M118" s="13" t="n">
        <f aca="false">IFERROR(J118/I118,0)</f>
        <v>0.0116413635061587</v>
      </c>
      <c r="N118" s="14" t="n">
        <f aca="false">IFERROR(H118/J118,0)</f>
        <v>4.0606594488189</v>
      </c>
      <c r="O118" s="14" t="n">
        <f aca="false">IFERROR(H118/K118,0)</f>
        <v>66.01008</v>
      </c>
      <c r="P118" s="15" t="n">
        <f aca="false">IFERROR(L118/H118,0)</f>
        <v>14.8822713137145</v>
      </c>
      <c r="Q118" s="13" t="n">
        <f aca="false">IFERROR(K118/J118,0)</f>
        <v>0.0615157480314961</v>
      </c>
      <c r="R118" s="11" t="str">
        <f aca="false">IF(COUNTIF($A$2:A118,A118)&gt;1,"Duplicate - Remove","Unique")</f>
        <v>Unique</v>
      </c>
      <c r="S118" s="11" t="str">
        <f aca="false">TRIM(IF(Raw_Data!G118="","Region missing; ","")&amp;IF(Raw_Data!H118="","Spend imputed; ","")&amp;IF(Raw_Data!L118="","Revenue imputed; ","")&amp;IF(Raw_Data!J118&lt;0,"Clicks corrected; ",""))</f>
        <v/>
      </c>
    </row>
    <row r="119" customFormat="false" ht="15" hidden="false" customHeight="true" outlineLevel="0" collapsed="false">
      <c r="A119" s="11" t="n">
        <f aca="false">Raw_Data!A119</f>
        <v>1815</v>
      </c>
      <c r="B119" s="11" t="str">
        <f aca="false">PROPER(TRIM(Raw_Data!B119))</f>
        <v>Clearance Sale Push</v>
      </c>
      <c r="C119" s="11" t="str">
        <f aca="false">IFERROR(INDEX(Lookup_Tables!$B$2:$B$26,MATCH(UPPER(TRIM(Raw_Data!C119)),Lookup_Tables!$C$2:$C$26,0)),"Unknown")</f>
        <v>Facebook</v>
      </c>
      <c r="D119" s="12" t="n">
        <f aca="false">IFERROR(IF(ISNUMBER(SEARCH("/",Raw_Data!D119)),DATE(VALUE(RIGHT(Raw_Data!D119,4)),VALUE(MID(Raw_Data!D119,FIND("/",Raw_Data!D119)+1,FIND("/",Raw_Data!D119,FIND("/",Raw_Data!D119)+1)-FIND("/",Raw_Data!D119)-1)),VALUE(LEFT(Raw_Data!D119,FIND("/",Raw_Data!D119)-1))),IF(ISNUMBER(VALUE(LEFT(Raw_Data!D119,4))),DATE(VALUE(LEFT(Raw_Data!D119,4)),VALUE(MID(Raw_Data!D119,6,2)),VALUE(MID(Raw_Data!D119,9,2))),DATEVALUE(Raw_Data!D119))),"")</f>
        <v>45411</v>
      </c>
      <c r="E119" s="12" t="n">
        <f aca="false">IFERROR(IF(ISNUMBER(SEARCH("/",Raw_Data!E119)),DATE(VALUE(RIGHT(Raw_Data!E119,4)),VALUE(MID(Raw_Data!E119,FIND("/",Raw_Data!E119)+1,FIND("/",Raw_Data!E119,FIND("/",Raw_Data!E119)+1)-FIND("/",Raw_Data!E119)-1)),VALUE(LEFT(Raw_Data!E119,FIND("/",Raw_Data!E119)-1))),IF(ISNUMBER(VALUE(LEFT(Raw_Data!E119,4))),DATE(VALUE(LEFT(Raw_Data!E119,4)),VALUE(MID(Raw_Data!E119,6,2)),VALUE(MID(Raw_Data!E119,9,2))),DATEVALUE(Raw_Data!E119))),"")</f>
        <v>45439</v>
      </c>
      <c r="F119" s="11" t="str">
        <f aca="false">Raw_Data!F119</f>
        <v>Female 35-44</v>
      </c>
      <c r="G119" s="11" t="str">
        <f aca="false">IF(TRIM(Raw_Data!G119)="","Unspecified",IFERROR(INDEX(Lookup_Tables!$F$2:$F$24,MATCH(UPPER(TRIM(Raw_Data!G119)),Lookup_Tables!$G$2:$G$24,0)),"Unknown"))</f>
        <v>North</v>
      </c>
      <c r="H119" s="11" t="n">
        <f aca="false">IF(Raw_Data!H119="",ROUND(AVERAGEIFS(Raw_Data!$H$2:$H$839,Raw_Data!$C$2:$C$839,Raw_Data!C119),2),Raw_Data!H119)</f>
        <v>38227.37</v>
      </c>
      <c r="I119" s="11" t="n">
        <f aca="false">Raw_Data!I119</f>
        <v>760587</v>
      </c>
      <c r="J119" s="11" t="n">
        <f aca="false">IF(Raw_Data!J119&lt;0,ABS(Raw_Data!J119),Raw_Data!J119)</f>
        <v>8573</v>
      </c>
      <c r="K119" s="11" t="n">
        <f aca="false">Raw_Data!K119</f>
        <v>165</v>
      </c>
      <c r="L119" s="11" t="n">
        <f aca="false">IF(Raw_Data!L119="",ROUND(AVERAGEIFS(Raw_Data!$L$2:$L$839,Raw_Data!$C$2:$C$839,Raw_Data!C119),2),Raw_Data!L119)</f>
        <v>168009.59</v>
      </c>
      <c r="M119" s="13" t="n">
        <f aca="false">IFERROR(J119/I119,0)</f>
        <v>0.0112715573629315</v>
      </c>
      <c r="N119" s="14" t="n">
        <f aca="false">IFERROR(H119/J119,0)</f>
        <v>4.45904234223726</v>
      </c>
      <c r="O119" s="14" t="n">
        <f aca="false">IFERROR(H119/K119,0)</f>
        <v>231.68103030303</v>
      </c>
      <c r="P119" s="15" t="n">
        <f aca="false">IFERROR(L119/H119,0)</f>
        <v>4.39500781769711</v>
      </c>
      <c r="Q119" s="13" t="n">
        <f aca="false">IFERROR(K119/J119,0)</f>
        <v>0.0192464714802286</v>
      </c>
      <c r="R119" s="11" t="str">
        <f aca="false">IF(COUNTIF($A$2:A119,A119)&gt;1,"Duplicate - Remove","Unique")</f>
        <v>Unique</v>
      </c>
      <c r="S119" s="11" t="str">
        <f aca="false">TRIM(IF(Raw_Data!G119="","Region missing; ","")&amp;IF(Raw_Data!H119="","Spend imputed; ","")&amp;IF(Raw_Data!L119="","Revenue imputed; ","")&amp;IF(Raw_Data!J119&lt;0,"Clicks corrected; ",""))</f>
        <v/>
      </c>
    </row>
    <row r="120" customFormat="false" ht="15" hidden="false" customHeight="true" outlineLevel="0" collapsed="false">
      <c r="A120" s="11" t="n">
        <f aca="false">Raw_Data!A120</f>
        <v>1045</v>
      </c>
      <c r="B120" s="11" t="str">
        <f aca="false">PROPER(TRIM(Raw_Data!B120))</f>
        <v>Clearance Sale Push</v>
      </c>
      <c r="C120" s="11" t="str">
        <f aca="false">IFERROR(INDEX(Lookup_Tables!$B$2:$B$26,MATCH(UPPER(TRIM(Raw_Data!C120)),Lookup_Tables!$C$2:$C$26,0)),"Unknown")</f>
        <v>Google Ads</v>
      </c>
      <c r="D120" s="12" t="n">
        <f aca="false">IFERROR(IF(ISNUMBER(SEARCH("/",Raw_Data!D120)),DATE(VALUE(RIGHT(Raw_Data!D120,4)),VALUE(MID(Raw_Data!D120,FIND("/",Raw_Data!D120)+1,FIND("/",Raw_Data!D120,FIND("/",Raw_Data!D120)+1)-FIND("/",Raw_Data!D120)-1)),VALUE(LEFT(Raw_Data!D120,FIND("/",Raw_Data!D120)-1))),IF(ISNUMBER(VALUE(LEFT(Raw_Data!D120,4))),DATE(VALUE(LEFT(Raw_Data!D120,4)),VALUE(MID(Raw_Data!D120,6,2)),VALUE(MID(Raw_Data!D120,9,2))),DATEVALUE(Raw_Data!D120))),"")</f>
        <v>45488</v>
      </c>
      <c r="E120" s="12" t="n">
        <f aca="false">IFERROR(IF(ISNUMBER(SEARCH("/",Raw_Data!E120)),DATE(VALUE(RIGHT(Raw_Data!E120,4)),VALUE(MID(Raw_Data!E120,FIND("/",Raw_Data!E120)+1,FIND("/",Raw_Data!E120,FIND("/",Raw_Data!E120)+1)-FIND("/",Raw_Data!E120)-1)),VALUE(LEFT(Raw_Data!E120,FIND("/",Raw_Data!E120)-1))),IF(ISNUMBER(VALUE(LEFT(Raw_Data!E120,4))),DATE(VALUE(LEFT(Raw_Data!E120,4)),VALUE(MID(Raw_Data!E120,6,2)),VALUE(MID(Raw_Data!E120,9,2))),DATEVALUE(Raw_Data!E120))),"")</f>
        <v>45499</v>
      </c>
      <c r="F120" s="11" t="str">
        <f aca="false">Raw_Data!F120</f>
        <v>Female 35-44</v>
      </c>
      <c r="G120" s="11" t="str">
        <f aca="false">IF(TRIM(Raw_Data!G120)="","Unspecified",IFERROR(INDEX(Lookup_Tables!$F$2:$F$24,MATCH(UPPER(TRIM(Raw_Data!G120)),Lookup_Tables!$G$2:$G$24,0)),"Unknown"))</f>
        <v>West</v>
      </c>
      <c r="H120" s="11" t="n">
        <f aca="false">IF(Raw_Data!H120="",ROUND(AVERAGEIFS(Raw_Data!$H$2:$H$839,Raw_Data!$C$2:$C$839,Raw_Data!C120),2),Raw_Data!H120)</f>
        <v>45576.86</v>
      </c>
      <c r="I120" s="11" t="n">
        <f aca="false">Raw_Data!I120</f>
        <v>1685576</v>
      </c>
      <c r="J120" s="11" t="n">
        <f aca="false">IF(Raw_Data!J120&lt;0,ABS(Raw_Data!J120),Raw_Data!J120)</f>
        <v>52119</v>
      </c>
      <c r="K120" s="11" t="n">
        <f aca="false">Raw_Data!K120</f>
        <v>1529</v>
      </c>
      <c r="L120" s="11" t="n">
        <f aca="false">IF(Raw_Data!L120="",ROUND(AVERAGEIFS(Raw_Data!$L$2:$L$839,Raw_Data!$C$2:$C$839,Raw_Data!C120),2),Raw_Data!L120)</f>
        <v>2286633.21</v>
      </c>
      <c r="M120" s="13" t="n">
        <f aca="false">IFERROR(J120/I120,0)</f>
        <v>0.0309205873837786</v>
      </c>
      <c r="N120" s="14" t="n">
        <f aca="false">IFERROR(H120/J120,0)</f>
        <v>0.87447687023926</v>
      </c>
      <c r="O120" s="14" t="n">
        <f aca="false">IFERROR(H120/K120,0)</f>
        <v>29.8082799215173</v>
      </c>
      <c r="P120" s="15" t="n">
        <f aca="false">IFERROR(L120/H120,0)</f>
        <v>50.1709246753726</v>
      </c>
      <c r="Q120" s="13" t="n">
        <f aca="false">IFERROR(K120/J120,0)</f>
        <v>0.0293367102208408</v>
      </c>
      <c r="R120" s="11" t="str">
        <f aca="false">IF(COUNTIF($A$2:A120,A120)&gt;1,"Duplicate - Remove","Unique")</f>
        <v>Unique</v>
      </c>
      <c r="S120" s="11" t="str">
        <f aca="false">TRIM(IF(Raw_Data!G120="","Region missing; ","")&amp;IF(Raw_Data!H120="","Spend imputed; ","")&amp;IF(Raw_Data!L120="","Revenue imputed; ","")&amp;IF(Raw_Data!J120&lt;0,"Clicks corrected; ",""))</f>
        <v/>
      </c>
    </row>
    <row r="121" customFormat="false" ht="15" hidden="false" customHeight="true" outlineLevel="0" collapsed="false">
      <c r="A121" s="11" t="n">
        <f aca="false">Raw_Data!A121</f>
        <v>1026</v>
      </c>
      <c r="B121" s="11" t="str">
        <f aca="false">PROPER(TRIM(Raw_Data!B121))</f>
        <v>Back To College Offer</v>
      </c>
      <c r="C121" s="11" t="str">
        <f aca="false">IFERROR(INDEX(Lookup_Tables!$B$2:$B$26,MATCH(UPPER(TRIM(Raw_Data!C121)),Lookup_Tables!$C$2:$C$26,0)),"Unknown")</f>
        <v>Email</v>
      </c>
      <c r="D121" s="12" t="n">
        <f aca="false">IFERROR(IF(ISNUMBER(SEARCH("/",Raw_Data!D121)),DATE(VALUE(RIGHT(Raw_Data!D121,4)),VALUE(MID(Raw_Data!D121,FIND("/",Raw_Data!D121)+1,FIND("/",Raw_Data!D121,FIND("/",Raw_Data!D121)+1)-FIND("/",Raw_Data!D121)-1)),VALUE(LEFT(Raw_Data!D121,FIND("/",Raw_Data!D121)-1))),IF(ISNUMBER(VALUE(LEFT(Raw_Data!D121,4))),DATE(VALUE(LEFT(Raw_Data!D121,4)),VALUE(MID(Raw_Data!D121,6,2)),VALUE(MID(Raw_Data!D121,9,2))),DATEVALUE(Raw_Data!D121))),"")</f>
        <v>45522</v>
      </c>
      <c r="E121" s="12" t="n">
        <f aca="false">IFERROR(IF(ISNUMBER(SEARCH("/",Raw_Data!E121)),DATE(VALUE(RIGHT(Raw_Data!E121,4)),VALUE(MID(Raw_Data!E121,FIND("/",Raw_Data!E121)+1,FIND("/",Raw_Data!E121,FIND("/",Raw_Data!E121)+1)-FIND("/",Raw_Data!E121)-1)),VALUE(LEFT(Raw_Data!E121,FIND("/",Raw_Data!E121)-1))),IF(ISNUMBER(VALUE(LEFT(Raw_Data!E121,4))),DATE(VALUE(LEFT(Raw_Data!E121,4)),VALUE(MID(Raw_Data!E121,6,2)),VALUE(MID(Raw_Data!E121,9,2))),DATEVALUE(Raw_Data!E121))),"")</f>
        <v>45535</v>
      </c>
      <c r="F121" s="11" t="str">
        <f aca="false">Raw_Data!F121</f>
        <v>Male 45+</v>
      </c>
      <c r="G121" s="11" t="str">
        <f aca="false">IF(TRIM(Raw_Data!G121)="","Unspecified",IFERROR(INDEX(Lookup_Tables!$F$2:$F$24,MATCH(UPPER(TRIM(Raw_Data!G121)),Lookup_Tables!$G$2:$G$24,0)),"Unknown"))</f>
        <v>Central</v>
      </c>
      <c r="H121" s="11" t="n">
        <f aca="false">IF(Raw_Data!H121="",ROUND(AVERAGEIFS(Raw_Data!$H$2:$H$839,Raw_Data!$C$2:$C$839,Raw_Data!C121),2),Raw_Data!H121)</f>
        <v>6879.04</v>
      </c>
      <c r="I121" s="11" t="n">
        <f aca="false">Raw_Data!I121</f>
        <v>150876</v>
      </c>
      <c r="J121" s="11" t="n">
        <f aca="false">IF(Raw_Data!J121&lt;0,ABS(Raw_Data!J121),Raw_Data!J121)</f>
        <v>4274</v>
      </c>
      <c r="K121" s="11" t="n">
        <f aca="false">Raw_Data!K121</f>
        <v>187</v>
      </c>
      <c r="L121" s="11" t="n">
        <f aca="false">IF(Raw_Data!L121="",ROUND(AVERAGEIFS(Raw_Data!$L$2:$L$839,Raw_Data!$C$2:$C$839,Raw_Data!C121),2),Raw_Data!L121)</f>
        <v>130321.52</v>
      </c>
      <c r="M121" s="13" t="n">
        <f aca="false">IFERROR(J121/I121,0)</f>
        <v>0.0283278984066386</v>
      </c>
      <c r="N121" s="14" t="n">
        <f aca="false">IFERROR(H121/J121,0)</f>
        <v>1.60950865699579</v>
      </c>
      <c r="O121" s="14" t="n">
        <f aca="false">IFERROR(H121/K121,0)</f>
        <v>36.7863101604278</v>
      </c>
      <c r="P121" s="15" t="n">
        <f aca="false">IFERROR(L121/H121,0)</f>
        <v>18.9447248453273</v>
      </c>
      <c r="Q121" s="13" t="n">
        <f aca="false">IFERROR(K121/J121,0)</f>
        <v>0.0437529246607394</v>
      </c>
      <c r="R121" s="11" t="str">
        <f aca="false">IF(COUNTIF($A$2:A121,A121)&gt;1,"Duplicate - Remove","Unique")</f>
        <v>Unique</v>
      </c>
      <c r="S121" s="11" t="str">
        <f aca="false">TRIM(IF(Raw_Data!G121="","Region missing; ","")&amp;IF(Raw_Data!H121="","Spend imputed; ","")&amp;IF(Raw_Data!L121="","Revenue imputed; ","")&amp;IF(Raw_Data!J121&lt;0,"Clicks corrected; ",""))</f>
        <v/>
      </c>
    </row>
    <row r="122" customFormat="false" ht="15" hidden="false" customHeight="true" outlineLevel="0" collapsed="false">
      <c r="A122" s="11" t="n">
        <f aca="false">Raw_Data!A122</f>
        <v>1464</v>
      </c>
      <c r="B122" s="11" t="str">
        <f aca="false">PROPER(TRIM(Raw_Data!B122))</f>
        <v>Summer Glow Launch</v>
      </c>
      <c r="C122" s="11" t="str">
        <f aca="false">IFERROR(INDEX(Lookup_Tables!$B$2:$B$26,MATCH(UPPER(TRIM(Raw_Data!C122)),Lookup_Tables!$C$2:$C$26,0)),"Unknown")</f>
        <v>Email</v>
      </c>
      <c r="D122" s="12" t="n">
        <f aca="false">IFERROR(IF(ISNUMBER(SEARCH("/",Raw_Data!D122)),DATE(VALUE(RIGHT(Raw_Data!D122,4)),VALUE(MID(Raw_Data!D122,FIND("/",Raw_Data!D122)+1,FIND("/",Raw_Data!D122,FIND("/",Raw_Data!D122)+1)-FIND("/",Raw_Data!D122)-1)),VALUE(LEFT(Raw_Data!D122,FIND("/",Raw_Data!D122)-1))),IF(ISNUMBER(VALUE(LEFT(Raw_Data!D122,4))),DATE(VALUE(LEFT(Raw_Data!D122,4)),VALUE(MID(Raw_Data!D122,6,2)),VALUE(MID(Raw_Data!D122,9,2))),DATEVALUE(Raw_Data!D122))),"")</f>
        <v>45337</v>
      </c>
      <c r="E122" s="12" t="n">
        <f aca="false">IFERROR(IF(ISNUMBER(SEARCH("/",Raw_Data!E122)),DATE(VALUE(RIGHT(Raw_Data!E122,4)),VALUE(MID(Raw_Data!E122,FIND("/",Raw_Data!E122)+1,FIND("/",Raw_Data!E122,FIND("/",Raw_Data!E122)+1)-FIND("/",Raw_Data!E122)-1)),VALUE(LEFT(Raw_Data!E122,FIND("/",Raw_Data!E122)-1))),IF(ISNUMBER(VALUE(LEFT(Raw_Data!E122,4))),DATE(VALUE(LEFT(Raw_Data!E122,4)),VALUE(MID(Raw_Data!E122,6,2)),VALUE(MID(Raw_Data!E122,9,2))),DATEVALUE(Raw_Data!E122))),"")</f>
        <v>45366</v>
      </c>
      <c r="F122" s="11" t="str">
        <f aca="false">Raw_Data!F122</f>
        <v>Female 45+</v>
      </c>
      <c r="G122" s="11" t="str">
        <f aca="false">IF(TRIM(Raw_Data!G122)="","Unspecified",IFERROR(INDEX(Lookup_Tables!$F$2:$F$24,MATCH(UPPER(TRIM(Raw_Data!G122)),Lookup_Tables!$G$2:$G$24,0)),"Unknown"))</f>
        <v>East</v>
      </c>
      <c r="H122" s="11" t="n">
        <f aca="false">IF(Raw_Data!H122="",ROUND(AVERAGEIFS(Raw_Data!$H$2:$H$839,Raw_Data!$C$2:$C$839,Raw_Data!C122),2),Raw_Data!H122)</f>
        <v>7054.27</v>
      </c>
      <c r="I122" s="11" t="n">
        <f aca="false">Raw_Data!I122</f>
        <v>220500</v>
      </c>
      <c r="J122" s="11" t="n">
        <f aca="false">IF(Raw_Data!J122&lt;0,ABS(Raw_Data!J122),Raw_Data!J122)</f>
        <v>2923</v>
      </c>
      <c r="K122" s="11" t="n">
        <f aca="false">Raw_Data!K122</f>
        <v>162</v>
      </c>
      <c r="L122" s="11" t="n">
        <f aca="false">IF(Raw_Data!L122="",ROUND(AVERAGEIFS(Raw_Data!$L$2:$L$839,Raw_Data!$C$2:$C$839,Raw_Data!C122),2),Raw_Data!L122)</f>
        <v>142984.19</v>
      </c>
      <c r="M122" s="13" t="n">
        <f aca="false">IFERROR(J122/I122,0)</f>
        <v>0.0132562358276644</v>
      </c>
      <c r="N122" s="14" t="n">
        <f aca="false">IFERROR(H122/J122,0)</f>
        <v>2.41336640437906</v>
      </c>
      <c r="O122" s="14" t="n">
        <f aca="false">IFERROR(H122/K122,0)</f>
        <v>43.5448765432099</v>
      </c>
      <c r="P122" s="15" t="n">
        <f aca="false">IFERROR(L122/H122,0)</f>
        <v>20.2691688863624</v>
      </c>
      <c r="Q122" s="13" t="n">
        <f aca="false">IFERROR(K122/J122,0)</f>
        <v>0.0554225111187137</v>
      </c>
      <c r="R122" s="11" t="str">
        <f aca="false">IF(COUNTIF($A$2:A122,A122)&gt;1,"Duplicate - Remove","Unique")</f>
        <v>Unique</v>
      </c>
      <c r="S122" s="11" t="str">
        <f aca="false">TRIM(IF(Raw_Data!G122="","Region missing; ","")&amp;IF(Raw_Data!H122="","Spend imputed; ","")&amp;IF(Raw_Data!L122="","Revenue imputed; ","")&amp;IF(Raw_Data!J122&lt;0,"Clicks corrected; ",""))</f>
        <v/>
      </c>
    </row>
    <row r="123" customFormat="false" ht="15" hidden="false" customHeight="true" outlineLevel="0" collapsed="false">
      <c r="A123" s="11" t="n">
        <f aca="false">Raw_Data!A123</f>
        <v>1437</v>
      </c>
      <c r="B123" s="11" t="str">
        <f aca="false">PROPER(TRIM(Raw_Data!B123))</f>
        <v>Clearance Sale Push</v>
      </c>
      <c r="C123" s="11" t="str">
        <f aca="false">IFERROR(INDEX(Lookup_Tables!$B$2:$B$26,MATCH(UPPER(TRIM(Raw_Data!C123)),Lookup_Tables!$C$2:$C$26,0)),"Unknown")</f>
        <v>Instagram</v>
      </c>
      <c r="D123" s="12" t="n">
        <f aca="false">IFERROR(IF(ISNUMBER(SEARCH("/",Raw_Data!D123)),DATE(VALUE(RIGHT(Raw_Data!D123,4)),VALUE(MID(Raw_Data!D123,FIND("/",Raw_Data!D123)+1,FIND("/",Raw_Data!D123,FIND("/",Raw_Data!D123)+1)-FIND("/",Raw_Data!D123)-1)),VALUE(LEFT(Raw_Data!D123,FIND("/",Raw_Data!D123)-1))),IF(ISNUMBER(VALUE(LEFT(Raw_Data!D123,4))),DATE(VALUE(LEFT(Raw_Data!D123,4)),VALUE(MID(Raw_Data!D123,6,2)),VALUE(MID(Raw_Data!D123,9,2))),DATEVALUE(Raw_Data!D123))),"")</f>
        <v>45419</v>
      </c>
      <c r="E123" s="12" t="n">
        <f aca="false">IFERROR(IF(ISNUMBER(SEARCH("/",Raw_Data!E123)),DATE(VALUE(RIGHT(Raw_Data!E123,4)),VALUE(MID(Raw_Data!E123,FIND("/",Raw_Data!E123)+1,FIND("/",Raw_Data!E123,FIND("/",Raw_Data!E123)+1)-FIND("/",Raw_Data!E123)-1)),VALUE(LEFT(Raw_Data!E123,FIND("/",Raw_Data!E123)-1))),IF(ISNUMBER(VALUE(LEFT(Raw_Data!E123,4))),DATE(VALUE(LEFT(Raw_Data!E123,4)),VALUE(MID(Raw_Data!E123,6,2)),VALUE(MID(Raw_Data!E123,9,2))),DATEVALUE(Raw_Data!E123))),"")</f>
        <v>45435</v>
      </c>
      <c r="F123" s="11" t="str">
        <f aca="false">Raw_Data!F123</f>
        <v>Male 18-24</v>
      </c>
      <c r="G123" s="11" t="str">
        <f aca="false">IF(TRIM(Raw_Data!G123)="","Unspecified",IFERROR(INDEX(Lookup_Tables!$F$2:$F$24,MATCH(UPPER(TRIM(Raw_Data!G123)),Lookup_Tables!$G$2:$G$24,0)),"Unknown"))</f>
        <v>North</v>
      </c>
      <c r="H123" s="11" t="n">
        <f aca="false">IF(Raw_Data!H123="",ROUND(AVERAGEIFS(Raw_Data!$H$2:$H$839,Raw_Data!$C$2:$C$839,Raw_Data!C123),2),Raw_Data!H123)</f>
        <v>18399.26</v>
      </c>
      <c r="I123" s="11" t="n">
        <f aca="false">Raw_Data!I123</f>
        <v>283366</v>
      </c>
      <c r="J123" s="11" t="n">
        <f aca="false">IF(Raw_Data!J123&lt;0,ABS(Raw_Data!J123),Raw_Data!J123)</f>
        <v>1654</v>
      </c>
      <c r="K123" s="11" t="n">
        <f aca="false">Raw_Data!K123</f>
        <v>18</v>
      </c>
      <c r="L123" s="11" t="n">
        <f aca="false">IF(Raw_Data!L123="",ROUND(AVERAGEIFS(Raw_Data!$L$2:$L$839,Raw_Data!$C$2:$C$839,Raw_Data!C123),2),Raw_Data!L123)</f>
        <v>27715.74</v>
      </c>
      <c r="M123" s="13" t="n">
        <f aca="false">IFERROR(J123/I123,0)</f>
        <v>0.00583697409004609</v>
      </c>
      <c r="N123" s="14" t="n">
        <f aca="false">IFERROR(H123/J123,0)</f>
        <v>11.1240991535671</v>
      </c>
      <c r="O123" s="14" t="n">
        <f aca="false">IFERROR(H123/K123,0)</f>
        <v>1022.18111111111</v>
      </c>
      <c r="P123" s="15" t="n">
        <f aca="false">IFERROR(L123/H123,0)</f>
        <v>1.50635079889083</v>
      </c>
      <c r="Q123" s="13" t="n">
        <f aca="false">IFERROR(K123/J123,0)</f>
        <v>0.0108827085852479</v>
      </c>
      <c r="R123" s="11" t="str">
        <f aca="false">IF(COUNTIF($A$2:A123,A123)&gt;1,"Duplicate - Remove","Unique")</f>
        <v>Unique</v>
      </c>
      <c r="S123" s="11" t="str">
        <f aca="false">TRIM(IF(Raw_Data!G123="","Region missing; ","")&amp;IF(Raw_Data!H123="","Spend imputed; ","")&amp;IF(Raw_Data!L123="","Revenue imputed; ","")&amp;IF(Raw_Data!J123&lt;0,"Clicks corrected; ",""))</f>
        <v/>
      </c>
    </row>
    <row r="124" customFormat="false" ht="15" hidden="false" customHeight="true" outlineLevel="0" collapsed="false">
      <c r="A124" s="11" t="n">
        <f aca="false">Raw_Data!A124</f>
        <v>1092</v>
      </c>
      <c r="B124" s="11" t="str">
        <f aca="false">PROPER(TRIM(Raw_Data!B124))</f>
        <v>Ayurvedic Range Launch</v>
      </c>
      <c r="C124" s="11" t="str">
        <f aca="false">IFERROR(INDEX(Lookup_Tables!$B$2:$B$26,MATCH(UPPER(TRIM(Raw_Data!C124)),Lookup_Tables!$C$2:$C$26,0)),"Unknown")</f>
        <v>YouTube</v>
      </c>
      <c r="D124" s="12" t="n">
        <f aca="false">IFERROR(IF(ISNUMBER(SEARCH("/",Raw_Data!D124)),DATE(VALUE(RIGHT(Raw_Data!D124,4)),VALUE(MID(Raw_Data!D124,FIND("/",Raw_Data!D124)+1,FIND("/",Raw_Data!D124,FIND("/",Raw_Data!D124)+1)-FIND("/",Raw_Data!D124)-1)),VALUE(LEFT(Raw_Data!D124,FIND("/",Raw_Data!D124)-1))),IF(ISNUMBER(VALUE(LEFT(Raw_Data!D124,4))),DATE(VALUE(LEFT(Raw_Data!D124,4)),VALUE(MID(Raw_Data!D124,6,2)),VALUE(MID(Raw_Data!D124,9,2))),DATEVALUE(Raw_Data!D124))),"")</f>
        <v>45372</v>
      </c>
      <c r="E124" s="12" t="n">
        <f aca="false">IFERROR(IF(ISNUMBER(SEARCH("/",Raw_Data!E124)),DATE(VALUE(RIGHT(Raw_Data!E124,4)),VALUE(MID(Raw_Data!E124,FIND("/",Raw_Data!E124)+1,FIND("/",Raw_Data!E124,FIND("/",Raw_Data!E124)+1)-FIND("/",Raw_Data!E124)-1)),VALUE(LEFT(Raw_Data!E124,FIND("/",Raw_Data!E124)-1))),IF(ISNUMBER(VALUE(LEFT(Raw_Data!E124,4))),DATE(VALUE(LEFT(Raw_Data!E124,4)),VALUE(MID(Raw_Data!E124,6,2)),VALUE(MID(Raw_Data!E124,9,2))),DATEVALUE(Raw_Data!E124))),"")</f>
        <v>45391</v>
      </c>
      <c r="F124" s="11" t="str">
        <f aca="false">Raw_Data!F124</f>
        <v>Female 18-24</v>
      </c>
      <c r="G124" s="11" t="str">
        <f aca="false">IF(TRIM(Raw_Data!G124)="","Unspecified",IFERROR(INDEX(Lookup_Tables!$F$2:$F$24,MATCH(UPPER(TRIM(Raw_Data!G124)),Lookup_Tables!$G$2:$G$24,0)),"Unknown"))</f>
        <v>West</v>
      </c>
      <c r="H124" s="11" t="n">
        <f aca="false">IF(Raw_Data!H124="",ROUND(AVERAGEIFS(Raw_Data!$H$2:$H$839,Raw_Data!$C$2:$C$839,Raw_Data!C124),2),Raw_Data!H124)</f>
        <v>51318.83</v>
      </c>
      <c r="I124" s="11" t="n">
        <f aca="false">Raw_Data!I124</f>
        <v>1031538</v>
      </c>
      <c r="J124" s="11" t="n">
        <f aca="false">IF(Raw_Data!J124&lt;0,ABS(Raw_Data!J124),Raw_Data!J124)</f>
        <v>23931</v>
      </c>
      <c r="K124" s="11" t="n">
        <f aca="false">Raw_Data!K124</f>
        <v>762</v>
      </c>
      <c r="L124" s="11" t="n">
        <f aca="false">IF(Raw_Data!L124="",ROUND(AVERAGEIFS(Raw_Data!$L$2:$L$839,Raw_Data!$C$2:$C$839,Raw_Data!C124),2),Raw_Data!L124)</f>
        <v>1060419.15</v>
      </c>
      <c r="M124" s="13" t="n">
        <f aca="false">IFERROR(J124/I124,0)</f>
        <v>0.023199339239078</v>
      </c>
      <c r="N124" s="14" t="n">
        <f aca="false">IFERROR(H124/J124,0)</f>
        <v>2.14444987672893</v>
      </c>
      <c r="O124" s="14" t="n">
        <f aca="false">IFERROR(H124/K124,0)</f>
        <v>67.3475459317585</v>
      </c>
      <c r="P124" s="15" t="n">
        <f aca="false">IFERROR(L124/H124,0)</f>
        <v>20.6633539774777</v>
      </c>
      <c r="Q124" s="13" t="n">
        <f aca="false">IFERROR(K124/J124,0)</f>
        <v>0.0318415444402658</v>
      </c>
      <c r="R124" s="11" t="str">
        <f aca="false">IF(COUNTIF($A$2:A124,A124)&gt;1,"Duplicate - Remove","Unique")</f>
        <v>Unique</v>
      </c>
      <c r="S124" s="11" t="str">
        <f aca="false">TRIM(IF(Raw_Data!G124="","Region missing; ","")&amp;IF(Raw_Data!H124="","Spend imputed; ","")&amp;IF(Raw_Data!L124="","Revenue imputed; ","")&amp;IF(Raw_Data!J124&lt;0,"Clicks corrected; ",""))</f>
        <v/>
      </c>
    </row>
    <row r="125" customFormat="false" ht="15" hidden="false" customHeight="true" outlineLevel="0" collapsed="false">
      <c r="A125" s="11" t="n">
        <f aca="false">Raw_Data!A125</f>
        <v>1181</v>
      </c>
      <c r="B125" s="11" t="str">
        <f aca="false">PROPER(TRIM(Raw_Data!B125))</f>
        <v>Back To College Offer</v>
      </c>
      <c r="C125" s="11" t="str">
        <f aca="false">IFERROR(INDEX(Lookup_Tables!$B$2:$B$26,MATCH(UPPER(TRIM(Raw_Data!C125)),Lookup_Tables!$C$2:$C$26,0)),"Unknown")</f>
        <v>Google Ads</v>
      </c>
      <c r="D125" s="12" t="n">
        <f aca="false">IFERROR(IF(ISNUMBER(SEARCH("/",Raw_Data!D125)),DATE(VALUE(RIGHT(Raw_Data!D125,4)),VALUE(MID(Raw_Data!D125,FIND("/",Raw_Data!D125)+1,FIND("/",Raw_Data!D125,FIND("/",Raw_Data!D125)+1)-FIND("/",Raw_Data!D125)-1)),VALUE(LEFT(Raw_Data!D125,FIND("/",Raw_Data!D125)-1))),IF(ISNUMBER(VALUE(LEFT(Raw_Data!D125,4))),DATE(VALUE(LEFT(Raw_Data!D125,4)),VALUE(MID(Raw_Data!D125,6,2)),VALUE(MID(Raw_Data!D125,9,2))),DATEVALUE(Raw_Data!D125))),"")</f>
        <v>45375</v>
      </c>
      <c r="E125" s="12" t="n">
        <f aca="false">IFERROR(IF(ISNUMBER(SEARCH("/",Raw_Data!E125)),DATE(VALUE(RIGHT(Raw_Data!E125,4)),VALUE(MID(Raw_Data!E125,FIND("/",Raw_Data!E125)+1,FIND("/",Raw_Data!E125,FIND("/",Raw_Data!E125)+1)-FIND("/",Raw_Data!E125)-1)),VALUE(LEFT(Raw_Data!E125,FIND("/",Raw_Data!E125)-1))),IF(ISNUMBER(VALUE(LEFT(Raw_Data!E125,4))),DATE(VALUE(LEFT(Raw_Data!E125,4)),VALUE(MID(Raw_Data!E125,6,2)),VALUE(MID(Raw_Data!E125,9,2))),DATEVALUE(Raw_Data!E125))),"")</f>
        <v>45398</v>
      </c>
      <c r="F125" s="11" t="str">
        <f aca="false">Raw_Data!F125</f>
        <v>Female 18-24</v>
      </c>
      <c r="G125" s="11" t="str">
        <f aca="false">IF(TRIM(Raw_Data!G125)="","Unspecified",IFERROR(INDEX(Lookup_Tables!$F$2:$F$24,MATCH(UPPER(TRIM(Raw_Data!G125)),Lookup_Tables!$G$2:$G$24,0)),"Unknown"))</f>
        <v>Unspecified</v>
      </c>
      <c r="H125" s="11" t="n">
        <f aca="false">IF(Raw_Data!H125="",ROUND(AVERAGEIFS(Raw_Data!$H$2:$H$839,Raw_Data!$C$2:$C$839,Raw_Data!C125),2),Raw_Data!H125)</f>
        <v>69997.78</v>
      </c>
      <c r="I125" s="11" t="n">
        <f aca="false">Raw_Data!I125</f>
        <v>2182845</v>
      </c>
      <c r="J125" s="11" t="n">
        <f aca="false">IF(Raw_Data!J125&lt;0,ABS(Raw_Data!J125),Raw_Data!J125)</f>
        <v>55293</v>
      </c>
      <c r="K125" s="11" t="n">
        <f aca="false">Raw_Data!K125</f>
        <v>1594</v>
      </c>
      <c r="L125" s="11" t="n">
        <f aca="false">IF(Raw_Data!L125="",ROUND(AVERAGEIFS(Raw_Data!$L$2:$L$839,Raw_Data!$C$2:$C$839,Raw_Data!C125),2),Raw_Data!L125)</f>
        <v>1193969.55</v>
      </c>
      <c r="M125" s="13" t="n">
        <f aca="false">IFERROR(J125/I125,0)</f>
        <v>0.0253307037375535</v>
      </c>
      <c r="N125" s="14" t="n">
        <f aca="false">IFERROR(H125/J125,0)</f>
        <v>1.26594288607961</v>
      </c>
      <c r="O125" s="14" t="n">
        <f aca="false">IFERROR(H125/K125,0)</f>
        <v>43.913287327478</v>
      </c>
      <c r="P125" s="15" t="n">
        <f aca="false">IFERROR(L125/H125,0)</f>
        <v>17.0572488156053</v>
      </c>
      <c r="Q125" s="13" t="n">
        <f aca="false">IFERROR(K125/J125,0)</f>
        <v>0.0288282422729821</v>
      </c>
      <c r="R125" s="11" t="str">
        <f aca="false">IF(COUNTIF($A$2:A125,A125)&gt;1,"Duplicate - Remove","Unique")</f>
        <v>Unique</v>
      </c>
      <c r="S125" s="11" t="str">
        <f aca="false">TRIM(IF(Raw_Data!G125="","Region missing; ","")&amp;IF(Raw_Data!H125="","Spend imputed; ","")&amp;IF(Raw_Data!L125="","Revenue imputed; ","")&amp;IF(Raw_Data!J125&lt;0,"Clicks corrected; ",""))</f>
        <v>Region missing; Revenue imputed;</v>
      </c>
    </row>
    <row r="126" customFormat="false" ht="15" hidden="false" customHeight="true" outlineLevel="0" collapsed="false">
      <c r="A126" s="11" t="n">
        <f aca="false">Raw_Data!A126</f>
        <v>1758</v>
      </c>
      <c r="B126" s="11" t="str">
        <f aca="false">PROPER(TRIM(Raw_Data!B126))</f>
        <v>Wedding Season Special</v>
      </c>
      <c r="C126" s="11" t="str">
        <f aca="false">IFERROR(INDEX(Lookup_Tables!$B$2:$B$26,MATCH(UPPER(TRIM(Raw_Data!C126)),Lookup_Tables!$C$2:$C$26,0)),"Unknown")</f>
        <v>Facebook</v>
      </c>
      <c r="D126" s="12" t="n">
        <f aca="false">IFERROR(IF(ISNUMBER(SEARCH("/",Raw_Data!D126)),DATE(VALUE(RIGHT(Raw_Data!D126,4)),VALUE(MID(Raw_Data!D126,FIND("/",Raw_Data!D126)+1,FIND("/",Raw_Data!D126,FIND("/",Raw_Data!D126)+1)-FIND("/",Raw_Data!D126)-1)),VALUE(LEFT(Raw_Data!D126,FIND("/",Raw_Data!D126)-1))),IF(ISNUMBER(VALUE(LEFT(Raw_Data!D126,4))),DATE(VALUE(LEFT(Raw_Data!D126,4)),VALUE(MID(Raw_Data!D126,6,2)),VALUE(MID(Raw_Data!D126,9,2))),DATEVALUE(Raw_Data!D126))),"")</f>
        <v>45569</v>
      </c>
      <c r="E126" s="12" t="n">
        <f aca="false">IFERROR(IF(ISNUMBER(SEARCH("/",Raw_Data!E126)),DATE(VALUE(RIGHT(Raw_Data!E126,4)),VALUE(MID(Raw_Data!E126,FIND("/",Raw_Data!E126)+1,FIND("/",Raw_Data!E126,FIND("/",Raw_Data!E126)+1)-FIND("/",Raw_Data!E126)-1)),VALUE(LEFT(Raw_Data!E126,FIND("/",Raw_Data!E126)-1))),IF(ISNUMBER(VALUE(LEFT(Raw_Data!E126,4))),DATE(VALUE(LEFT(Raw_Data!E126,4)),VALUE(MID(Raw_Data!E126,6,2)),VALUE(MID(Raw_Data!E126,9,2))),DATEVALUE(Raw_Data!E126))),"")</f>
        <v>45591</v>
      </c>
      <c r="F126" s="11" t="str">
        <f aca="false">Raw_Data!F126</f>
        <v>Male 35-44</v>
      </c>
      <c r="G126" s="11" t="str">
        <f aca="false">IF(TRIM(Raw_Data!G126)="","Unspecified",IFERROR(INDEX(Lookup_Tables!$F$2:$F$24,MATCH(UPPER(TRIM(Raw_Data!G126)),Lookup_Tables!$G$2:$G$24,0)),"Unknown"))</f>
        <v>East</v>
      </c>
      <c r="H126" s="11" t="n">
        <f aca="false">IF(Raw_Data!H126="",ROUND(AVERAGEIFS(Raw_Data!$H$2:$H$839,Raw_Data!$C$2:$C$839,Raw_Data!C126),2),Raw_Data!H126)</f>
        <v>14996.44</v>
      </c>
      <c r="I126" s="11" t="n">
        <f aca="false">Raw_Data!I126</f>
        <v>398414</v>
      </c>
      <c r="J126" s="11" t="n">
        <f aca="false">IF(Raw_Data!J126&lt;0,ABS(Raw_Data!J126),Raw_Data!J126)</f>
        <v>8208</v>
      </c>
      <c r="K126" s="11" t="n">
        <f aca="false">Raw_Data!K126</f>
        <v>149</v>
      </c>
      <c r="L126" s="11" t="n">
        <f aca="false">IF(Raw_Data!L126="",ROUND(AVERAGEIFS(Raw_Data!$L$2:$L$839,Raw_Data!$C$2:$C$839,Raw_Data!C126),2),Raw_Data!L126)</f>
        <v>208298.53</v>
      </c>
      <c r="M126" s="13" t="n">
        <f aca="false">IFERROR(J126/I126,0)</f>
        <v>0.020601685683736</v>
      </c>
      <c r="N126" s="14" t="n">
        <f aca="false">IFERROR(H126/J126,0)</f>
        <v>1.82705165692008</v>
      </c>
      <c r="O126" s="14" t="n">
        <f aca="false">IFERROR(H126/K126,0)</f>
        <v>100.647248322148</v>
      </c>
      <c r="P126" s="15" t="n">
        <f aca="false">IFERROR(L126/H126,0)</f>
        <v>13.8898651946729</v>
      </c>
      <c r="Q126" s="13" t="n">
        <f aca="false">IFERROR(K126/J126,0)</f>
        <v>0.0181530214424951</v>
      </c>
      <c r="R126" s="11" t="str">
        <f aca="false">IF(COUNTIF($A$2:A126,A126)&gt;1,"Duplicate - Remove","Unique")</f>
        <v>Unique</v>
      </c>
      <c r="S126" s="11" t="str">
        <f aca="false">TRIM(IF(Raw_Data!G126="","Region missing; ","")&amp;IF(Raw_Data!H126="","Spend imputed; ","")&amp;IF(Raw_Data!L126="","Revenue imputed; ","")&amp;IF(Raw_Data!J126&lt;0,"Clicks corrected; ",""))</f>
        <v/>
      </c>
    </row>
    <row r="127" customFormat="false" ht="15" hidden="false" customHeight="true" outlineLevel="0" collapsed="false">
      <c r="A127" s="11" t="n">
        <f aca="false">Raw_Data!A127</f>
        <v>1549</v>
      </c>
      <c r="B127" s="11" t="str">
        <f aca="false">PROPER(TRIM(Raw_Data!B127))</f>
        <v>Sunscreen Season Campaign</v>
      </c>
      <c r="C127" s="11" t="str">
        <f aca="false">IFERROR(INDEX(Lookup_Tables!$B$2:$B$26,MATCH(UPPER(TRIM(Raw_Data!C127)),Lookup_Tables!$C$2:$C$26,0)),"Unknown")</f>
        <v>YouTube</v>
      </c>
      <c r="D127" s="12" t="n">
        <f aca="false">IFERROR(IF(ISNUMBER(SEARCH("/",Raw_Data!D127)),DATE(VALUE(RIGHT(Raw_Data!D127,4)),VALUE(MID(Raw_Data!D127,FIND("/",Raw_Data!D127)+1,FIND("/",Raw_Data!D127,FIND("/",Raw_Data!D127)+1)-FIND("/",Raw_Data!D127)-1)),VALUE(LEFT(Raw_Data!D127,FIND("/",Raw_Data!D127)-1))),IF(ISNUMBER(VALUE(LEFT(Raw_Data!D127,4))),DATE(VALUE(LEFT(Raw_Data!D127,4)),VALUE(MID(Raw_Data!D127,6,2)),VALUE(MID(Raw_Data!D127,9,2))),DATEVALUE(Raw_Data!D127))),"")</f>
        <v>45507</v>
      </c>
      <c r="E127" s="12" t="n">
        <f aca="false">IFERROR(IF(ISNUMBER(SEARCH("/",Raw_Data!E127)),DATE(VALUE(RIGHT(Raw_Data!E127,4)),VALUE(MID(Raw_Data!E127,FIND("/",Raw_Data!E127)+1,FIND("/",Raw_Data!E127,FIND("/",Raw_Data!E127)+1)-FIND("/",Raw_Data!E127)-1)),VALUE(LEFT(Raw_Data!E127,FIND("/",Raw_Data!E127)-1))),IF(ISNUMBER(VALUE(LEFT(Raw_Data!E127,4))),DATE(VALUE(LEFT(Raw_Data!E127,4)),VALUE(MID(Raw_Data!E127,6,2)),VALUE(MID(Raw_Data!E127,9,2))),DATEVALUE(Raw_Data!E127))),"")</f>
        <v>45514</v>
      </c>
      <c r="F127" s="11" t="str">
        <f aca="false">Raw_Data!F127</f>
        <v>Female 18-24</v>
      </c>
      <c r="G127" s="11" t="str">
        <f aca="false">IF(TRIM(Raw_Data!G127)="","Unspecified",IFERROR(INDEX(Lookup_Tables!$F$2:$F$24,MATCH(UPPER(TRIM(Raw_Data!G127)),Lookup_Tables!$G$2:$G$24,0)),"Unknown"))</f>
        <v>Unspecified</v>
      </c>
      <c r="H127" s="11" t="n">
        <f aca="false">IF(Raw_Data!H127="",ROUND(AVERAGEIFS(Raw_Data!$H$2:$H$839,Raw_Data!$C$2:$C$839,Raw_Data!C127),2),Raw_Data!H127)</f>
        <v>61140.64</v>
      </c>
      <c r="I127" s="11" t="n">
        <f aca="false">Raw_Data!I127</f>
        <v>1379317</v>
      </c>
      <c r="J127" s="11" t="n">
        <f aca="false">IF(Raw_Data!J127&lt;0,ABS(Raw_Data!J127),Raw_Data!J127)</f>
        <v>16937</v>
      </c>
      <c r="K127" s="11" t="n">
        <f aca="false">Raw_Data!K127</f>
        <v>776</v>
      </c>
      <c r="L127" s="11" t="n">
        <f aca="false">IF(Raw_Data!L127="",ROUND(AVERAGEIFS(Raw_Data!$L$2:$L$839,Raw_Data!$C$2:$C$839,Raw_Data!C127),2),Raw_Data!L127)</f>
        <v>414809.67</v>
      </c>
      <c r="M127" s="13" t="n">
        <f aca="false">IFERROR(J127/I127,0)</f>
        <v>0.0122792657525427</v>
      </c>
      <c r="N127" s="14" t="n">
        <f aca="false">IFERROR(H127/J127,0)</f>
        <v>3.60988604829663</v>
      </c>
      <c r="O127" s="14" t="n">
        <f aca="false">IFERROR(H127/K127,0)</f>
        <v>78.7894845360825</v>
      </c>
      <c r="P127" s="15" t="n">
        <f aca="false">IFERROR(L127/H127,0)</f>
        <v>6.78451632171335</v>
      </c>
      <c r="Q127" s="13" t="n">
        <f aca="false">IFERROR(K127/J127,0)</f>
        <v>0.045816850681939</v>
      </c>
      <c r="R127" s="11" t="str">
        <f aca="false">IF(COUNTIF($A$2:A127,A127)&gt;1,"Duplicate - Remove","Unique")</f>
        <v>Unique</v>
      </c>
      <c r="S127" s="11" t="str">
        <f aca="false">TRIM(IF(Raw_Data!G127="","Region missing; ","")&amp;IF(Raw_Data!H127="","Spend imputed; ","")&amp;IF(Raw_Data!L127="","Revenue imputed; ","")&amp;IF(Raw_Data!J127&lt;0,"Clicks corrected; ",""))</f>
        <v>Region missing;</v>
      </c>
    </row>
    <row r="128" customFormat="false" ht="15" hidden="false" customHeight="true" outlineLevel="0" collapsed="false">
      <c r="A128" s="11" t="n">
        <f aca="false">Raw_Data!A128</f>
        <v>1649</v>
      </c>
      <c r="B128" s="11" t="str">
        <f aca="false">PROPER(TRIM(Raw_Data!B128))</f>
        <v>Sunscreen Season Campaign</v>
      </c>
      <c r="C128" s="11" t="str">
        <f aca="false">IFERROR(INDEX(Lookup_Tables!$B$2:$B$26,MATCH(UPPER(TRIM(Raw_Data!C128)),Lookup_Tables!$C$2:$C$26,0)),"Unknown")</f>
        <v>YouTube</v>
      </c>
      <c r="D128" s="12" t="n">
        <f aca="false">IFERROR(IF(ISNUMBER(SEARCH("/",Raw_Data!D128)),DATE(VALUE(RIGHT(Raw_Data!D128,4)),VALUE(MID(Raw_Data!D128,FIND("/",Raw_Data!D128)+1,FIND("/",Raw_Data!D128,FIND("/",Raw_Data!D128)+1)-FIND("/",Raw_Data!D128)-1)),VALUE(LEFT(Raw_Data!D128,FIND("/",Raw_Data!D128)-1))),IF(ISNUMBER(VALUE(LEFT(Raw_Data!D128,4))),DATE(VALUE(LEFT(Raw_Data!D128,4)),VALUE(MID(Raw_Data!D128,6,2)),VALUE(MID(Raw_Data!D128,9,2))),DATEVALUE(Raw_Data!D128))),"")</f>
        <v>45595</v>
      </c>
      <c r="E128" s="12" t="n">
        <f aca="false">IFERROR(IF(ISNUMBER(SEARCH("/",Raw_Data!E128)),DATE(VALUE(RIGHT(Raw_Data!E128,4)),VALUE(MID(Raw_Data!E128,FIND("/",Raw_Data!E128)+1,FIND("/",Raw_Data!E128,FIND("/",Raw_Data!E128)+1)-FIND("/",Raw_Data!E128)-1)),VALUE(LEFT(Raw_Data!E128,FIND("/",Raw_Data!E128)-1))),IF(ISNUMBER(VALUE(LEFT(Raw_Data!E128,4))),DATE(VALUE(LEFT(Raw_Data!E128,4)),VALUE(MID(Raw_Data!E128,6,2)),VALUE(MID(Raw_Data!E128,9,2))),DATEVALUE(Raw_Data!E128))),"")</f>
        <v>45615</v>
      </c>
      <c r="F128" s="11" t="str">
        <f aca="false">Raw_Data!F128</f>
        <v>Male 45+</v>
      </c>
      <c r="G128" s="11" t="str">
        <f aca="false">IF(TRIM(Raw_Data!G128)="","Unspecified",IFERROR(INDEX(Lookup_Tables!$F$2:$F$24,MATCH(UPPER(TRIM(Raw_Data!G128)),Lookup_Tables!$G$2:$G$24,0)),"Unknown"))</f>
        <v>South</v>
      </c>
      <c r="H128" s="11" t="n">
        <f aca="false">IF(Raw_Data!H128="",ROUND(AVERAGEIFS(Raw_Data!$H$2:$H$839,Raw_Data!$C$2:$C$839,Raw_Data!C128),2),Raw_Data!H128)</f>
        <v>73592.1</v>
      </c>
      <c r="I128" s="11" t="n">
        <f aca="false">Raw_Data!I128</f>
        <v>1821520</v>
      </c>
      <c r="J128" s="11" t="n">
        <f aca="false">IF(Raw_Data!J128&lt;0,ABS(Raw_Data!J128),Raw_Data!J128)</f>
        <v>61552</v>
      </c>
      <c r="K128" s="11" t="n">
        <f aca="false">Raw_Data!K128</f>
        <v>3659</v>
      </c>
      <c r="L128" s="11" t="n">
        <f aca="false">IF(Raw_Data!L128="",ROUND(AVERAGEIFS(Raw_Data!$L$2:$L$839,Raw_Data!$C$2:$C$839,Raw_Data!C128),2),Raw_Data!L128)</f>
        <v>2606221.11</v>
      </c>
      <c r="M128" s="13" t="n">
        <f aca="false">IFERROR(J128/I128,0)</f>
        <v>0.0337915586982301</v>
      </c>
      <c r="N128" s="14" t="n">
        <f aca="false">IFERROR(H128/J128,0)</f>
        <v>1.19560859110996</v>
      </c>
      <c r="O128" s="14" t="n">
        <f aca="false">IFERROR(H128/K128,0)</f>
        <v>20.1126264006559</v>
      </c>
      <c r="P128" s="15" t="n">
        <f aca="false">IFERROR(L128/H128,0)</f>
        <v>35.4144141830441</v>
      </c>
      <c r="Q128" s="13" t="n">
        <f aca="false">IFERROR(K128/J128,0)</f>
        <v>0.0594456719521705</v>
      </c>
      <c r="R128" s="11" t="str">
        <f aca="false">IF(COUNTIF($A$2:A128,A128)&gt;1,"Duplicate - Remove","Unique")</f>
        <v>Unique</v>
      </c>
      <c r="S128" s="11" t="str">
        <f aca="false">TRIM(IF(Raw_Data!G128="","Region missing; ","")&amp;IF(Raw_Data!H128="","Spend imputed; ","")&amp;IF(Raw_Data!L128="","Revenue imputed; ","")&amp;IF(Raw_Data!J128&lt;0,"Clicks corrected; ",""))</f>
        <v/>
      </c>
    </row>
    <row r="129" customFormat="false" ht="15" hidden="false" customHeight="true" outlineLevel="0" collapsed="false">
      <c r="A129" s="11" t="n">
        <f aca="false">Raw_Data!A129</f>
        <v>1338</v>
      </c>
      <c r="B129" s="11" t="str">
        <f aca="false">PROPER(TRIM(Raw_Data!B129))</f>
        <v>Monsoon Skincare Push</v>
      </c>
      <c r="C129" s="11" t="str">
        <f aca="false">IFERROR(INDEX(Lookup_Tables!$B$2:$B$26,MATCH(UPPER(TRIM(Raw_Data!C129)),Lookup_Tables!$C$2:$C$26,0)),"Unknown")</f>
        <v>Facebook</v>
      </c>
      <c r="D129" s="12" t="n">
        <f aca="false">IFERROR(IF(ISNUMBER(SEARCH("/",Raw_Data!D129)),DATE(VALUE(RIGHT(Raw_Data!D129,4)),VALUE(MID(Raw_Data!D129,FIND("/",Raw_Data!D129)+1,FIND("/",Raw_Data!D129,FIND("/",Raw_Data!D129)+1)-FIND("/",Raw_Data!D129)-1)),VALUE(LEFT(Raw_Data!D129,FIND("/",Raw_Data!D129)-1))),IF(ISNUMBER(VALUE(LEFT(Raw_Data!D129,4))),DATE(VALUE(LEFT(Raw_Data!D129,4)),VALUE(MID(Raw_Data!D129,6,2)),VALUE(MID(Raw_Data!D129,9,2))),DATEVALUE(Raw_Data!D129))),"")</f>
        <v>45581</v>
      </c>
      <c r="E129" s="12" t="n">
        <f aca="false">IFERROR(IF(ISNUMBER(SEARCH("/",Raw_Data!E129)),DATE(VALUE(RIGHT(Raw_Data!E129,4)),VALUE(MID(Raw_Data!E129,FIND("/",Raw_Data!E129)+1,FIND("/",Raw_Data!E129,FIND("/",Raw_Data!E129)+1)-FIND("/",Raw_Data!E129)-1)),VALUE(LEFT(Raw_Data!E129,FIND("/",Raw_Data!E129)-1))),IF(ISNUMBER(VALUE(LEFT(Raw_Data!E129,4))),DATE(VALUE(LEFT(Raw_Data!E129,4)),VALUE(MID(Raw_Data!E129,6,2)),VALUE(MID(Raw_Data!E129,9,2))),DATEVALUE(Raw_Data!E129))),"")</f>
        <v>45599</v>
      </c>
      <c r="F129" s="11" t="str">
        <f aca="false">Raw_Data!F129</f>
        <v>Male 45+</v>
      </c>
      <c r="G129" s="11" t="str">
        <f aca="false">IF(TRIM(Raw_Data!G129)="","Unspecified",IFERROR(INDEX(Lookup_Tables!$F$2:$F$24,MATCH(UPPER(TRIM(Raw_Data!G129)),Lookup_Tables!$G$2:$G$24,0)),"Unknown"))</f>
        <v>North</v>
      </c>
      <c r="H129" s="11" t="n">
        <f aca="false">IF(Raw_Data!H129="",ROUND(AVERAGEIFS(Raw_Data!$H$2:$H$839,Raw_Data!$C$2:$C$839,Raw_Data!C129),2),Raw_Data!H129)</f>
        <v>33631.83</v>
      </c>
      <c r="I129" s="11" t="n">
        <f aca="false">Raw_Data!I129</f>
        <v>904730</v>
      </c>
      <c r="J129" s="11" t="n">
        <f aca="false">IF(Raw_Data!J129&lt;0,ABS(Raw_Data!J129),Raw_Data!J129)</f>
        <v>23366</v>
      </c>
      <c r="K129" s="11" t="n">
        <f aca="false">Raw_Data!K129</f>
        <v>429</v>
      </c>
      <c r="L129" s="11" t="n">
        <f aca="false">IF(Raw_Data!L129="",ROUND(AVERAGEIFS(Raw_Data!$L$2:$L$839,Raw_Data!$C$2:$C$839,Raw_Data!C129),2),Raw_Data!L129)</f>
        <v>468966.72</v>
      </c>
      <c r="M129" s="13" t="n">
        <f aca="false">IFERROR(J129/I129,0)</f>
        <v>0.0258264896709516</v>
      </c>
      <c r="N129" s="14" t="n">
        <f aca="false">IFERROR(H129/J129,0)</f>
        <v>1.43934905418129</v>
      </c>
      <c r="O129" s="14" t="n">
        <f aca="false">IFERROR(H129/K129,0)</f>
        <v>78.3958741258741</v>
      </c>
      <c r="P129" s="15" t="n">
        <f aca="false">IFERROR(L129/H129,0)</f>
        <v>13.944133280883</v>
      </c>
      <c r="Q129" s="13" t="n">
        <f aca="false">IFERROR(K129/J129,0)</f>
        <v>0.0183600102713344</v>
      </c>
      <c r="R129" s="11" t="str">
        <f aca="false">IF(COUNTIF($A$2:A129,A129)&gt;1,"Duplicate - Remove","Unique")</f>
        <v>Unique</v>
      </c>
      <c r="S129" s="11" t="str">
        <f aca="false">TRIM(IF(Raw_Data!G129="","Region missing; ","")&amp;IF(Raw_Data!H129="","Spend imputed; ","")&amp;IF(Raw_Data!L129="","Revenue imputed; ","")&amp;IF(Raw_Data!J129&lt;0,"Clicks corrected; ",""))</f>
        <v/>
      </c>
    </row>
    <row r="130" customFormat="false" ht="15" hidden="false" customHeight="true" outlineLevel="0" collapsed="false">
      <c r="A130" s="11" t="n">
        <f aca="false">Raw_Data!A130</f>
        <v>1023</v>
      </c>
      <c r="B130" s="11" t="str">
        <f aca="false">PROPER(TRIM(Raw_Data!B130))</f>
        <v>Baby Care Trust Campaign</v>
      </c>
      <c r="C130" s="11" t="str">
        <f aca="false">IFERROR(INDEX(Lookup_Tables!$B$2:$B$26,MATCH(UPPER(TRIM(Raw_Data!C130)),Lookup_Tables!$C$2:$C$26,0)),"Unknown")</f>
        <v>Facebook</v>
      </c>
      <c r="D130" s="12" t="n">
        <f aca="false">IFERROR(IF(ISNUMBER(SEARCH("/",Raw_Data!D130)),DATE(VALUE(RIGHT(Raw_Data!D130,4)),VALUE(MID(Raw_Data!D130,FIND("/",Raw_Data!D130)+1,FIND("/",Raw_Data!D130,FIND("/",Raw_Data!D130)+1)-FIND("/",Raw_Data!D130)-1)),VALUE(LEFT(Raw_Data!D130,FIND("/",Raw_Data!D130)-1))),IF(ISNUMBER(VALUE(LEFT(Raw_Data!D130,4))),DATE(VALUE(LEFT(Raw_Data!D130,4)),VALUE(MID(Raw_Data!D130,6,2)),VALUE(MID(Raw_Data!D130,9,2))),DATEVALUE(Raw_Data!D130))),"")</f>
        <v>45588</v>
      </c>
      <c r="E130" s="12" t="n">
        <f aca="false">IFERROR(IF(ISNUMBER(SEARCH("/",Raw_Data!E130)),DATE(VALUE(RIGHT(Raw_Data!E130,4)),VALUE(MID(Raw_Data!E130,FIND("/",Raw_Data!E130)+1,FIND("/",Raw_Data!E130,FIND("/",Raw_Data!E130)+1)-FIND("/",Raw_Data!E130)-1)),VALUE(LEFT(Raw_Data!E130,FIND("/",Raw_Data!E130)-1))),IF(ISNUMBER(VALUE(LEFT(Raw_Data!E130,4))),DATE(VALUE(LEFT(Raw_Data!E130,4)),VALUE(MID(Raw_Data!E130,6,2)),VALUE(MID(Raw_Data!E130,9,2))),DATEVALUE(Raw_Data!E130))),"")</f>
        <v>45612</v>
      </c>
      <c r="F130" s="11" t="str">
        <f aca="false">Raw_Data!F130</f>
        <v>Female 45+</v>
      </c>
      <c r="G130" s="11" t="str">
        <f aca="false">IF(TRIM(Raw_Data!G130)="","Unspecified",IFERROR(INDEX(Lookup_Tables!$F$2:$F$24,MATCH(UPPER(TRIM(Raw_Data!G130)),Lookup_Tables!$G$2:$G$24,0)),"Unknown"))</f>
        <v>North</v>
      </c>
      <c r="H130" s="11" t="n">
        <f aca="false">IF(Raw_Data!H130="",ROUND(AVERAGEIFS(Raw_Data!$H$2:$H$839,Raw_Data!$C$2:$C$839,Raw_Data!C130),2),Raw_Data!H130)</f>
        <v>20178.97</v>
      </c>
      <c r="I130" s="11" t="n">
        <f aca="false">Raw_Data!I130</f>
        <v>525554</v>
      </c>
      <c r="J130" s="11" t="n">
        <f aca="false">IF(Raw_Data!J130&lt;0,ABS(Raw_Data!J130),Raw_Data!J130)</f>
        <v>13280</v>
      </c>
      <c r="K130" s="11" t="n">
        <f aca="false">Raw_Data!K130</f>
        <v>607</v>
      </c>
      <c r="L130" s="11" t="n">
        <f aca="false">IF(Raw_Data!L130="",ROUND(AVERAGEIFS(Raw_Data!$L$2:$L$839,Raw_Data!$C$2:$C$839,Raw_Data!C130),2),Raw_Data!L130)</f>
        <v>911056.21</v>
      </c>
      <c r="M130" s="13" t="n">
        <f aca="false">IFERROR(J130/I130,0)</f>
        <v>0.025268573733622</v>
      </c>
      <c r="N130" s="14" t="n">
        <f aca="false">IFERROR(H130/J130,0)</f>
        <v>1.51950075301205</v>
      </c>
      <c r="O130" s="14" t="n">
        <f aca="false">IFERROR(H130/K130,0)</f>
        <v>33.2437726523888</v>
      </c>
      <c r="P130" s="15" t="n">
        <f aca="false">IFERROR(L130/H130,0)</f>
        <v>45.1487964945684</v>
      </c>
      <c r="Q130" s="13" t="n">
        <f aca="false">IFERROR(K130/J130,0)</f>
        <v>0.0457078313253012</v>
      </c>
      <c r="R130" s="11" t="str">
        <f aca="false">IF(COUNTIF($A$2:A130,A130)&gt;1,"Duplicate - Remove","Unique")</f>
        <v>Unique</v>
      </c>
      <c r="S130" s="11" t="str">
        <f aca="false">TRIM(IF(Raw_Data!G130="","Region missing; ","")&amp;IF(Raw_Data!H130="","Spend imputed; ","")&amp;IF(Raw_Data!L130="","Revenue imputed; ","")&amp;IF(Raw_Data!J130&lt;0,"Clicks corrected; ",""))</f>
        <v/>
      </c>
    </row>
    <row r="131" customFormat="false" ht="15" hidden="false" customHeight="true" outlineLevel="0" collapsed="false">
      <c r="A131" s="11" t="n">
        <f aca="false">Raw_Data!A131</f>
        <v>1408</v>
      </c>
      <c r="B131" s="11" t="str">
        <f aca="false">PROPER(TRIM(Raw_Data!B131))</f>
        <v>Summer Glow Launch</v>
      </c>
      <c r="C131" s="11" t="str">
        <f aca="false">IFERROR(INDEX(Lookup_Tables!$B$2:$B$26,MATCH(UPPER(TRIM(Raw_Data!C131)),Lookup_Tables!$C$2:$C$26,0)),"Unknown")</f>
        <v>Instagram</v>
      </c>
      <c r="D131" s="12" t="n">
        <f aca="false">IFERROR(IF(ISNUMBER(SEARCH("/",Raw_Data!D131)),DATE(VALUE(RIGHT(Raw_Data!D131,4)),VALUE(MID(Raw_Data!D131,FIND("/",Raw_Data!D131)+1,FIND("/",Raw_Data!D131,FIND("/",Raw_Data!D131)+1)-FIND("/",Raw_Data!D131)-1)),VALUE(LEFT(Raw_Data!D131,FIND("/",Raw_Data!D131)-1))),IF(ISNUMBER(VALUE(LEFT(Raw_Data!D131,4))),DATE(VALUE(LEFT(Raw_Data!D131,4)),VALUE(MID(Raw_Data!D131,6,2)),VALUE(MID(Raw_Data!D131,9,2))),DATEVALUE(Raw_Data!D131))),"")</f>
        <v>45599</v>
      </c>
      <c r="E131" s="12" t="n">
        <f aca="false">IFERROR(IF(ISNUMBER(SEARCH("/",Raw_Data!E131)),DATE(VALUE(RIGHT(Raw_Data!E131,4)),VALUE(MID(Raw_Data!E131,FIND("/",Raw_Data!E131)+1,FIND("/",Raw_Data!E131,FIND("/",Raw_Data!E131)+1)-FIND("/",Raw_Data!E131)-1)),VALUE(LEFT(Raw_Data!E131,FIND("/",Raw_Data!E131)-1))),IF(ISNUMBER(VALUE(LEFT(Raw_Data!E131,4))),DATE(VALUE(LEFT(Raw_Data!E131,4)),VALUE(MID(Raw_Data!E131,6,2)),VALUE(MID(Raw_Data!E131,9,2))),DATEVALUE(Raw_Data!E131))),"")</f>
        <v>45615</v>
      </c>
      <c r="F131" s="11" t="str">
        <f aca="false">Raw_Data!F131</f>
        <v>Female 45+</v>
      </c>
      <c r="G131" s="11" t="str">
        <f aca="false">IF(TRIM(Raw_Data!G131)="","Unspecified",IFERROR(INDEX(Lookup_Tables!$F$2:$F$24,MATCH(UPPER(TRIM(Raw_Data!G131)),Lookup_Tables!$G$2:$G$24,0)),"Unknown"))</f>
        <v>West</v>
      </c>
      <c r="H131" s="11" t="n">
        <f aca="false">IF(Raw_Data!H131="",ROUND(AVERAGEIFS(Raw_Data!$H$2:$H$839,Raw_Data!$C$2:$C$839,Raw_Data!C131),2),Raw_Data!H131)</f>
        <v>17213.71</v>
      </c>
      <c r="I131" s="11" t="n">
        <f aca="false">Raw_Data!I131</f>
        <v>588694</v>
      </c>
      <c r="J131" s="11" t="n">
        <f aca="false">IF(Raw_Data!J131&lt;0,ABS(Raw_Data!J131),Raw_Data!J131)</f>
        <v>15253</v>
      </c>
      <c r="K131" s="11" t="n">
        <f aca="false">Raw_Data!K131</f>
        <v>161</v>
      </c>
      <c r="L131" s="11" t="n">
        <f aca="false">IF(Raw_Data!L131="",ROUND(AVERAGEIFS(Raw_Data!$L$2:$L$839,Raw_Data!$C$2:$C$839,Raw_Data!C131),2),Raw_Data!L131)</f>
        <v>164365.57</v>
      </c>
      <c r="M131" s="13" t="n">
        <f aca="false">IFERROR(J131/I131,0)</f>
        <v>0.0259098954635176</v>
      </c>
      <c r="N131" s="14" t="n">
        <f aca="false">IFERROR(H131/J131,0)</f>
        <v>1.12854585983085</v>
      </c>
      <c r="O131" s="14" t="n">
        <f aca="false">IFERROR(H131/K131,0)</f>
        <v>106.917453416149</v>
      </c>
      <c r="P131" s="15" t="n">
        <f aca="false">IFERROR(L131/H131,0)</f>
        <v>9.54852672666148</v>
      </c>
      <c r="Q131" s="13" t="n">
        <f aca="false">IFERROR(K131/J131,0)</f>
        <v>0.0105553005966039</v>
      </c>
      <c r="R131" s="11" t="str">
        <f aca="false">IF(COUNTIF($A$2:A131,A131)&gt;1,"Duplicate - Remove","Unique")</f>
        <v>Unique</v>
      </c>
      <c r="S131" s="11" t="str">
        <f aca="false">TRIM(IF(Raw_Data!G131="","Region missing; ","")&amp;IF(Raw_Data!H131="","Spend imputed; ","")&amp;IF(Raw_Data!L131="","Revenue imputed; ","")&amp;IF(Raw_Data!J131&lt;0,"Clicks corrected; ",""))</f>
        <v/>
      </c>
    </row>
    <row r="132" customFormat="false" ht="15" hidden="false" customHeight="true" outlineLevel="0" collapsed="false">
      <c r="A132" s="11" t="n">
        <f aca="false">Raw_Data!A132</f>
        <v>1433</v>
      </c>
      <c r="B132" s="11" t="str">
        <f aca="false">PROPER(TRIM(Raw_Data!B132))</f>
        <v>Wedding Season Special</v>
      </c>
      <c r="C132" s="11" t="str">
        <f aca="false">IFERROR(INDEX(Lookup_Tables!$B$2:$B$26,MATCH(UPPER(TRIM(Raw_Data!C132)),Lookup_Tables!$C$2:$C$26,0)),"Unknown")</f>
        <v>Facebook</v>
      </c>
      <c r="D132" s="12" t="n">
        <f aca="false">IFERROR(IF(ISNUMBER(SEARCH("/",Raw_Data!D132)),DATE(VALUE(RIGHT(Raw_Data!D132,4)),VALUE(MID(Raw_Data!D132,FIND("/",Raw_Data!D132)+1,FIND("/",Raw_Data!D132,FIND("/",Raw_Data!D132)+1)-FIND("/",Raw_Data!D132)-1)),VALUE(LEFT(Raw_Data!D132,FIND("/",Raw_Data!D132)-1))),IF(ISNUMBER(VALUE(LEFT(Raw_Data!D132,4))),DATE(VALUE(LEFT(Raw_Data!D132,4)),VALUE(MID(Raw_Data!D132,6,2)),VALUE(MID(Raw_Data!D132,9,2))),DATEVALUE(Raw_Data!D132))),"")</f>
        <v>45493</v>
      </c>
      <c r="E132" s="12" t="n">
        <f aca="false">IFERROR(IF(ISNUMBER(SEARCH("/",Raw_Data!E132)),DATE(VALUE(RIGHT(Raw_Data!E132,4)),VALUE(MID(Raw_Data!E132,FIND("/",Raw_Data!E132)+1,FIND("/",Raw_Data!E132,FIND("/",Raw_Data!E132)+1)-FIND("/",Raw_Data!E132)-1)),VALUE(LEFT(Raw_Data!E132,FIND("/",Raw_Data!E132)-1))),IF(ISNUMBER(VALUE(LEFT(Raw_Data!E132,4))),DATE(VALUE(LEFT(Raw_Data!E132,4)),VALUE(MID(Raw_Data!E132,6,2)),VALUE(MID(Raw_Data!E132,9,2))),DATEVALUE(Raw_Data!E132))),"")</f>
        <v>45520</v>
      </c>
      <c r="F132" s="11" t="str">
        <f aca="false">Raw_Data!F132</f>
        <v>Female 25-34</v>
      </c>
      <c r="G132" s="11" t="str">
        <f aca="false">IF(TRIM(Raw_Data!G132)="","Unspecified",IFERROR(INDEX(Lookup_Tables!$F$2:$F$24,MATCH(UPPER(TRIM(Raw_Data!G132)),Lookup_Tables!$G$2:$G$24,0)),"Unknown"))</f>
        <v>West</v>
      </c>
      <c r="H132" s="11" t="n">
        <f aca="false">IF(Raw_Data!H132="",ROUND(AVERAGEIFS(Raw_Data!$H$2:$H$839,Raw_Data!$C$2:$C$839,Raw_Data!C132),2),Raw_Data!H132)</f>
        <v>16546.59</v>
      </c>
      <c r="I132" s="11" t="n">
        <f aca="false">Raw_Data!I132</f>
        <v>608310</v>
      </c>
      <c r="J132" s="11" t="n">
        <f aca="false">IF(Raw_Data!J132&lt;0,ABS(Raw_Data!J132),Raw_Data!J132)</f>
        <v>8037</v>
      </c>
      <c r="K132" s="11" t="n">
        <f aca="false">Raw_Data!K132</f>
        <v>433</v>
      </c>
      <c r="L132" s="11" t="n">
        <f aca="false">IF(Raw_Data!L132="",ROUND(AVERAGEIFS(Raw_Data!$L$2:$L$839,Raw_Data!$C$2:$C$839,Raw_Data!C132),2),Raw_Data!L132)</f>
        <v>334812.88</v>
      </c>
      <c r="M132" s="13" t="n">
        <f aca="false">IFERROR(J132/I132,0)</f>
        <v>0.013212013611481</v>
      </c>
      <c r="N132" s="14" t="n">
        <f aca="false">IFERROR(H132/J132,0)</f>
        <v>2.05880179171333</v>
      </c>
      <c r="O132" s="14" t="n">
        <f aca="false">IFERROR(H132/K132,0)</f>
        <v>38.2138337182448</v>
      </c>
      <c r="P132" s="15" t="n">
        <f aca="false">IFERROR(L132/H132,0)</f>
        <v>20.2345546725942</v>
      </c>
      <c r="Q132" s="13" t="n">
        <f aca="false">IFERROR(K132/J132,0)</f>
        <v>0.0538758243125544</v>
      </c>
      <c r="R132" s="11" t="str">
        <f aca="false">IF(COUNTIF($A$2:A132,A132)&gt;1,"Duplicate - Remove","Unique")</f>
        <v>Unique</v>
      </c>
      <c r="S132" s="11" t="str">
        <f aca="false">TRIM(IF(Raw_Data!G132="","Region missing; ","")&amp;IF(Raw_Data!H132="","Spend imputed; ","")&amp;IF(Raw_Data!L132="","Revenue imputed; ","")&amp;IF(Raw_Data!J132&lt;0,"Clicks corrected; ",""))</f>
        <v/>
      </c>
    </row>
    <row r="133" customFormat="false" ht="15" hidden="false" customHeight="true" outlineLevel="0" collapsed="false">
      <c r="A133" s="11" t="n">
        <f aca="false">Raw_Data!A133</f>
        <v>1206</v>
      </c>
      <c r="B133" s="11" t="str">
        <f aca="false">PROPER(TRIM(Raw_Data!B133))</f>
        <v>Herbal Range Awareness</v>
      </c>
      <c r="C133" s="11" t="str">
        <f aca="false">IFERROR(INDEX(Lookup_Tables!$B$2:$B$26,MATCH(UPPER(TRIM(Raw_Data!C133)),Lookup_Tables!$C$2:$C$26,0)),"Unknown")</f>
        <v>YouTube</v>
      </c>
      <c r="D133" s="12" t="n">
        <f aca="false">IFERROR(IF(ISNUMBER(SEARCH("/",Raw_Data!D133)),DATE(VALUE(RIGHT(Raw_Data!D133,4)),VALUE(MID(Raw_Data!D133,FIND("/",Raw_Data!D133)+1,FIND("/",Raw_Data!D133,FIND("/",Raw_Data!D133)+1)-FIND("/",Raw_Data!D133)-1)),VALUE(LEFT(Raw_Data!D133,FIND("/",Raw_Data!D133)-1))),IF(ISNUMBER(VALUE(LEFT(Raw_Data!D133,4))),DATE(VALUE(LEFT(Raw_Data!D133,4)),VALUE(MID(Raw_Data!D133,6,2)),VALUE(MID(Raw_Data!D133,9,2))),DATEVALUE(Raw_Data!D133))),"")</f>
        <v>45413</v>
      </c>
      <c r="E133" s="12" t="n">
        <f aca="false">IFERROR(IF(ISNUMBER(SEARCH("/",Raw_Data!E133)),DATE(VALUE(RIGHT(Raw_Data!E133,4)),VALUE(MID(Raw_Data!E133,FIND("/",Raw_Data!E133)+1,FIND("/",Raw_Data!E133,FIND("/",Raw_Data!E133)+1)-FIND("/",Raw_Data!E133)-1)),VALUE(LEFT(Raw_Data!E133,FIND("/",Raw_Data!E133)-1))),IF(ISNUMBER(VALUE(LEFT(Raw_Data!E133,4))),DATE(VALUE(LEFT(Raw_Data!E133,4)),VALUE(MID(Raw_Data!E133,6,2)),VALUE(MID(Raw_Data!E133,9,2))),DATEVALUE(Raw_Data!E133))),"")</f>
        <v>45434</v>
      </c>
      <c r="F133" s="11" t="str">
        <f aca="false">Raw_Data!F133</f>
        <v>Female 45+</v>
      </c>
      <c r="G133" s="11" t="str">
        <f aca="false">IF(TRIM(Raw_Data!G133)="","Unspecified",IFERROR(INDEX(Lookup_Tables!$F$2:$F$24,MATCH(UPPER(TRIM(Raw_Data!G133)),Lookup_Tables!$G$2:$G$24,0)),"Unknown"))</f>
        <v>Central</v>
      </c>
      <c r="H133" s="11" t="n">
        <f aca="false">IF(Raw_Data!H133="",ROUND(AVERAGEIFS(Raw_Data!$H$2:$H$839,Raw_Data!$C$2:$C$839,Raw_Data!C133),2),Raw_Data!H133)</f>
        <v>36572.9</v>
      </c>
      <c r="I133" s="11" t="n">
        <f aca="false">Raw_Data!I133</f>
        <v>1156154</v>
      </c>
      <c r="J133" s="11" t="n">
        <f aca="false">IF(Raw_Data!J133&lt;0,ABS(Raw_Data!J133),Raw_Data!J133)</f>
        <v>37915</v>
      </c>
      <c r="K133" s="11" t="n">
        <f aca="false">Raw_Data!K133</f>
        <v>1407</v>
      </c>
      <c r="L133" s="11" t="n">
        <f aca="false">IF(Raw_Data!L133="",ROUND(AVERAGEIFS(Raw_Data!$L$2:$L$839,Raw_Data!$C$2:$C$839,Raw_Data!C133),2),Raw_Data!L133)</f>
        <v>2444265.52</v>
      </c>
      <c r="M133" s="13" t="n">
        <f aca="false">IFERROR(J133/I133,0)</f>
        <v>0.0327940741458318</v>
      </c>
      <c r="N133" s="14" t="n">
        <f aca="false">IFERROR(H133/J133,0)</f>
        <v>0.964602400105499</v>
      </c>
      <c r="O133" s="14" t="n">
        <f aca="false">IFERROR(H133/K133,0)</f>
        <v>25.9935323383085</v>
      </c>
      <c r="P133" s="15" t="n">
        <f aca="false">IFERROR(L133/H133,0)</f>
        <v>66.8326963407332</v>
      </c>
      <c r="Q133" s="13" t="n">
        <f aca="false">IFERROR(K133/J133,0)</f>
        <v>0.0371093234867467</v>
      </c>
      <c r="R133" s="11" t="str">
        <f aca="false">IF(COUNTIF($A$2:A133,A133)&gt;1,"Duplicate - Remove","Unique")</f>
        <v>Unique</v>
      </c>
      <c r="S133" s="11" t="str">
        <f aca="false">TRIM(IF(Raw_Data!G133="","Region missing; ","")&amp;IF(Raw_Data!H133="","Spend imputed; ","")&amp;IF(Raw_Data!L133="","Revenue imputed; ","")&amp;IF(Raw_Data!J133&lt;0,"Clicks corrected; ",""))</f>
        <v/>
      </c>
    </row>
    <row r="134" customFormat="false" ht="15" hidden="false" customHeight="true" outlineLevel="0" collapsed="false">
      <c r="A134" s="11" t="n">
        <f aca="false">Raw_Data!A134</f>
        <v>1178</v>
      </c>
      <c r="B134" s="11" t="str">
        <f aca="false">PROPER(TRIM(Raw_Data!B134))</f>
        <v>Clearance Sale Push</v>
      </c>
      <c r="C134" s="11" t="str">
        <f aca="false">IFERROR(INDEX(Lookup_Tables!$B$2:$B$26,MATCH(UPPER(TRIM(Raw_Data!C134)),Lookup_Tables!$C$2:$C$26,0)),"Unknown")</f>
        <v>Facebook</v>
      </c>
      <c r="D134" s="12" t="n">
        <f aca="false">IFERROR(IF(ISNUMBER(SEARCH("/",Raw_Data!D134)),DATE(VALUE(RIGHT(Raw_Data!D134,4)),VALUE(MID(Raw_Data!D134,FIND("/",Raw_Data!D134)+1,FIND("/",Raw_Data!D134,FIND("/",Raw_Data!D134)+1)-FIND("/",Raw_Data!D134)-1)),VALUE(LEFT(Raw_Data!D134,FIND("/",Raw_Data!D134)-1))),IF(ISNUMBER(VALUE(LEFT(Raw_Data!D134,4))),DATE(VALUE(LEFT(Raw_Data!D134,4)),VALUE(MID(Raw_Data!D134,6,2)),VALUE(MID(Raw_Data!D134,9,2))),DATEVALUE(Raw_Data!D134))),"")</f>
        <v>45451</v>
      </c>
      <c r="E134" s="12" t="n">
        <f aca="false">IFERROR(IF(ISNUMBER(SEARCH("/",Raw_Data!E134)),DATE(VALUE(RIGHT(Raw_Data!E134,4)),VALUE(MID(Raw_Data!E134,FIND("/",Raw_Data!E134)+1,FIND("/",Raw_Data!E134,FIND("/",Raw_Data!E134)+1)-FIND("/",Raw_Data!E134)-1)),VALUE(LEFT(Raw_Data!E134,FIND("/",Raw_Data!E134)-1))),IF(ISNUMBER(VALUE(LEFT(Raw_Data!E134,4))),DATE(VALUE(LEFT(Raw_Data!E134,4)),VALUE(MID(Raw_Data!E134,6,2)),VALUE(MID(Raw_Data!E134,9,2))),DATEVALUE(Raw_Data!E134))),"")</f>
        <v>45464</v>
      </c>
      <c r="F134" s="11" t="str">
        <f aca="false">Raw_Data!F134</f>
        <v>Male 25-34</v>
      </c>
      <c r="G134" s="11" t="str">
        <f aca="false">IF(TRIM(Raw_Data!G134)="","Unspecified",IFERROR(INDEX(Lookup_Tables!$F$2:$F$24,MATCH(UPPER(TRIM(Raw_Data!G134)),Lookup_Tables!$G$2:$G$24,0)),"Unknown"))</f>
        <v>East</v>
      </c>
      <c r="H134" s="11" t="n">
        <f aca="false">IF(Raw_Data!H134="",ROUND(AVERAGEIFS(Raw_Data!$H$2:$H$839,Raw_Data!$C$2:$C$839,Raw_Data!C134),2),Raw_Data!H134)</f>
        <v>43762.33</v>
      </c>
      <c r="I134" s="11" t="n">
        <f aca="false">Raw_Data!I134</f>
        <v>1405702</v>
      </c>
      <c r="J134" s="11" t="n">
        <f aca="false">IF(Raw_Data!J134&lt;0,ABS(Raw_Data!J134),Raw_Data!J134)</f>
        <v>48039</v>
      </c>
      <c r="K134" s="11" t="n">
        <f aca="false">Raw_Data!K134</f>
        <v>1246</v>
      </c>
      <c r="L134" s="11" t="n">
        <f aca="false">IF(Raw_Data!L134="",ROUND(AVERAGEIFS(Raw_Data!$L$2:$L$839,Raw_Data!$C$2:$C$839,Raw_Data!C134),2),Raw_Data!L134)</f>
        <v>978978.02</v>
      </c>
      <c r="M134" s="13" t="n">
        <f aca="false">IFERROR(J134/I134,0)</f>
        <v>0.0341743840444134</v>
      </c>
      <c r="N134" s="14" t="n">
        <f aca="false">IFERROR(H134/J134,0)</f>
        <v>0.91097504111243</v>
      </c>
      <c r="O134" s="14" t="n">
        <f aca="false">IFERROR(H134/K134,0)</f>
        <v>35.1222552166934</v>
      </c>
      <c r="P134" s="15" t="n">
        <f aca="false">IFERROR(L134/H134,0)</f>
        <v>22.3703358573458</v>
      </c>
      <c r="Q134" s="13" t="n">
        <f aca="false">IFERROR(K134/J134,0)</f>
        <v>0.0259372593101438</v>
      </c>
      <c r="R134" s="11" t="str">
        <f aca="false">IF(COUNTIF($A$2:A134,A134)&gt;1,"Duplicate - Remove","Unique")</f>
        <v>Unique</v>
      </c>
      <c r="S134" s="11" t="str">
        <f aca="false">TRIM(IF(Raw_Data!G134="","Region missing; ","")&amp;IF(Raw_Data!H134="","Spend imputed; ","")&amp;IF(Raw_Data!L134="","Revenue imputed; ","")&amp;IF(Raw_Data!J134&lt;0,"Clicks corrected; ",""))</f>
        <v/>
      </c>
    </row>
    <row r="135" customFormat="false" ht="15" hidden="false" customHeight="true" outlineLevel="0" collapsed="false">
      <c r="A135" s="11" t="n">
        <f aca="false">Raw_Data!A135</f>
        <v>1202</v>
      </c>
      <c r="B135" s="11" t="str">
        <f aca="false">PROPER(TRIM(Raw_Data!B135))</f>
        <v>Sunscreen Season Campaign</v>
      </c>
      <c r="C135" s="11" t="str">
        <f aca="false">IFERROR(INDEX(Lookup_Tables!$B$2:$B$26,MATCH(UPPER(TRIM(Raw_Data!C135)),Lookup_Tables!$C$2:$C$26,0)),"Unknown")</f>
        <v>Instagram</v>
      </c>
      <c r="D135" s="12" t="n">
        <f aca="false">IFERROR(IF(ISNUMBER(SEARCH("/",Raw_Data!D135)),DATE(VALUE(RIGHT(Raw_Data!D135,4)),VALUE(MID(Raw_Data!D135,FIND("/",Raw_Data!D135)+1,FIND("/",Raw_Data!D135,FIND("/",Raw_Data!D135)+1)-FIND("/",Raw_Data!D135)-1)),VALUE(LEFT(Raw_Data!D135,FIND("/",Raw_Data!D135)-1))),IF(ISNUMBER(VALUE(LEFT(Raw_Data!D135,4))),DATE(VALUE(LEFT(Raw_Data!D135,4)),VALUE(MID(Raw_Data!D135,6,2)),VALUE(MID(Raw_Data!D135,9,2))),DATEVALUE(Raw_Data!D135))),"")</f>
        <v>45575</v>
      </c>
      <c r="E135" s="12" t="n">
        <f aca="false">IFERROR(IF(ISNUMBER(SEARCH("/",Raw_Data!E135)),DATE(VALUE(RIGHT(Raw_Data!E135,4)),VALUE(MID(Raw_Data!E135,FIND("/",Raw_Data!E135)+1,FIND("/",Raw_Data!E135,FIND("/",Raw_Data!E135)+1)-FIND("/",Raw_Data!E135)-1)),VALUE(LEFT(Raw_Data!E135,FIND("/",Raw_Data!E135)-1))),IF(ISNUMBER(VALUE(LEFT(Raw_Data!E135,4))),DATE(VALUE(LEFT(Raw_Data!E135,4)),VALUE(MID(Raw_Data!E135,6,2)),VALUE(MID(Raw_Data!E135,9,2))),DATEVALUE(Raw_Data!E135))),"")</f>
        <v>45593</v>
      </c>
      <c r="F135" s="11" t="str">
        <f aca="false">Raw_Data!F135</f>
        <v>Female 18-24</v>
      </c>
      <c r="G135" s="11" t="str">
        <f aca="false">IF(TRIM(Raw_Data!G135)="","Unspecified",IFERROR(INDEX(Lookup_Tables!$F$2:$F$24,MATCH(UPPER(TRIM(Raw_Data!G135)),Lookup_Tables!$G$2:$G$24,0)),"Unknown"))</f>
        <v>Unspecified</v>
      </c>
      <c r="H135" s="11" t="n">
        <f aca="false">IF(Raw_Data!H135="",ROUND(AVERAGEIFS(Raw_Data!$H$2:$H$839,Raw_Data!$C$2:$C$839,Raw_Data!C135),2),Raw_Data!H135)</f>
        <v>33112.46</v>
      </c>
      <c r="I135" s="11" t="n">
        <f aca="false">Raw_Data!I135</f>
        <v>917490</v>
      </c>
      <c r="J135" s="11" t="n">
        <f aca="false">IF(Raw_Data!J135&lt;0,ABS(Raw_Data!J135),Raw_Data!J135)</f>
        <v>29942</v>
      </c>
      <c r="K135" s="11" t="n">
        <f aca="false">Raw_Data!K135</f>
        <v>670</v>
      </c>
      <c r="L135" s="11" t="n">
        <f aca="false">IF(Raw_Data!L135="",ROUND(AVERAGEIFS(Raw_Data!$L$2:$L$839,Raw_Data!$C$2:$C$839,Raw_Data!C135),2),Raw_Data!L135)</f>
        <v>796565.59</v>
      </c>
      <c r="M135" s="13" t="n">
        <f aca="false">IFERROR(J135/I135,0)</f>
        <v>0.0326346881164917</v>
      </c>
      <c r="N135" s="14" t="n">
        <f aca="false">IFERROR(H135/J135,0)</f>
        <v>1.10588671431434</v>
      </c>
      <c r="O135" s="14" t="n">
        <f aca="false">IFERROR(H135/K135,0)</f>
        <v>49.4215820895522</v>
      </c>
      <c r="P135" s="15" t="n">
        <f aca="false">IFERROR(L135/H135,0)</f>
        <v>24.05637001902</v>
      </c>
      <c r="Q135" s="13" t="n">
        <f aca="false">IFERROR(K135/J135,0)</f>
        <v>0.0223765947498497</v>
      </c>
      <c r="R135" s="11" t="str">
        <f aca="false">IF(COUNTIF($A$2:A135,A135)&gt;1,"Duplicate - Remove","Unique")</f>
        <v>Unique</v>
      </c>
      <c r="S135" s="11" t="str">
        <f aca="false">TRIM(IF(Raw_Data!G135="","Region missing; ","")&amp;IF(Raw_Data!H135="","Spend imputed; ","")&amp;IF(Raw_Data!L135="","Revenue imputed; ","")&amp;IF(Raw_Data!J135&lt;0,"Clicks corrected; ",""))</f>
        <v>Region missing;</v>
      </c>
    </row>
    <row r="136" customFormat="false" ht="15" hidden="false" customHeight="true" outlineLevel="0" collapsed="false">
      <c r="A136" s="11" t="n">
        <f aca="false">Raw_Data!A136</f>
        <v>1699</v>
      </c>
      <c r="B136" s="11" t="str">
        <f aca="false">PROPER(TRIM(Raw_Data!B136))</f>
        <v>Wedding Season Special</v>
      </c>
      <c r="C136" s="11" t="str">
        <f aca="false">IFERROR(INDEX(Lookup_Tables!$B$2:$B$26,MATCH(UPPER(TRIM(Raw_Data!C136)),Lookup_Tables!$C$2:$C$26,0)),"Unknown")</f>
        <v>Email</v>
      </c>
      <c r="D136" s="12" t="n">
        <f aca="false">IFERROR(IF(ISNUMBER(SEARCH("/",Raw_Data!D136)),DATE(VALUE(RIGHT(Raw_Data!D136,4)),VALUE(MID(Raw_Data!D136,FIND("/",Raw_Data!D136)+1,FIND("/",Raw_Data!D136,FIND("/",Raw_Data!D136)+1)-FIND("/",Raw_Data!D136)-1)),VALUE(LEFT(Raw_Data!D136,FIND("/",Raw_Data!D136)-1))),IF(ISNUMBER(VALUE(LEFT(Raw_Data!D136,4))),DATE(VALUE(LEFT(Raw_Data!D136,4)),VALUE(MID(Raw_Data!D136,6,2)),VALUE(MID(Raw_Data!D136,9,2))),DATEVALUE(Raw_Data!D136))),"")</f>
        <v>45386</v>
      </c>
      <c r="E136" s="12" t="n">
        <f aca="false">IFERROR(IF(ISNUMBER(SEARCH("/",Raw_Data!E136)),DATE(VALUE(RIGHT(Raw_Data!E136,4)),VALUE(MID(Raw_Data!E136,FIND("/",Raw_Data!E136)+1,FIND("/",Raw_Data!E136,FIND("/",Raw_Data!E136)+1)-FIND("/",Raw_Data!E136)-1)),VALUE(LEFT(Raw_Data!E136,FIND("/",Raw_Data!E136)-1))),IF(ISNUMBER(VALUE(LEFT(Raw_Data!E136,4))),DATE(VALUE(LEFT(Raw_Data!E136,4)),VALUE(MID(Raw_Data!E136,6,2)),VALUE(MID(Raw_Data!E136,9,2))),DATEVALUE(Raw_Data!E136))),"")</f>
        <v>45411</v>
      </c>
      <c r="F136" s="11" t="str">
        <f aca="false">Raw_Data!F136</f>
        <v>Male 18-24</v>
      </c>
      <c r="G136" s="11" t="str">
        <f aca="false">IF(TRIM(Raw_Data!G136)="","Unspecified",IFERROR(INDEX(Lookup_Tables!$F$2:$F$24,MATCH(UPPER(TRIM(Raw_Data!G136)),Lookup_Tables!$G$2:$G$24,0)),"Unknown"))</f>
        <v>South</v>
      </c>
      <c r="H136" s="11" t="n">
        <f aca="false">IF(Raw_Data!H136="",ROUND(AVERAGEIFS(Raw_Data!$H$2:$H$839,Raw_Data!$C$2:$C$839,Raw_Data!C136),2),Raw_Data!H136)</f>
        <v>3351.22</v>
      </c>
      <c r="I136" s="11" t="n">
        <f aca="false">Raw_Data!I136</f>
        <v>110689</v>
      </c>
      <c r="J136" s="11" t="n">
        <f aca="false">IF(Raw_Data!J136&lt;0,ABS(Raw_Data!J136),Raw_Data!J136)</f>
        <v>637</v>
      </c>
      <c r="K136" s="11" t="n">
        <f aca="false">Raw_Data!K136</f>
        <v>26</v>
      </c>
      <c r="L136" s="11" t="n">
        <f aca="false">IF(Raw_Data!L136="",ROUND(AVERAGEIFS(Raw_Data!$L$2:$L$839,Raw_Data!$C$2:$C$839,Raw_Data!C136),2),Raw_Data!L136)</f>
        <v>40897.02</v>
      </c>
      <c r="M136" s="13" t="n">
        <f aca="false">IFERROR(J136/I136,0)</f>
        <v>0.00575486272348653</v>
      </c>
      <c r="N136" s="14" t="n">
        <f aca="false">IFERROR(H136/J136,0)</f>
        <v>5.26094191522763</v>
      </c>
      <c r="O136" s="14" t="n">
        <f aca="false">IFERROR(H136/K136,0)</f>
        <v>128.893076923077</v>
      </c>
      <c r="P136" s="15" t="n">
        <f aca="false">IFERROR(L136/H136,0)</f>
        <v>12.2036213677407</v>
      </c>
      <c r="Q136" s="13" t="n">
        <f aca="false">IFERROR(K136/J136,0)</f>
        <v>0.0408163265306122</v>
      </c>
      <c r="R136" s="11" t="str">
        <f aca="false">IF(COUNTIF($A$2:A136,A136)&gt;1,"Duplicate - Remove","Unique")</f>
        <v>Unique</v>
      </c>
      <c r="S136" s="11" t="str">
        <f aca="false">TRIM(IF(Raw_Data!G136="","Region missing; ","")&amp;IF(Raw_Data!H136="","Spend imputed; ","")&amp;IF(Raw_Data!L136="","Revenue imputed; ","")&amp;IF(Raw_Data!J136&lt;0,"Clicks corrected; ",""))</f>
        <v/>
      </c>
    </row>
    <row r="137" customFormat="false" ht="15" hidden="false" customHeight="true" outlineLevel="0" collapsed="false">
      <c r="A137" s="11" t="n">
        <f aca="false">Raw_Data!A137</f>
        <v>1140</v>
      </c>
      <c r="B137" s="11" t="str">
        <f aca="false">PROPER(TRIM(Raw_Data!B137))</f>
        <v>Influencer Collab - Skincare</v>
      </c>
      <c r="C137" s="11" t="str">
        <f aca="false">IFERROR(INDEX(Lookup_Tables!$B$2:$B$26,MATCH(UPPER(TRIM(Raw_Data!C137)),Lookup_Tables!$C$2:$C$26,0)),"Unknown")</f>
        <v>Facebook</v>
      </c>
      <c r="D137" s="12" t="n">
        <f aca="false">IFERROR(IF(ISNUMBER(SEARCH("/",Raw_Data!D137)),DATE(VALUE(RIGHT(Raw_Data!D137,4)),VALUE(MID(Raw_Data!D137,FIND("/",Raw_Data!D137)+1,FIND("/",Raw_Data!D137,FIND("/",Raw_Data!D137)+1)-FIND("/",Raw_Data!D137)-1)),VALUE(LEFT(Raw_Data!D137,FIND("/",Raw_Data!D137)-1))),IF(ISNUMBER(VALUE(LEFT(Raw_Data!D137,4))),DATE(VALUE(LEFT(Raw_Data!D137,4)),VALUE(MID(Raw_Data!D137,6,2)),VALUE(MID(Raw_Data!D137,9,2))),DATEVALUE(Raw_Data!D137))),"")</f>
        <v>45397</v>
      </c>
      <c r="E137" s="12" t="n">
        <f aca="false">IFERROR(IF(ISNUMBER(SEARCH("/",Raw_Data!E137)),DATE(VALUE(RIGHT(Raw_Data!E137,4)),VALUE(MID(Raw_Data!E137,FIND("/",Raw_Data!E137)+1,FIND("/",Raw_Data!E137,FIND("/",Raw_Data!E137)+1)-FIND("/",Raw_Data!E137)-1)),VALUE(LEFT(Raw_Data!E137,FIND("/",Raw_Data!E137)-1))),IF(ISNUMBER(VALUE(LEFT(Raw_Data!E137,4))),DATE(VALUE(LEFT(Raw_Data!E137,4)),VALUE(MID(Raw_Data!E137,6,2)),VALUE(MID(Raw_Data!E137,9,2))),DATEVALUE(Raw_Data!E137))),"")</f>
        <v>45408</v>
      </c>
      <c r="F137" s="11" t="str">
        <f aca="false">Raw_Data!F137</f>
        <v>Female 35-44</v>
      </c>
      <c r="G137" s="11" t="str">
        <f aca="false">IF(TRIM(Raw_Data!G137)="","Unspecified",IFERROR(INDEX(Lookup_Tables!$F$2:$F$24,MATCH(UPPER(TRIM(Raw_Data!G137)),Lookup_Tables!$G$2:$G$24,0)),"Unknown"))</f>
        <v>Central</v>
      </c>
      <c r="H137" s="11" t="n">
        <f aca="false">IF(Raw_Data!H137="",ROUND(AVERAGEIFS(Raw_Data!$H$2:$H$839,Raw_Data!$C$2:$C$839,Raw_Data!C137),2),Raw_Data!H137)</f>
        <v>31083.27</v>
      </c>
      <c r="I137" s="11" t="n">
        <f aca="false">Raw_Data!I137</f>
        <v>879874</v>
      </c>
      <c r="J137" s="11" t="n">
        <f aca="false">IF(Raw_Data!J137&lt;0,ABS(Raw_Data!J137),Raw_Data!J137)</f>
        <v>20154</v>
      </c>
      <c r="K137" s="11" t="n">
        <f aca="false">Raw_Data!K137</f>
        <v>439</v>
      </c>
      <c r="L137" s="11" t="n">
        <f aca="false">IF(Raw_Data!L137="",ROUND(AVERAGEIFS(Raw_Data!$L$2:$L$839,Raw_Data!$C$2:$C$839,Raw_Data!C137),2),Raw_Data!L137)</f>
        <v>776832.55</v>
      </c>
      <c r="M137" s="13" t="n">
        <f aca="false">IFERROR(J137/I137,0)</f>
        <v>0.0229055523859098</v>
      </c>
      <c r="N137" s="14" t="n">
        <f aca="false">IFERROR(H137/J137,0)</f>
        <v>1.5422878832986</v>
      </c>
      <c r="O137" s="14" t="n">
        <f aca="false">IFERROR(H137/K137,0)</f>
        <v>70.804715261959</v>
      </c>
      <c r="P137" s="15" t="n">
        <f aca="false">IFERROR(L137/H137,0)</f>
        <v>24.9919828254878</v>
      </c>
      <c r="Q137" s="13" t="n">
        <f aca="false">IFERROR(K137/J137,0)</f>
        <v>0.021782276471172</v>
      </c>
      <c r="R137" s="11" t="str">
        <f aca="false">IF(COUNTIF($A$2:A137,A137)&gt;1,"Duplicate - Remove","Unique")</f>
        <v>Unique</v>
      </c>
      <c r="S137" s="11" t="str">
        <f aca="false">TRIM(IF(Raw_Data!G137="","Region missing; ","")&amp;IF(Raw_Data!H137="","Spend imputed; ","")&amp;IF(Raw_Data!L137="","Revenue imputed; ","")&amp;IF(Raw_Data!J137&lt;0,"Clicks corrected; ",""))</f>
        <v/>
      </c>
    </row>
    <row r="138" customFormat="false" ht="15" hidden="false" customHeight="true" outlineLevel="0" collapsed="false">
      <c r="A138" s="11" t="n">
        <f aca="false">Raw_Data!A138</f>
        <v>1135</v>
      </c>
      <c r="B138" s="11" t="str">
        <f aca="false">PROPER(TRIM(Raw_Data!B138))</f>
        <v>New Year Wellness</v>
      </c>
      <c r="C138" s="11" t="str">
        <f aca="false">IFERROR(INDEX(Lookup_Tables!$B$2:$B$26,MATCH(UPPER(TRIM(Raw_Data!C138)),Lookup_Tables!$C$2:$C$26,0)),"Unknown")</f>
        <v>Instagram</v>
      </c>
      <c r="D138" s="12" t="n">
        <f aca="false">IFERROR(IF(ISNUMBER(SEARCH("/",Raw_Data!D138)),DATE(VALUE(RIGHT(Raw_Data!D138,4)),VALUE(MID(Raw_Data!D138,FIND("/",Raw_Data!D138)+1,FIND("/",Raw_Data!D138,FIND("/",Raw_Data!D138)+1)-FIND("/",Raw_Data!D138)-1)),VALUE(LEFT(Raw_Data!D138,FIND("/",Raw_Data!D138)-1))),IF(ISNUMBER(VALUE(LEFT(Raw_Data!D138,4))),DATE(VALUE(LEFT(Raw_Data!D138,4)),VALUE(MID(Raw_Data!D138,6,2)),VALUE(MID(Raw_Data!D138,9,2))),DATEVALUE(Raw_Data!D138))),"")</f>
        <v>45479</v>
      </c>
      <c r="E138" s="12" t="n">
        <f aca="false">IFERROR(IF(ISNUMBER(SEARCH("/",Raw_Data!E138)),DATE(VALUE(RIGHT(Raw_Data!E138,4)),VALUE(MID(Raw_Data!E138,FIND("/",Raw_Data!E138)+1,FIND("/",Raw_Data!E138,FIND("/",Raw_Data!E138)+1)-FIND("/",Raw_Data!E138)-1)),VALUE(LEFT(Raw_Data!E138,FIND("/",Raw_Data!E138)-1))),IF(ISNUMBER(VALUE(LEFT(Raw_Data!E138,4))),DATE(VALUE(LEFT(Raw_Data!E138,4)),VALUE(MID(Raw_Data!E138,6,2)),VALUE(MID(Raw_Data!E138,9,2))),DATEVALUE(Raw_Data!E138))),"")</f>
        <v>45494</v>
      </c>
      <c r="F138" s="11" t="str">
        <f aca="false">Raw_Data!F138</f>
        <v>Female 35-44</v>
      </c>
      <c r="G138" s="11" t="str">
        <f aca="false">IF(TRIM(Raw_Data!G138)="","Unspecified",IFERROR(INDEX(Lookup_Tables!$F$2:$F$24,MATCH(UPPER(TRIM(Raw_Data!G138)),Lookup_Tables!$G$2:$G$24,0)),"Unknown"))</f>
        <v>North</v>
      </c>
      <c r="H138" s="11" t="n">
        <f aca="false">IF(Raw_Data!H138="",ROUND(AVERAGEIFS(Raw_Data!$H$2:$H$839,Raw_Data!$C$2:$C$839,Raw_Data!C138),2),Raw_Data!H138)</f>
        <v>31792.62</v>
      </c>
      <c r="I138" s="11" t="n">
        <f aca="false">Raw_Data!I138</f>
        <v>685411</v>
      </c>
      <c r="J138" s="11" t="n">
        <f aca="false">IF(Raw_Data!J138&lt;0,ABS(Raw_Data!J138),Raw_Data!J138)</f>
        <v>21164</v>
      </c>
      <c r="K138" s="11" t="n">
        <f aca="false">Raw_Data!K138</f>
        <v>993</v>
      </c>
      <c r="L138" s="11" t="n">
        <f aca="false">IF(Raw_Data!L138="",ROUND(AVERAGEIFS(Raw_Data!$L$2:$L$839,Raw_Data!$C$2:$C$839,Raw_Data!C138),2),Raw_Data!L138)</f>
        <v>1267770.5</v>
      </c>
      <c r="M138" s="13" t="n">
        <f aca="false">IFERROR(J138/I138,0)</f>
        <v>0.030877823670761</v>
      </c>
      <c r="N138" s="14" t="n">
        <f aca="false">IFERROR(H138/J138,0)</f>
        <v>1.5022027972028</v>
      </c>
      <c r="O138" s="14" t="n">
        <f aca="false">IFERROR(H138/K138,0)</f>
        <v>32.0167371601209</v>
      </c>
      <c r="P138" s="15" t="n">
        <f aca="false">IFERROR(L138/H138,0)</f>
        <v>39.8762511551423</v>
      </c>
      <c r="Q138" s="13" t="n">
        <f aca="false">IFERROR(K138/J138,0)</f>
        <v>0.0469192969192969</v>
      </c>
      <c r="R138" s="11" t="str">
        <f aca="false">IF(COUNTIF($A$2:A138,A138)&gt;1,"Duplicate - Remove","Unique")</f>
        <v>Unique</v>
      </c>
      <c r="S138" s="11" t="str">
        <f aca="false">TRIM(IF(Raw_Data!G138="","Region missing; ","")&amp;IF(Raw_Data!H138="","Spend imputed; ","")&amp;IF(Raw_Data!L138="","Revenue imputed; ","")&amp;IF(Raw_Data!J138&lt;0,"Clicks corrected; ",""))</f>
        <v/>
      </c>
    </row>
    <row r="139" customFormat="false" ht="15" hidden="false" customHeight="true" outlineLevel="0" collapsed="false">
      <c r="A139" s="11" t="n">
        <f aca="false">Raw_Data!A139</f>
        <v>1102</v>
      </c>
      <c r="B139" s="11" t="str">
        <f aca="false">PROPER(TRIM(Raw_Data!B139))</f>
        <v>Festive Gift Bundle</v>
      </c>
      <c r="C139" s="11" t="str">
        <f aca="false">IFERROR(INDEX(Lookup_Tables!$B$2:$B$26,MATCH(UPPER(TRIM(Raw_Data!C139)),Lookup_Tables!$C$2:$C$26,0)),"Unknown")</f>
        <v>YouTube</v>
      </c>
      <c r="D139" s="12" t="n">
        <f aca="false">IFERROR(IF(ISNUMBER(SEARCH("/",Raw_Data!D139)),DATE(VALUE(RIGHT(Raw_Data!D139,4)),VALUE(MID(Raw_Data!D139,FIND("/",Raw_Data!D139)+1,FIND("/",Raw_Data!D139,FIND("/",Raw_Data!D139)+1)-FIND("/",Raw_Data!D139)-1)),VALUE(LEFT(Raw_Data!D139,FIND("/",Raw_Data!D139)-1))),IF(ISNUMBER(VALUE(LEFT(Raw_Data!D139,4))),DATE(VALUE(LEFT(Raw_Data!D139,4)),VALUE(MID(Raw_Data!D139,6,2)),VALUE(MID(Raw_Data!D139,9,2))),DATEVALUE(Raw_Data!D139))),"")</f>
        <v>45618</v>
      </c>
      <c r="E139" s="12" t="n">
        <f aca="false">IFERROR(IF(ISNUMBER(SEARCH("/",Raw_Data!E139)),DATE(VALUE(RIGHT(Raw_Data!E139,4)),VALUE(MID(Raw_Data!E139,FIND("/",Raw_Data!E139)+1,FIND("/",Raw_Data!E139,FIND("/",Raw_Data!E139)+1)-FIND("/",Raw_Data!E139)-1)),VALUE(LEFT(Raw_Data!E139,FIND("/",Raw_Data!E139)-1))),IF(ISNUMBER(VALUE(LEFT(Raw_Data!E139,4))),DATE(VALUE(LEFT(Raw_Data!E139,4)),VALUE(MID(Raw_Data!E139,6,2)),VALUE(MID(Raw_Data!E139,9,2))),DATEVALUE(Raw_Data!E139))),"")</f>
        <v>45630</v>
      </c>
      <c r="F139" s="11" t="str">
        <f aca="false">Raw_Data!F139</f>
        <v>Male 18-24</v>
      </c>
      <c r="G139" s="11" t="str">
        <f aca="false">IF(TRIM(Raw_Data!G139)="","Unspecified",IFERROR(INDEX(Lookup_Tables!$F$2:$F$24,MATCH(UPPER(TRIM(Raw_Data!G139)),Lookup_Tables!$G$2:$G$24,0)),"Unknown"))</f>
        <v>South</v>
      </c>
      <c r="H139" s="11" t="n">
        <f aca="false">IF(Raw_Data!H139="",ROUND(AVERAGEIFS(Raw_Data!$H$2:$H$839,Raw_Data!$C$2:$C$839,Raw_Data!C139),2),Raw_Data!H139)</f>
        <v>22514.85</v>
      </c>
      <c r="I139" s="11" t="n">
        <f aca="false">Raw_Data!I139</f>
        <v>523635</v>
      </c>
      <c r="J139" s="11" t="n">
        <f aca="false">IF(Raw_Data!J139&lt;0,ABS(Raw_Data!J139),Raw_Data!J139)</f>
        <v>10039</v>
      </c>
      <c r="K139" s="11" t="n">
        <f aca="false">Raw_Data!K139</f>
        <v>579</v>
      </c>
      <c r="L139" s="11" t="n">
        <f aca="false">IF(Raw_Data!L139="",ROUND(AVERAGEIFS(Raw_Data!$L$2:$L$839,Raw_Data!$C$2:$C$839,Raw_Data!C139),2),Raw_Data!L139)</f>
        <v>318060.45</v>
      </c>
      <c r="M139" s="13" t="n">
        <f aca="false">IFERROR(J139/I139,0)</f>
        <v>0.0191717513153246</v>
      </c>
      <c r="N139" s="14" t="n">
        <f aca="false">IFERROR(H139/J139,0)</f>
        <v>2.24273832054986</v>
      </c>
      <c r="O139" s="14" t="n">
        <f aca="false">IFERROR(H139/K139,0)</f>
        <v>38.8857512953368</v>
      </c>
      <c r="P139" s="15" t="n">
        <f aca="false">IFERROR(L139/H139,0)</f>
        <v>14.1266963803889</v>
      </c>
      <c r="Q139" s="13" t="n">
        <f aca="false">IFERROR(K139/J139,0)</f>
        <v>0.0576750672377727</v>
      </c>
      <c r="R139" s="11" t="str">
        <f aca="false">IF(COUNTIF($A$2:A139,A139)&gt;1,"Duplicate - Remove","Unique")</f>
        <v>Unique</v>
      </c>
      <c r="S139" s="11" t="str">
        <f aca="false">TRIM(IF(Raw_Data!G139="","Region missing; ","")&amp;IF(Raw_Data!H139="","Spend imputed; ","")&amp;IF(Raw_Data!L139="","Revenue imputed; ","")&amp;IF(Raw_Data!J139&lt;0,"Clicks corrected; ",""))</f>
        <v/>
      </c>
    </row>
    <row r="140" customFormat="false" ht="15" hidden="false" customHeight="true" outlineLevel="0" collapsed="false">
      <c r="A140" s="11" t="n">
        <f aca="false">Raw_Data!A140</f>
        <v>1707</v>
      </c>
      <c r="B140" s="11" t="str">
        <f aca="false">PROPER(TRIM(Raw_Data!B140))</f>
        <v>Men'S Grooming Drive</v>
      </c>
      <c r="C140" s="11" t="str">
        <f aca="false">IFERROR(INDEX(Lookup_Tables!$B$2:$B$26,MATCH(UPPER(TRIM(Raw_Data!C140)),Lookup_Tables!$C$2:$C$26,0)),"Unknown")</f>
        <v>Facebook</v>
      </c>
      <c r="D140" s="12" t="n">
        <f aca="false">IFERROR(IF(ISNUMBER(SEARCH("/",Raw_Data!D140)),DATE(VALUE(RIGHT(Raw_Data!D140,4)),VALUE(MID(Raw_Data!D140,FIND("/",Raw_Data!D140)+1,FIND("/",Raw_Data!D140,FIND("/",Raw_Data!D140)+1)-FIND("/",Raw_Data!D140)-1)),VALUE(LEFT(Raw_Data!D140,FIND("/",Raw_Data!D140)-1))),IF(ISNUMBER(VALUE(LEFT(Raw_Data!D140,4))),DATE(VALUE(LEFT(Raw_Data!D140,4)),VALUE(MID(Raw_Data!D140,6,2)),VALUE(MID(Raw_Data!D140,9,2))),DATEVALUE(Raw_Data!D140))),"")</f>
        <v>45535</v>
      </c>
      <c r="E140" s="12" t="n">
        <f aca="false">IFERROR(IF(ISNUMBER(SEARCH("/",Raw_Data!E140)),DATE(VALUE(RIGHT(Raw_Data!E140,4)),VALUE(MID(Raw_Data!E140,FIND("/",Raw_Data!E140)+1,FIND("/",Raw_Data!E140,FIND("/",Raw_Data!E140)+1)-FIND("/",Raw_Data!E140)-1)),VALUE(LEFT(Raw_Data!E140,FIND("/",Raw_Data!E140)-1))),IF(ISNUMBER(VALUE(LEFT(Raw_Data!E140,4))),DATE(VALUE(LEFT(Raw_Data!E140,4)),VALUE(MID(Raw_Data!E140,6,2)),VALUE(MID(Raw_Data!E140,9,2))),DATEVALUE(Raw_Data!E140))),"")</f>
        <v>45550</v>
      </c>
      <c r="F140" s="11" t="str">
        <f aca="false">Raw_Data!F140</f>
        <v>Male 45+</v>
      </c>
      <c r="G140" s="11" t="str">
        <f aca="false">IF(TRIM(Raw_Data!G140)="","Unspecified",IFERROR(INDEX(Lookup_Tables!$F$2:$F$24,MATCH(UPPER(TRIM(Raw_Data!G140)),Lookup_Tables!$G$2:$G$24,0)),"Unknown"))</f>
        <v>East</v>
      </c>
      <c r="H140" s="11" t="n">
        <f aca="false">IF(Raw_Data!H140="",ROUND(AVERAGEIFS(Raw_Data!$H$2:$H$839,Raw_Data!$C$2:$C$839,Raw_Data!C140),2),Raw_Data!H140)</f>
        <v>13709.59</v>
      </c>
      <c r="I140" s="11" t="n">
        <f aca="false">Raw_Data!I140</f>
        <v>309576</v>
      </c>
      <c r="J140" s="11" t="n">
        <f aca="false">IF(Raw_Data!J140&lt;0,ABS(Raw_Data!J140),Raw_Data!J140)</f>
        <v>8999</v>
      </c>
      <c r="K140" s="11" t="n">
        <f aca="false">Raw_Data!K140</f>
        <v>190</v>
      </c>
      <c r="L140" s="11" t="n">
        <f aca="false">IF(Raw_Data!L140="",ROUND(AVERAGEIFS(Raw_Data!$L$2:$L$839,Raw_Data!$C$2:$C$839,Raw_Data!C140),2),Raw_Data!L140)</f>
        <v>309094.65</v>
      </c>
      <c r="M140" s="13" t="n">
        <f aca="false">IFERROR(J140/I140,0)</f>
        <v>0.0290687908623408</v>
      </c>
      <c r="N140" s="14" t="n">
        <f aca="false">IFERROR(H140/J140,0)</f>
        <v>1.52345705078342</v>
      </c>
      <c r="O140" s="14" t="n">
        <f aca="false">IFERROR(H140/K140,0)</f>
        <v>72.1557368421053</v>
      </c>
      <c r="P140" s="15" t="n">
        <f aca="false">IFERROR(L140/H140,0)</f>
        <v>22.5458711748491</v>
      </c>
      <c r="Q140" s="13" t="n">
        <f aca="false">IFERROR(K140/J140,0)</f>
        <v>0.0211134570507834</v>
      </c>
      <c r="R140" s="11" t="str">
        <f aca="false">IF(COUNTIF($A$2:A140,A140)&gt;1,"Duplicate - Remove","Unique")</f>
        <v>Unique</v>
      </c>
      <c r="S140" s="11" t="str">
        <f aca="false">TRIM(IF(Raw_Data!G140="","Region missing; ","")&amp;IF(Raw_Data!H140="","Spend imputed; ","")&amp;IF(Raw_Data!L140="","Revenue imputed; ","")&amp;IF(Raw_Data!J140&lt;0,"Clicks corrected; ",""))</f>
        <v/>
      </c>
    </row>
    <row r="141" customFormat="false" ht="15" hidden="false" customHeight="true" outlineLevel="0" collapsed="false">
      <c r="A141" s="11" t="n">
        <f aca="false">Raw_Data!A141</f>
        <v>1686</v>
      </c>
      <c r="B141" s="11" t="str">
        <f aca="false">PROPER(TRIM(Raw_Data!B141))</f>
        <v>Herbal Range Awareness</v>
      </c>
      <c r="C141" s="11" t="str">
        <f aca="false">IFERROR(INDEX(Lookup_Tables!$B$2:$B$26,MATCH(UPPER(TRIM(Raw_Data!C141)),Lookup_Tables!$C$2:$C$26,0)),"Unknown")</f>
        <v>Email</v>
      </c>
      <c r="D141" s="12" t="n">
        <f aca="false">IFERROR(IF(ISNUMBER(SEARCH("/",Raw_Data!D141)),DATE(VALUE(RIGHT(Raw_Data!D141,4)),VALUE(MID(Raw_Data!D141,FIND("/",Raw_Data!D141)+1,FIND("/",Raw_Data!D141,FIND("/",Raw_Data!D141)+1)-FIND("/",Raw_Data!D141)-1)),VALUE(LEFT(Raw_Data!D141,FIND("/",Raw_Data!D141)-1))),IF(ISNUMBER(VALUE(LEFT(Raw_Data!D141,4))),DATE(VALUE(LEFT(Raw_Data!D141,4)),VALUE(MID(Raw_Data!D141,6,2)),VALUE(MID(Raw_Data!D141,9,2))),DATEVALUE(Raw_Data!D141))),"")</f>
        <v>45534</v>
      </c>
      <c r="E141" s="12" t="n">
        <f aca="false">IFERROR(IF(ISNUMBER(SEARCH("/",Raw_Data!E141)),DATE(VALUE(RIGHT(Raw_Data!E141,4)),VALUE(MID(Raw_Data!E141,FIND("/",Raw_Data!E141)+1,FIND("/",Raw_Data!E141,FIND("/",Raw_Data!E141)+1)-FIND("/",Raw_Data!E141)-1)),VALUE(LEFT(Raw_Data!E141,FIND("/",Raw_Data!E141)-1))),IF(ISNUMBER(VALUE(LEFT(Raw_Data!E141,4))),DATE(VALUE(LEFT(Raw_Data!E141,4)),VALUE(MID(Raw_Data!E141,6,2)),VALUE(MID(Raw_Data!E141,9,2))),DATEVALUE(Raw_Data!E141))),"")</f>
        <v>45543</v>
      </c>
      <c r="F141" s="11" t="str">
        <f aca="false">Raw_Data!F141</f>
        <v>Female 45+</v>
      </c>
      <c r="G141" s="11" t="str">
        <f aca="false">IF(TRIM(Raw_Data!G141)="","Unspecified",IFERROR(INDEX(Lookup_Tables!$F$2:$F$24,MATCH(UPPER(TRIM(Raw_Data!G141)),Lookup_Tables!$G$2:$G$24,0)),"Unknown"))</f>
        <v>Central</v>
      </c>
      <c r="H141" s="11" t="n">
        <f aca="false">IF(Raw_Data!H141="",ROUND(AVERAGEIFS(Raw_Data!$H$2:$H$839,Raw_Data!$C$2:$C$839,Raw_Data!C141),2),Raw_Data!H141)</f>
        <v>2280.93</v>
      </c>
      <c r="I141" s="11" t="n">
        <f aca="false">Raw_Data!I141</f>
        <v>51959</v>
      </c>
      <c r="J141" s="11" t="n">
        <f aca="false">IF(Raw_Data!J141&lt;0,ABS(Raw_Data!J141),Raw_Data!J141)</f>
        <v>536</v>
      </c>
      <c r="K141" s="11" t="n">
        <f aca="false">Raw_Data!K141</f>
        <v>21</v>
      </c>
      <c r="L141" s="11" t="n">
        <f aca="false">IF(Raw_Data!L141="",ROUND(AVERAGEIFS(Raw_Data!$L$2:$L$839,Raw_Data!$C$2:$C$839,Raw_Data!C141),2),Raw_Data!L141)</f>
        <v>15023.83</v>
      </c>
      <c r="M141" s="13" t="n">
        <f aca="false">IFERROR(J141/I141,0)</f>
        <v>0.0103158259396832</v>
      </c>
      <c r="N141" s="14" t="n">
        <f aca="false">IFERROR(H141/J141,0)</f>
        <v>4.25546641791045</v>
      </c>
      <c r="O141" s="14" t="n">
        <f aca="false">IFERROR(H141/K141,0)</f>
        <v>108.615714285714</v>
      </c>
      <c r="P141" s="15" t="n">
        <f aca="false">IFERROR(L141/H141,0)</f>
        <v>6.58671243747068</v>
      </c>
      <c r="Q141" s="13" t="n">
        <f aca="false">IFERROR(K141/J141,0)</f>
        <v>0.0391791044776119</v>
      </c>
      <c r="R141" s="11" t="str">
        <f aca="false">IF(COUNTIF($A$2:A141,A141)&gt;1,"Duplicate - Remove","Unique")</f>
        <v>Unique</v>
      </c>
      <c r="S141" s="11" t="str">
        <f aca="false">TRIM(IF(Raw_Data!G141="","Region missing; ","")&amp;IF(Raw_Data!H141="","Spend imputed; ","")&amp;IF(Raw_Data!L141="","Revenue imputed; ","")&amp;IF(Raw_Data!J141&lt;0,"Clicks corrected; ",""))</f>
        <v/>
      </c>
    </row>
    <row r="142" customFormat="false" ht="15" hidden="false" customHeight="true" outlineLevel="0" collapsed="false">
      <c r="A142" s="11" t="n">
        <f aca="false">Raw_Data!A142</f>
        <v>1724</v>
      </c>
      <c r="B142" s="11" t="str">
        <f aca="false">PROPER(TRIM(Raw_Data!B142))</f>
        <v>Baby Care Trust Campaign</v>
      </c>
      <c r="C142" s="11" t="str">
        <f aca="false">IFERROR(INDEX(Lookup_Tables!$B$2:$B$26,MATCH(UPPER(TRIM(Raw_Data!C142)),Lookup_Tables!$C$2:$C$26,0)),"Unknown")</f>
        <v>Facebook</v>
      </c>
      <c r="D142" s="12" t="n">
        <f aca="false">IFERROR(IF(ISNUMBER(SEARCH("/",Raw_Data!D142)),DATE(VALUE(RIGHT(Raw_Data!D142,4)),VALUE(MID(Raw_Data!D142,FIND("/",Raw_Data!D142)+1,FIND("/",Raw_Data!D142,FIND("/",Raw_Data!D142)+1)-FIND("/",Raw_Data!D142)-1)),VALUE(LEFT(Raw_Data!D142,FIND("/",Raw_Data!D142)-1))),IF(ISNUMBER(VALUE(LEFT(Raw_Data!D142,4))),DATE(VALUE(LEFT(Raw_Data!D142,4)),VALUE(MID(Raw_Data!D142,6,2)),VALUE(MID(Raw_Data!D142,9,2))),DATEVALUE(Raw_Data!D142))),"")</f>
        <v>45611</v>
      </c>
      <c r="E142" s="12" t="n">
        <f aca="false">IFERROR(IF(ISNUMBER(SEARCH("/",Raw_Data!E142)),DATE(VALUE(RIGHT(Raw_Data!E142,4)),VALUE(MID(Raw_Data!E142,FIND("/",Raw_Data!E142)+1,FIND("/",Raw_Data!E142,FIND("/",Raw_Data!E142)+1)-FIND("/",Raw_Data!E142)-1)),VALUE(LEFT(Raw_Data!E142,FIND("/",Raw_Data!E142)-1))),IF(ISNUMBER(VALUE(LEFT(Raw_Data!E142,4))),DATE(VALUE(LEFT(Raw_Data!E142,4)),VALUE(MID(Raw_Data!E142,6,2)),VALUE(MID(Raw_Data!E142,9,2))),DATEVALUE(Raw_Data!E142))),"")</f>
        <v>45626</v>
      </c>
      <c r="F142" s="11" t="str">
        <f aca="false">Raw_Data!F142</f>
        <v>Female 35-44</v>
      </c>
      <c r="G142" s="11" t="str">
        <f aca="false">IF(TRIM(Raw_Data!G142)="","Unspecified",IFERROR(INDEX(Lookup_Tables!$F$2:$F$24,MATCH(UPPER(TRIM(Raw_Data!G142)),Lookup_Tables!$G$2:$G$24,0)),"Unknown"))</f>
        <v>Central</v>
      </c>
      <c r="H142" s="11" t="n">
        <f aca="false">IF(Raw_Data!H142="",ROUND(AVERAGEIFS(Raw_Data!$H$2:$H$839,Raw_Data!$C$2:$C$839,Raw_Data!C142),2),Raw_Data!H142)</f>
        <v>29286.36</v>
      </c>
      <c r="I142" s="11" t="n">
        <f aca="false">Raw_Data!I142</f>
        <v>778057</v>
      </c>
      <c r="J142" s="11" t="n">
        <f aca="false">IF(Raw_Data!J142&lt;0,ABS(Raw_Data!J142),Raw_Data!J142)</f>
        <v>24907</v>
      </c>
      <c r="K142" s="11" t="n">
        <f aca="false">Raw_Data!K142</f>
        <v>1900</v>
      </c>
      <c r="L142" s="11" t="n">
        <f aca="false">IF(Raw_Data!L142="",ROUND(AVERAGEIFS(Raw_Data!$L$2:$L$839,Raw_Data!$C$2:$C$839,Raw_Data!C142),2),Raw_Data!L142)</f>
        <v>2670162.91</v>
      </c>
      <c r="M142" s="13" t="n">
        <f aca="false">IFERROR(J142/I142,0)</f>
        <v>0.0320117934804262</v>
      </c>
      <c r="N142" s="14" t="n">
        <f aca="false">IFERROR(H142/J142,0)</f>
        <v>1.17582848195286</v>
      </c>
      <c r="O142" s="14" t="n">
        <f aca="false">IFERROR(H142/K142,0)</f>
        <v>15.4138736842105</v>
      </c>
      <c r="P142" s="15" t="n">
        <f aca="false">IFERROR(L142/H142,0)</f>
        <v>91.1742842060263</v>
      </c>
      <c r="Q142" s="13" t="n">
        <f aca="false">IFERROR(K142/J142,0)</f>
        <v>0.0762837756454009</v>
      </c>
      <c r="R142" s="11" t="str">
        <f aca="false">IF(COUNTIF($A$2:A142,A142)&gt;1,"Duplicate - Remove","Unique")</f>
        <v>Unique</v>
      </c>
      <c r="S142" s="11" t="str">
        <f aca="false">TRIM(IF(Raw_Data!G142="","Region missing; ","")&amp;IF(Raw_Data!H142="","Spend imputed; ","")&amp;IF(Raw_Data!L142="","Revenue imputed; ","")&amp;IF(Raw_Data!J142&lt;0,"Clicks corrected; ",""))</f>
        <v/>
      </c>
    </row>
    <row r="143" customFormat="false" ht="15" hidden="false" customHeight="true" outlineLevel="0" collapsed="false">
      <c r="A143" s="11" t="n">
        <f aca="false">Raw_Data!A143</f>
        <v>1158</v>
      </c>
      <c r="B143" s="11" t="str">
        <f aca="false">PROPER(TRIM(Raw_Data!B143))</f>
        <v>Herbal Range Awareness</v>
      </c>
      <c r="C143" s="11" t="str">
        <f aca="false">IFERROR(INDEX(Lookup_Tables!$B$2:$B$26,MATCH(UPPER(TRIM(Raw_Data!C143)),Lookup_Tables!$C$2:$C$26,0)),"Unknown")</f>
        <v>Email</v>
      </c>
      <c r="D143" s="12" t="n">
        <f aca="false">IFERROR(IF(ISNUMBER(SEARCH("/",Raw_Data!D143)),DATE(VALUE(RIGHT(Raw_Data!D143,4)),VALUE(MID(Raw_Data!D143,FIND("/",Raw_Data!D143)+1,FIND("/",Raw_Data!D143,FIND("/",Raw_Data!D143)+1)-FIND("/",Raw_Data!D143)-1)),VALUE(LEFT(Raw_Data!D143,FIND("/",Raw_Data!D143)-1))),IF(ISNUMBER(VALUE(LEFT(Raw_Data!D143,4))),DATE(VALUE(LEFT(Raw_Data!D143,4)),VALUE(MID(Raw_Data!D143,6,2)),VALUE(MID(Raw_Data!D143,9,2))),DATEVALUE(Raw_Data!D143))),"")</f>
        <v>45353</v>
      </c>
      <c r="E143" s="12" t="n">
        <f aca="false">IFERROR(IF(ISNUMBER(SEARCH("/",Raw_Data!E143)),DATE(VALUE(RIGHT(Raw_Data!E143,4)),VALUE(MID(Raw_Data!E143,FIND("/",Raw_Data!E143)+1,FIND("/",Raw_Data!E143,FIND("/",Raw_Data!E143)+1)-FIND("/",Raw_Data!E143)-1)),VALUE(LEFT(Raw_Data!E143,FIND("/",Raw_Data!E143)-1))),IF(ISNUMBER(VALUE(LEFT(Raw_Data!E143,4))),DATE(VALUE(LEFT(Raw_Data!E143,4)),VALUE(MID(Raw_Data!E143,6,2)),VALUE(MID(Raw_Data!E143,9,2))),DATEVALUE(Raw_Data!E143))),"")</f>
        <v>45360</v>
      </c>
      <c r="F143" s="11" t="str">
        <f aca="false">Raw_Data!F143</f>
        <v>Male 25-34</v>
      </c>
      <c r="G143" s="11" t="str">
        <f aca="false">IF(TRIM(Raw_Data!G143)="","Unspecified",IFERROR(INDEX(Lookup_Tables!$F$2:$F$24,MATCH(UPPER(TRIM(Raw_Data!G143)),Lookup_Tables!$G$2:$G$24,0)),"Unknown"))</f>
        <v>South</v>
      </c>
      <c r="H143" s="11" t="n">
        <f aca="false">IF(Raw_Data!H143="",ROUND(AVERAGEIFS(Raw_Data!$H$2:$H$839,Raw_Data!$C$2:$C$839,Raw_Data!C143),2),Raw_Data!H143)</f>
        <v>6653.18</v>
      </c>
      <c r="I143" s="11" t="n">
        <f aca="false">Raw_Data!I143</f>
        <v>150397</v>
      </c>
      <c r="J143" s="11" t="n">
        <f aca="false">IF(Raw_Data!J143&lt;0,ABS(Raw_Data!J143),Raw_Data!J143)</f>
        <v>3931</v>
      </c>
      <c r="K143" s="11" t="n">
        <f aca="false">Raw_Data!K143</f>
        <v>205</v>
      </c>
      <c r="L143" s="11" t="n">
        <f aca="false">IF(Raw_Data!L143="",ROUND(AVERAGEIFS(Raw_Data!$L$2:$L$839,Raw_Data!$C$2:$C$839,Raw_Data!C143),2),Raw_Data!L143)</f>
        <v>135664.93</v>
      </c>
      <c r="M143" s="13" t="n">
        <f aca="false">IFERROR(J143/I143,0)</f>
        <v>0.0261374894446033</v>
      </c>
      <c r="N143" s="14" t="n">
        <f aca="false">IFERROR(H143/J143,0)</f>
        <v>1.69249046044264</v>
      </c>
      <c r="O143" s="14" t="n">
        <f aca="false">IFERROR(H143/K143,0)</f>
        <v>32.4545365853659</v>
      </c>
      <c r="P143" s="15" t="n">
        <f aca="false">IFERROR(L143/H143,0)</f>
        <v>20.3909904737284</v>
      </c>
      <c r="Q143" s="13" t="n">
        <f aca="false">IFERROR(K143/J143,0)</f>
        <v>0.052149580259476</v>
      </c>
      <c r="R143" s="11" t="str">
        <f aca="false">IF(COUNTIF($A$2:A143,A143)&gt;1,"Duplicate - Remove","Unique")</f>
        <v>Unique</v>
      </c>
      <c r="S143" s="11" t="str">
        <f aca="false">TRIM(IF(Raw_Data!G143="","Region missing; ","")&amp;IF(Raw_Data!H143="","Spend imputed; ","")&amp;IF(Raw_Data!L143="","Revenue imputed; ","")&amp;IF(Raw_Data!J143&lt;0,"Clicks corrected; ",""))</f>
        <v/>
      </c>
    </row>
    <row r="144" customFormat="false" ht="15" hidden="false" customHeight="true" outlineLevel="0" collapsed="false">
      <c r="A144" s="11" t="n">
        <f aca="false">Raw_Data!A144</f>
        <v>1360</v>
      </c>
      <c r="B144" s="11" t="str">
        <f aca="false">PROPER(TRIM(Raw_Data!B144))</f>
        <v>Men'S Grooming Drive</v>
      </c>
      <c r="C144" s="11" t="str">
        <f aca="false">IFERROR(INDEX(Lookup_Tables!$B$2:$B$26,MATCH(UPPER(TRIM(Raw_Data!C144)),Lookup_Tables!$C$2:$C$26,0)),"Unknown")</f>
        <v>YouTube</v>
      </c>
      <c r="D144" s="12" t="n">
        <f aca="false">IFERROR(IF(ISNUMBER(SEARCH("/",Raw_Data!D144)),DATE(VALUE(RIGHT(Raw_Data!D144,4)),VALUE(MID(Raw_Data!D144,FIND("/",Raw_Data!D144)+1,FIND("/",Raw_Data!D144,FIND("/",Raw_Data!D144)+1)-FIND("/",Raw_Data!D144)-1)),VALUE(LEFT(Raw_Data!D144,FIND("/",Raw_Data!D144)-1))),IF(ISNUMBER(VALUE(LEFT(Raw_Data!D144,4))),DATE(VALUE(LEFT(Raw_Data!D144,4)),VALUE(MID(Raw_Data!D144,6,2)),VALUE(MID(Raw_Data!D144,9,2))),DATEVALUE(Raw_Data!D144))),"")</f>
        <v>45460</v>
      </c>
      <c r="E144" s="12" t="n">
        <f aca="false">IFERROR(IF(ISNUMBER(SEARCH("/",Raw_Data!E144)),DATE(VALUE(RIGHT(Raw_Data!E144,4)),VALUE(MID(Raw_Data!E144,FIND("/",Raw_Data!E144)+1,FIND("/",Raw_Data!E144,FIND("/",Raw_Data!E144)+1)-FIND("/",Raw_Data!E144)-1)),VALUE(LEFT(Raw_Data!E144,FIND("/",Raw_Data!E144)-1))),IF(ISNUMBER(VALUE(LEFT(Raw_Data!E144,4))),DATE(VALUE(LEFT(Raw_Data!E144,4)),VALUE(MID(Raw_Data!E144,6,2)),VALUE(MID(Raw_Data!E144,9,2))),DATEVALUE(Raw_Data!E144))),"")</f>
        <v>45483</v>
      </c>
      <c r="F144" s="11" t="str">
        <f aca="false">Raw_Data!F144</f>
        <v>Male 35-44</v>
      </c>
      <c r="G144" s="11" t="str">
        <f aca="false">IF(TRIM(Raw_Data!G144)="","Unspecified",IFERROR(INDEX(Lookup_Tables!$F$2:$F$24,MATCH(UPPER(TRIM(Raw_Data!G144)),Lookup_Tables!$G$2:$G$24,0)),"Unknown"))</f>
        <v>Central</v>
      </c>
      <c r="H144" s="11" t="n">
        <f aca="false">IF(Raw_Data!H144="",ROUND(AVERAGEIFS(Raw_Data!$H$2:$H$839,Raw_Data!$C$2:$C$839,Raw_Data!C144),2),Raw_Data!H144)</f>
        <v>44246.3</v>
      </c>
      <c r="I144" s="11" t="n">
        <f aca="false">Raw_Data!I144</f>
        <v>1491514</v>
      </c>
      <c r="J144" s="11" t="n">
        <f aca="false">IF(Raw_Data!J144&lt;0,ABS(Raw_Data!J144),Raw_Data!J144)</f>
        <v>18014</v>
      </c>
      <c r="K144" s="11" t="n">
        <f aca="false">Raw_Data!K144</f>
        <v>713</v>
      </c>
      <c r="L144" s="11" t="n">
        <f aca="false">IF(Raw_Data!L144="",ROUND(AVERAGEIFS(Raw_Data!$L$2:$L$839,Raw_Data!$C$2:$C$839,Raw_Data!C144),2),Raw_Data!L144)</f>
        <v>398711.72</v>
      </c>
      <c r="M144" s="13" t="n">
        <f aca="false">IFERROR(J144/I144,0)</f>
        <v>0.0120776606857193</v>
      </c>
      <c r="N144" s="14" t="n">
        <f aca="false">IFERROR(H144/J144,0)</f>
        <v>2.45621738647718</v>
      </c>
      <c r="O144" s="14" t="n">
        <f aca="false">IFERROR(H144/K144,0)</f>
        <v>62.0565217391304</v>
      </c>
      <c r="P144" s="15" t="n">
        <f aca="false">IFERROR(L144/H144,0)</f>
        <v>9.01118782813478</v>
      </c>
      <c r="Q144" s="13" t="n">
        <f aca="false">IFERROR(K144/J144,0)</f>
        <v>0.0395803264127901</v>
      </c>
      <c r="R144" s="11" t="str">
        <f aca="false">IF(COUNTIF($A$2:A144,A144)&gt;1,"Duplicate - Remove","Unique")</f>
        <v>Unique</v>
      </c>
      <c r="S144" s="11" t="str">
        <f aca="false">TRIM(IF(Raw_Data!G144="","Region missing; ","")&amp;IF(Raw_Data!H144="","Spend imputed; ","")&amp;IF(Raw_Data!L144="","Revenue imputed; ","")&amp;IF(Raw_Data!J144&lt;0,"Clicks corrected; ",""))</f>
        <v/>
      </c>
    </row>
    <row r="145" customFormat="false" ht="15" hidden="false" customHeight="true" outlineLevel="0" collapsed="false">
      <c r="A145" s="11" t="n">
        <f aca="false">Raw_Data!A145</f>
        <v>1512</v>
      </c>
      <c r="B145" s="11" t="str">
        <f aca="false">PROPER(TRIM(Raw_Data!B145))</f>
        <v>Baby Care Trust Campaign</v>
      </c>
      <c r="C145" s="11" t="str">
        <f aca="false">IFERROR(INDEX(Lookup_Tables!$B$2:$B$26,MATCH(UPPER(TRIM(Raw_Data!C145)),Lookup_Tables!$C$2:$C$26,0)),"Unknown")</f>
        <v>Facebook</v>
      </c>
      <c r="D145" s="12" t="n">
        <f aca="false">IFERROR(IF(ISNUMBER(SEARCH("/",Raw_Data!D145)),DATE(VALUE(RIGHT(Raw_Data!D145,4)),VALUE(MID(Raw_Data!D145,FIND("/",Raw_Data!D145)+1,FIND("/",Raw_Data!D145,FIND("/",Raw_Data!D145)+1)-FIND("/",Raw_Data!D145)-1)),VALUE(LEFT(Raw_Data!D145,FIND("/",Raw_Data!D145)-1))),IF(ISNUMBER(VALUE(LEFT(Raw_Data!D145,4))),DATE(VALUE(LEFT(Raw_Data!D145,4)),VALUE(MID(Raw_Data!D145,6,2)),VALUE(MID(Raw_Data!D145,9,2))),DATEVALUE(Raw_Data!D145))),"")</f>
        <v>45512</v>
      </c>
      <c r="E145" s="12" t="n">
        <f aca="false">IFERROR(IF(ISNUMBER(SEARCH("/",Raw_Data!E145)),DATE(VALUE(RIGHT(Raw_Data!E145,4)),VALUE(MID(Raw_Data!E145,FIND("/",Raw_Data!E145)+1,FIND("/",Raw_Data!E145,FIND("/",Raw_Data!E145)+1)-FIND("/",Raw_Data!E145)-1)),VALUE(LEFT(Raw_Data!E145,FIND("/",Raw_Data!E145)-1))),IF(ISNUMBER(VALUE(LEFT(Raw_Data!E145,4))),DATE(VALUE(LEFT(Raw_Data!E145,4)),VALUE(MID(Raw_Data!E145,6,2)),VALUE(MID(Raw_Data!E145,9,2))),DATEVALUE(Raw_Data!E145))),"")</f>
        <v>45532</v>
      </c>
      <c r="F145" s="11" t="str">
        <f aca="false">Raw_Data!F145</f>
        <v>Male 35-44</v>
      </c>
      <c r="G145" s="11" t="str">
        <f aca="false">IF(TRIM(Raw_Data!G145)="","Unspecified",IFERROR(INDEX(Lookup_Tables!$F$2:$F$24,MATCH(UPPER(TRIM(Raw_Data!G145)),Lookup_Tables!$G$2:$G$24,0)),"Unknown"))</f>
        <v>West</v>
      </c>
      <c r="H145" s="11" t="n">
        <f aca="false">IF(Raw_Data!H145="",ROUND(AVERAGEIFS(Raw_Data!$H$2:$H$839,Raw_Data!$C$2:$C$839,Raw_Data!C145),2),Raw_Data!H145)</f>
        <v>8379.41</v>
      </c>
      <c r="I145" s="11" t="n">
        <f aca="false">Raw_Data!I145</f>
        <v>307528</v>
      </c>
      <c r="J145" s="11" t="n">
        <f aca="false">IF(Raw_Data!J145&lt;0,ABS(Raw_Data!J145),Raw_Data!J145)</f>
        <v>10326</v>
      </c>
      <c r="K145" s="11" t="n">
        <f aca="false">Raw_Data!K145</f>
        <v>597</v>
      </c>
      <c r="L145" s="11" t="n">
        <f aca="false">IF(Raw_Data!L145="",ROUND(AVERAGEIFS(Raw_Data!$L$2:$L$839,Raw_Data!$C$2:$C$839,Raw_Data!C145),2),Raw_Data!L145)</f>
        <v>442544.02</v>
      </c>
      <c r="M145" s="13" t="n">
        <f aca="false">IFERROR(J145/I145,0)</f>
        <v>0.0335774303478057</v>
      </c>
      <c r="N145" s="14" t="n">
        <f aca="false">IFERROR(H145/J145,0)</f>
        <v>0.811486538834011</v>
      </c>
      <c r="O145" s="14" t="n">
        <f aca="false">IFERROR(H145/K145,0)</f>
        <v>14.0358626465662</v>
      </c>
      <c r="P145" s="15" t="n">
        <f aca="false">IFERROR(L145/H145,0)</f>
        <v>52.8132672825414</v>
      </c>
      <c r="Q145" s="13" t="n">
        <f aca="false">IFERROR(K145/J145,0)</f>
        <v>0.057815223707147</v>
      </c>
      <c r="R145" s="11" t="str">
        <f aca="false">IF(COUNTIF($A$2:A145,A145)&gt;1,"Duplicate - Remove","Unique")</f>
        <v>Unique</v>
      </c>
      <c r="S145" s="11" t="str">
        <f aca="false">TRIM(IF(Raw_Data!G145="","Region missing; ","")&amp;IF(Raw_Data!H145="","Spend imputed; ","")&amp;IF(Raw_Data!L145="","Revenue imputed; ","")&amp;IF(Raw_Data!J145&lt;0,"Clicks corrected; ",""))</f>
        <v/>
      </c>
    </row>
    <row r="146" customFormat="false" ht="15" hidden="false" customHeight="true" outlineLevel="0" collapsed="false">
      <c r="A146" s="11" t="n">
        <f aca="false">Raw_Data!A146</f>
        <v>1397</v>
      </c>
      <c r="B146" s="11" t="str">
        <f aca="false">PROPER(TRIM(Raw_Data!B146))</f>
        <v>Baby Care Trust Campaign</v>
      </c>
      <c r="C146" s="11" t="str">
        <f aca="false">IFERROR(INDEX(Lookup_Tables!$B$2:$B$26,MATCH(UPPER(TRIM(Raw_Data!C146)),Lookup_Tables!$C$2:$C$26,0)),"Unknown")</f>
        <v>Google Ads</v>
      </c>
      <c r="D146" s="12" t="n">
        <f aca="false">IFERROR(IF(ISNUMBER(SEARCH("/",Raw_Data!D146)),DATE(VALUE(RIGHT(Raw_Data!D146,4)),VALUE(MID(Raw_Data!D146,FIND("/",Raw_Data!D146)+1,FIND("/",Raw_Data!D146,FIND("/",Raw_Data!D146)+1)-FIND("/",Raw_Data!D146)-1)),VALUE(LEFT(Raw_Data!D146,FIND("/",Raw_Data!D146)-1))),IF(ISNUMBER(VALUE(LEFT(Raw_Data!D146,4))),DATE(VALUE(LEFT(Raw_Data!D146,4)),VALUE(MID(Raw_Data!D146,6,2)),VALUE(MID(Raw_Data!D146,9,2))),DATEVALUE(Raw_Data!D146))),"")</f>
        <v>45352</v>
      </c>
      <c r="E146" s="12" t="n">
        <f aca="false">IFERROR(IF(ISNUMBER(SEARCH("/",Raw_Data!E146)),DATE(VALUE(RIGHT(Raw_Data!E146,4)),VALUE(MID(Raw_Data!E146,FIND("/",Raw_Data!E146)+1,FIND("/",Raw_Data!E146,FIND("/",Raw_Data!E146)+1)-FIND("/",Raw_Data!E146)-1)),VALUE(LEFT(Raw_Data!E146,FIND("/",Raw_Data!E146)-1))),IF(ISNUMBER(VALUE(LEFT(Raw_Data!E146,4))),DATE(VALUE(LEFT(Raw_Data!E146,4)),VALUE(MID(Raw_Data!E146,6,2)),VALUE(MID(Raw_Data!E146,9,2))),DATEVALUE(Raw_Data!E146))),"")</f>
        <v>45368</v>
      </c>
      <c r="F146" s="11" t="str">
        <f aca="false">Raw_Data!F146</f>
        <v>Female 35-44</v>
      </c>
      <c r="G146" s="11" t="str">
        <f aca="false">IF(TRIM(Raw_Data!G146)="","Unspecified",IFERROR(INDEX(Lookup_Tables!$F$2:$F$24,MATCH(UPPER(TRIM(Raw_Data!G146)),Lookup_Tables!$G$2:$G$24,0)),"Unknown"))</f>
        <v>East</v>
      </c>
      <c r="H146" s="11" t="n">
        <f aca="false">IF(Raw_Data!H146="",ROUND(AVERAGEIFS(Raw_Data!$H$2:$H$839,Raw_Data!$C$2:$C$839,Raw_Data!C146),2),Raw_Data!H146)</f>
        <v>79371.41</v>
      </c>
      <c r="I146" s="11" t="n">
        <f aca="false">Raw_Data!I146</f>
        <v>1792325</v>
      </c>
      <c r="J146" s="11" t="n">
        <f aca="false">IF(Raw_Data!J146&lt;0,ABS(Raw_Data!J146),Raw_Data!J146)</f>
        <v>35089</v>
      </c>
      <c r="K146" s="11" t="n">
        <f aca="false">Raw_Data!K146</f>
        <v>2294</v>
      </c>
      <c r="L146" s="11" t="n">
        <f aca="false">IF(Raw_Data!L146="",ROUND(AVERAGEIFS(Raw_Data!$L$2:$L$839,Raw_Data!$C$2:$C$839,Raw_Data!C146),2),Raw_Data!L146)</f>
        <v>1275699.64</v>
      </c>
      <c r="M146" s="13" t="n">
        <f aca="false">IFERROR(J146/I146,0)</f>
        <v>0.0195773645962646</v>
      </c>
      <c r="N146" s="14" t="n">
        <f aca="false">IFERROR(H146/J146,0)</f>
        <v>2.2620026219043</v>
      </c>
      <c r="O146" s="14" t="n">
        <f aca="false">IFERROR(H146/K146,0)</f>
        <v>34.5995684394072</v>
      </c>
      <c r="P146" s="15" t="n">
        <f aca="false">IFERROR(L146/H146,0)</f>
        <v>16.072533422299</v>
      </c>
      <c r="Q146" s="13" t="n">
        <f aca="false">IFERROR(K146/J146,0)</f>
        <v>0.065376613753598</v>
      </c>
      <c r="R146" s="11" t="str">
        <f aca="false">IF(COUNTIF($A$2:A146,A146)&gt;1,"Duplicate - Remove","Unique")</f>
        <v>Unique</v>
      </c>
      <c r="S146" s="11" t="str">
        <f aca="false">TRIM(IF(Raw_Data!G146="","Region missing; ","")&amp;IF(Raw_Data!H146="","Spend imputed; ","")&amp;IF(Raw_Data!L146="","Revenue imputed; ","")&amp;IF(Raw_Data!J146&lt;0,"Clicks corrected; ",""))</f>
        <v/>
      </c>
    </row>
    <row r="147" customFormat="false" ht="15" hidden="false" customHeight="true" outlineLevel="0" collapsed="false">
      <c r="A147" s="11" t="n">
        <f aca="false">Raw_Data!A147</f>
        <v>1600</v>
      </c>
      <c r="B147" s="11" t="str">
        <f aca="false">PROPER(TRIM(Raw_Data!B147))</f>
        <v>Festive Gift Bundle</v>
      </c>
      <c r="C147" s="11" t="str">
        <f aca="false">IFERROR(INDEX(Lookup_Tables!$B$2:$B$26,MATCH(UPPER(TRIM(Raw_Data!C147)),Lookup_Tables!$C$2:$C$26,0)),"Unknown")</f>
        <v>Google Ads</v>
      </c>
      <c r="D147" s="12" t="n">
        <f aca="false">IFERROR(IF(ISNUMBER(SEARCH("/",Raw_Data!D147)),DATE(VALUE(RIGHT(Raw_Data!D147,4)),VALUE(MID(Raw_Data!D147,FIND("/",Raw_Data!D147)+1,FIND("/",Raw_Data!D147,FIND("/",Raw_Data!D147)+1)-FIND("/",Raw_Data!D147)-1)),VALUE(LEFT(Raw_Data!D147,FIND("/",Raw_Data!D147)-1))),IF(ISNUMBER(VALUE(LEFT(Raw_Data!D147,4))),DATE(VALUE(LEFT(Raw_Data!D147,4)),VALUE(MID(Raw_Data!D147,6,2)),VALUE(MID(Raw_Data!D147,9,2))),DATEVALUE(Raw_Data!D147))),"")</f>
        <v>45532</v>
      </c>
      <c r="E147" s="12" t="n">
        <f aca="false">IFERROR(IF(ISNUMBER(SEARCH("/",Raw_Data!E147)),DATE(VALUE(RIGHT(Raw_Data!E147,4)),VALUE(MID(Raw_Data!E147,FIND("/",Raw_Data!E147)+1,FIND("/",Raw_Data!E147,FIND("/",Raw_Data!E147)+1)-FIND("/",Raw_Data!E147)-1)),VALUE(LEFT(Raw_Data!E147,FIND("/",Raw_Data!E147)-1))),IF(ISNUMBER(VALUE(LEFT(Raw_Data!E147,4))),DATE(VALUE(LEFT(Raw_Data!E147,4)),VALUE(MID(Raw_Data!E147,6,2)),VALUE(MID(Raw_Data!E147,9,2))),DATEVALUE(Raw_Data!E147))),"")</f>
        <v>45539</v>
      </c>
      <c r="F147" s="11" t="str">
        <f aca="false">Raw_Data!F147</f>
        <v>Female 35-44</v>
      </c>
      <c r="G147" s="11" t="str">
        <f aca="false">IF(TRIM(Raw_Data!G147)="","Unspecified",IFERROR(INDEX(Lookup_Tables!$F$2:$F$24,MATCH(UPPER(TRIM(Raw_Data!G147)),Lookup_Tables!$G$2:$G$24,0)),"Unknown"))</f>
        <v>North</v>
      </c>
      <c r="H147" s="11" t="n">
        <f aca="false">IF(Raw_Data!H147="",ROUND(AVERAGEIFS(Raw_Data!$H$2:$H$839,Raw_Data!$C$2:$C$839,Raw_Data!C147),2),Raw_Data!H147)</f>
        <v>31828.84</v>
      </c>
      <c r="I147" s="11" t="n">
        <f aca="false">Raw_Data!I147</f>
        <v>626769</v>
      </c>
      <c r="J147" s="11" t="n">
        <f aca="false">IF(Raw_Data!J147&lt;0,ABS(Raw_Data!J147),Raw_Data!J147)</f>
        <v>16184</v>
      </c>
      <c r="K147" s="11" t="n">
        <f aca="false">Raw_Data!K147</f>
        <v>771</v>
      </c>
      <c r="L147" s="11" t="n">
        <f aca="false">IF(Raw_Data!L147="",ROUND(AVERAGEIFS(Raw_Data!$L$2:$L$839,Raw_Data!$C$2:$C$839,Raw_Data!C147),2),Raw_Data!L147)</f>
        <v>639930.72</v>
      </c>
      <c r="M147" s="13" t="n">
        <f aca="false">IFERROR(J147/I147,0)</f>
        <v>0.0258213153490361</v>
      </c>
      <c r="N147" s="14" t="n">
        <f aca="false">IFERROR(H147/J147,0)</f>
        <v>1.96668561542264</v>
      </c>
      <c r="O147" s="14" t="n">
        <f aca="false">IFERROR(H147/K147,0)</f>
        <v>41.282542153048</v>
      </c>
      <c r="P147" s="15" t="n">
        <f aca="false">IFERROR(L147/H147,0)</f>
        <v>20.1053736171347</v>
      </c>
      <c r="Q147" s="13" t="n">
        <f aca="false">IFERROR(K147/J147,0)</f>
        <v>0.0476396440929313</v>
      </c>
      <c r="R147" s="11" t="str">
        <f aca="false">IF(COUNTIF($A$2:A147,A147)&gt;1,"Duplicate - Remove","Unique")</f>
        <v>Unique</v>
      </c>
      <c r="S147" s="11" t="str">
        <f aca="false">TRIM(IF(Raw_Data!G147="","Region missing; ","")&amp;IF(Raw_Data!H147="","Spend imputed; ","")&amp;IF(Raw_Data!L147="","Revenue imputed; ","")&amp;IF(Raw_Data!J147&lt;0,"Clicks corrected; ",""))</f>
        <v/>
      </c>
    </row>
    <row r="148" customFormat="false" ht="15" hidden="false" customHeight="true" outlineLevel="0" collapsed="false">
      <c r="A148" s="11" t="n">
        <f aca="false">Raw_Data!A148</f>
        <v>1785</v>
      </c>
      <c r="B148" s="11" t="str">
        <f aca="false">PROPER(TRIM(Raw_Data!B148))</f>
        <v>Clearance Sale Push</v>
      </c>
      <c r="C148" s="11" t="str">
        <f aca="false">IFERROR(INDEX(Lookup_Tables!$B$2:$B$26,MATCH(UPPER(TRIM(Raw_Data!C148)),Lookup_Tables!$C$2:$C$26,0)),"Unknown")</f>
        <v>Google Ads</v>
      </c>
      <c r="D148" s="12" t="n">
        <f aca="false">IFERROR(IF(ISNUMBER(SEARCH("/",Raw_Data!D148)),DATE(VALUE(RIGHT(Raw_Data!D148,4)),VALUE(MID(Raw_Data!D148,FIND("/",Raw_Data!D148)+1,FIND("/",Raw_Data!D148,FIND("/",Raw_Data!D148)+1)-FIND("/",Raw_Data!D148)-1)),VALUE(LEFT(Raw_Data!D148,FIND("/",Raw_Data!D148)-1))),IF(ISNUMBER(VALUE(LEFT(Raw_Data!D148,4))),DATE(VALUE(LEFT(Raw_Data!D148,4)),VALUE(MID(Raw_Data!D148,6,2)),VALUE(MID(Raw_Data!D148,9,2))),DATEVALUE(Raw_Data!D148))),"")</f>
        <v>45506</v>
      </c>
      <c r="E148" s="12" t="n">
        <f aca="false">IFERROR(IF(ISNUMBER(SEARCH("/",Raw_Data!E148)),DATE(VALUE(RIGHT(Raw_Data!E148,4)),VALUE(MID(Raw_Data!E148,FIND("/",Raw_Data!E148)+1,FIND("/",Raw_Data!E148,FIND("/",Raw_Data!E148)+1)-FIND("/",Raw_Data!E148)-1)),VALUE(LEFT(Raw_Data!E148,FIND("/",Raw_Data!E148)-1))),IF(ISNUMBER(VALUE(LEFT(Raw_Data!E148,4))),DATE(VALUE(LEFT(Raw_Data!E148,4)),VALUE(MID(Raw_Data!E148,6,2)),VALUE(MID(Raw_Data!E148,9,2))),DATEVALUE(Raw_Data!E148))),"")</f>
        <v>45536</v>
      </c>
      <c r="F148" s="11" t="str">
        <f aca="false">Raw_Data!F148</f>
        <v>Female 45+</v>
      </c>
      <c r="G148" s="11" t="str">
        <f aca="false">IF(TRIM(Raw_Data!G148)="","Unspecified",IFERROR(INDEX(Lookup_Tables!$F$2:$F$24,MATCH(UPPER(TRIM(Raw_Data!G148)),Lookup_Tables!$G$2:$G$24,0)),"Unknown"))</f>
        <v>Central</v>
      </c>
      <c r="H148" s="11" t="n">
        <f aca="false">IF(Raw_Data!H148="",ROUND(AVERAGEIFS(Raw_Data!$H$2:$H$839,Raw_Data!$C$2:$C$839,Raw_Data!C148),2),Raw_Data!H148)</f>
        <v>65598.03</v>
      </c>
      <c r="I148" s="11" t="n">
        <f aca="false">Raw_Data!I148</f>
        <v>2373210</v>
      </c>
      <c r="J148" s="11" t="n">
        <f aca="false">IF(Raw_Data!J148&lt;0,ABS(Raw_Data!J148),Raw_Data!J148)</f>
        <v>59300</v>
      </c>
      <c r="K148" s="11" t="n">
        <f aca="false">Raw_Data!K148</f>
        <v>1466</v>
      </c>
      <c r="L148" s="11" t="n">
        <f aca="false">IF(Raw_Data!L148="",ROUND(AVERAGEIFS(Raw_Data!$L$2:$L$839,Raw_Data!$C$2:$C$839,Raw_Data!C148),2),Raw_Data!L148)</f>
        <v>1493657.27</v>
      </c>
      <c r="M148" s="13" t="n">
        <f aca="false">IFERROR(J148/I148,0)</f>
        <v>0.0249872535510975</v>
      </c>
      <c r="N148" s="14" t="n">
        <f aca="false">IFERROR(H148/J148,0)</f>
        <v>1.10620623946037</v>
      </c>
      <c r="O148" s="14" t="n">
        <f aca="false">IFERROR(H148/K148,0)</f>
        <v>44.7462687585266</v>
      </c>
      <c r="P148" s="15" t="n">
        <f aca="false">IFERROR(L148/H148,0)</f>
        <v>22.769849490907</v>
      </c>
      <c r="Q148" s="13" t="n">
        <f aca="false">IFERROR(K148/J148,0)</f>
        <v>0.0247217537942664</v>
      </c>
      <c r="R148" s="11" t="str">
        <f aca="false">IF(COUNTIF($A$2:A148,A148)&gt;1,"Duplicate - Remove","Unique")</f>
        <v>Unique</v>
      </c>
      <c r="S148" s="11" t="str">
        <f aca="false">TRIM(IF(Raw_Data!G148="","Region missing; ","")&amp;IF(Raw_Data!H148="","Spend imputed; ","")&amp;IF(Raw_Data!L148="","Revenue imputed; ","")&amp;IF(Raw_Data!J148&lt;0,"Clicks corrected; ",""))</f>
        <v/>
      </c>
    </row>
    <row r="149" customFormat="false" ht="15" hidden="false" customHeight="true" outlineLevel="0" collapsed="false">
      <c r="A149" s="11" t="n">
        <f aca="false">Raw_Data!A149</f>
        <v>1521</v>
      </c>
      <c r="B149" s="11" t="str">
        <f aca="false">PROPER(TRIM(Raw_Data!B149))</f>
        <v>Anti-Ageing Serum Push</v>
      </c>
      <c r="C149" s="11" t="str">
        <f aca="false">IFERROR(INDEX(Lookup_Tables!$B$2:$B$26,MATCH(UPPER(TRIM(Raw_Data!C149)),Lookup_Tables!$C$2:$C$26,0)),"Unknown")</f>
        <v>Email</v>
      </c>
      <c r="D149" s="12" t="n">
        <f aca="false">IFERROR(IF(ISNUMBER(SEARCH("/",Raw_Data!D149)),DATE(VALUE(RIGHT(Raw_Data!D149,4)),VALUE(MID(Raw_Data!D149,FIND("/",Raw_Data!D149)+1,FIND("/",Raw_Data!D149,FIND("/",Raw_Data!D149)+1)-FIND("/",Raw_Data!D149)-1)),VALUE(LEFT(Raw_Data!D149,FIND("/",Raw_Data!D149)-1))),IF(ISNUMBER(VALUE(LEFT(Raw_Data!D149,4))),DATE(VALUE(LEFT(Raw_Data!D149,4)),VALUE(MID(Raw_Data!D149,6,2)),VALUE(MID(Raw_Data!D149,9,2))),DATEVALUE(Raw_Data!D149))),"")</f>
        <v>45550</v>
      </c>
      <c r="E149" s="12" t="n">
        <f aca="false">IFERROR(IF(ISNUMBER(SEARCH("/",Raw_Data!E149)),DATE(VALUE(RIGHT(Raw_Data!E149,4)),VALUE(MID(Raw_Data!E149,FIND("/",Raw_Data!E149)+1,FIND("/",Raw_Data!E149,FIND("/",Raw_Data!E149)+1)-FIND("/",Raw_Data!E149)-1)),VALUE(LEFT(Raw_Data!E149,FIND("/",Raw_Data!E149)-1))),IF(ISNUMBER(VALUE(LEFT(Raw_Data!E149,4))),DATE(VALUE(LEFT(Raw_Data!E149,4)),VALUE(MID(Raw_Data!E149,6,2)),VALUE(MID(Raw_Data!E149,9,2))),DATEVALUE(Raw_Data!E149))),"")</f>
        <v>45558</v>
      </c>
      <c r="F149" s="11" t="str">
        <f aca="false">Raw_Data!F149</f>
        <v>Female 35-44</v>
      </c>
      <c r="G149" s="11" t="str">
        <f aca="false">IF(TRIM(Raw_Data!G149)="","Unspecified",IFERROR(INDEX(Lookup_Tables!$F$2:$F$24,MATCH(UPPER(TRIM(Raw_Data!G149)),Lookup_Tables!$G$2:$G$24,0)),"Unknown"))</f>
        <v>West</v>
      </c>
      <c r="H149" s="11" t="n">
        <f aca="false">IF(Raw_Data!H149="",ROUND(AVERAGEIFS(Raw_Data!$H$2:$H$839,Raw_Data!$C$2:$C$839,Raw_Data!C149),2),Raw_Data!H149)</f>
        <v>5038.54</v>
      </c>
      <c r="I149" s="11" t="n">
        <f aca="false">Raw_Data!I149</f>
        <v>124957</v>
      </c>
      <c r="J149" s="11" t="n">
        <f aca="false">IF(Raw_Data!J149&lt;0,ABS(Raw_Data!J149),Raw_Data!J149)</f>
        <v>3481</v>
      </c>
      <c r="K149" s="11" t="n">
        <f aca="false">Raw_Data!K149</f>
        <v>258</v>
      </c>
      <c r="L149" s="11" t="n">
        <f aca="false">IF(Raw_Data!L149="",ROUND(AVERAGEIFS(Raw_Data!$L$2:$L$839,Raw_Data!$C$2:$C$839,Raw_Data!C149),2),Raw_Data!L149)</f>
        <v>403548.1</v>
      </c>
      <c r="M149" s="13" t="n">
        <f aca="false">IFERROR(J149/I149,0)</f>
        <v>0.0278575830085549</v>
      </c>
      <c r="N149" s="14" t="n">
        <f aca="false">IFERROR(H149/J149,0)</f>
        <v>1.44744039069233</v>
      </c>
      <c r="O149" s="14" t="n">
        <f aca="false">IFERROR(H149/K149,0)</f>
        <v>19.5292248062016</v>
      </c>
      <c r="P149" s="15" t="n">
        <f aca="false">IFERROR(L149/H149,0)</f>
        <v>80.0922687921501</v>
      </c>
      <c r="Q149" s="13" t="n">
        <f aca="false">IFERROR(K149/J149,0)</f>
        <v>0.0741166331513933</v>
      </c>
      <c r="R149" s="11" t="str">
        <f aca="false">IF(COUNTIF($A$2:A149,A149)&gt;1,"Duplicate - Remove","Unique")</f>
        <v>Unique</v>
      </c>
      <c r="S149" s="11" t="str">
        <f aca="false">TRIM(IF(Raw_Data!G149="","Region missing; ","")&amp;IF(Raw_Data!H149="","Spend imputed; ","")&amp;IF(Raw_Data!L149="","Revenue imputed; ","")&amp;IF(Raw_Data!J149&lt;0,"Clicks corrected; ",""))</f>
        <v/>
      </c>
    </row>
    <row r="150" customFormat="false" ht="15" hidden="false" customHeight="true" outlineLevel="0" collapsed="false">
      <c r="A150" s="11" t="n">
        <f aca="false">Raw_Data!A150</f>
        <v>1624</v>
      </c>
      <c r="B150" s="11" t="str">
        <f aca="false">PROPER(TRIM(Raw_Data!B150))</f>
        <v>Wedding Season Special</v>
      </c>
      <c r="C150" s="11" t="str">
        <f aca="false">IFERROR(INDEX(Lookup_Tables!$B$2:$B$26,MATCH(UPPER(TRIM(Raw_Data!C150)),Lookup_Tables!$C$2:$C$26,0)),"Unknown")</f>
        <v>Email</v>
      </c>
      <c r="D150" s="12" t="n">
        <f aca="false">IFERROR(IF(ISNUMBER(SEARCH("/",Raw_Data!D150)),DATE(VALUE(RIGHT(Raw_Data!D150,4)),VALUE(MID(Raw_Data!D150,FIND("/",Raw_Data!D150)+1,FIND("/",Raw_Data!D150,FIND("/",Raw_Data!D150)+1)-FIND("/",Raw_Data!D150)-1)),VALUE(LEFT(Raw_Data!D150,FIND("/",Raw_Data!D150)-1))),IF(ISNUMBER(VALUE(LEFT(Raw_Data!D150,4))),DATE(VALUE(LEFT(Raw_Data!D150,4)),VALUE(MID(Raw_Data!D150,6,2)),VALUE(MID(Raw_Data!D150,9,2))),DATEVALUE(Raw_Data!D150))),"")</f>
        <v>45312</v>
      </c>
      <c r="E150" s="12" t="n">
        <f aca="false">IFERROR(IF(ISNUMBER(SEARCH("/",Raw_Data!E150)),DATE(VALUE(RIGHT(Raw_Data!E150,4)),VALUE(MID(Raw_Data!E150,FIND("/",Raw_Data!E150)+1,FIND("/",Raw_Data!E150,FIND("/",Raw_Data!E150)+1)-FIND("/",Raw_Data!E150)-1)),VALUE(LEFT(Raw_Data!E150,FIND("/",Raw_Data!E150)-1))),IF(ISNUMBER(VALUE(LEFT(Raw_Data!E150,4))),DATE(VALUE(LEFT(Raw_Data!E150,4)),VALUE(MID(Raw_Data!E150,6,2)),VALUE(MID(Raw_Data!E150,9,2))),DATEVALUE(Raw_Data!E150))),"")</f>
        <v>45319</v>
      </c>
      <c r="F150" s="11" t="str">
        <f aca="false">Raw_Data!F150</f>
        <v>Male 45+</v>
      </c>
      <c r="G150" s="11" t="str">
        <f aca="false">IF(TRIM(Raw_Data!G150)="","Unspecified",IFERROR(INDEX(Lookup_Tables!$F$2:$F$24,MATCH(UPPER(TRIM(Raw_Data!G150)),Lookup_Tables!$G$2:$G$24,0)),"Unknown"))</f>
        <v>Central</v>
      </c>
      <c r="H150" s="11" t="n">
        <f aca="false">IF(Raw_Data!H150="",ROUND(AVERAGEIFS(Raw_Data!$H$2:$H$839,Raw_Data!$C$2:$C$839,Raw_Data!C150),2),Raw_Data!H150)</f>
        <v>3609.57</v>
      </c>
      <c r="I150" s="11" t="n">
        <f aca="false">Raw_Data!I150</f>
        <v>67386</v>
      </c>
      <c r="J150" s="11" t="n">
        <f aca="false">IF(Raw_Data!J150&lt;0,ABS(Raw_Data!J150),Raw_Data!J150)</f>
        <v>2311</v>
      </c>
      <c r="K150" s="11" t="n">
        <f aca="false">Raw_Data!K150</f>
        <v>126</v>
      </c>
      <c r="L150" s="11" t="n">
        <f aca="false">IF(Raw_Data!L150="",ROUND(AVERAGEIFS(Raw_Data!$L$2:$L$839,Raw_Data!$C$2:$C$839,Raw_Data!C150),2),Raw_Data!L150)</f>
        <v>205248.14</v>
      </c>
      <c r="M150" s="13" t="n">
        <f aca="false">IFERROR(J150/I150,0)</f>
        <v>0.0342949574095509</v>
      </c>
      <c r="N150" s="14" t="n">
        <f aca="false">IFERROR(H150/J150,0)</f>
        <v>1.56190826482042</v>
      </c>
      <c r="O150" s="14" t="n">
        <f aca="false">IFERROR(H150/K150,0)</f>
        <v>28.647380952381</v>
      </c>
      <c r="P150" s="15" t="n">
        <f aca="false">IFERROR(L150/H150,0)</f>
        <v>56.8622135046557</v>
      </c>
      <c r="Q150" s="13" t="n">
        <f aca="false">IFERROR(K150/J150,0)</f>
        <v>0.054521852012116</v>
      </c>
      <c r="R150" s="11" t="str">
        <f aca="false">IF(COUNTIF($A$2:A150,A150)&gt;1,"Duplicate - Remove","Unique")</f>
        <v>Unique</v>
      </c>
      <c r="S150" s="11" t="str">
        <f aca="false">TRIM(IF(Raw_Data!G150="","Region missing; ","")&amp;IF(Raw_Data!H150="","Spend imputed; ","")&amp;IF(Raw_Data!L150="","Revenue imputed; ","")&amp;IF(Raw_Data!J150&lt;0,"Clicks corrected; ",""))</f>
        <v/>
      </c>
    </row>
    <row r="151" customFormat="false" ht="15" hidden="false" customHeight="true" outlineLevel="0" collapsed="false">
      <c r="A151" s="11" t="n">
        <f aca="false">Raw_Data!A151</f>
        <v>1089</v>
      </c>
      <c r="B151" s="11" t="str">
        <f aca="false">PROPER(TRIM(Raw_Data!B151))</f>
        <v>Anti-Ageing Serum Push</v>
      </c>
      <c r="C151" s="11" t="str">
        <f aca="false">IFERROR(INDEX(Lookup_Tables!$B$2:$B$26,MATCH(UPPER(TRIM(Raw_Data!C151)),Lookup_Tables!$C$2:$C$26,0)),"Unknown")</f>
        <v>Instagram</v>
      </c>
      <c r="D151" s="12" t="n">
        <f aca="false">IFERROR(IF(ISNUMBER(SEARCH("/",Raw_Data!D151)),DATE(VALUE(RIGHT(Raw_Data!D151,4)),VALUE(MID(Raw_Data!D151,FIND("/",Raw_Data!D151)+1,FIND("/",Raw_Data!D151,FIND("/",Raw_Data!D151)+1)-FIND("/",Raw_Data!D151)-1)),VALUE(LEFT(Raw_Data!D151,FIND("/",Raw_Data!D151)-1))),IF(ISNUMBER(VALUE(LEFT(Raw_Data!D151,4))),DATE(VALUE(LEFT(Raw_Data!D151,4)),VALUE(MID(Raw_Data!D151,6,2)),VALUE(MID(Raw_Data!D151,9,2))),DATEVALUE(Raw_Data!D151))),"")</f>
        <v>45356</v>
      </c>
      <c r="E151" s="12" t="n">
        <f aca="false">IFERROR(IF(ISNUMBER(SEARCH("/",Raw_Data!E151)),DATE(VALUE(RIGHT(Raw_Data!E151,4)),VALUE(MID(Raw_Data!E151,FIND("/",Raw_Data!E151)+1,FIND("/",Raw_Data!E151,FIND("/",Raw_Data!E151)+1)-FIND("/",Raw_Data!E151)-1)),VALUE(LEFT(Raw_Data!E151,FIND("/",Raw_Data!E151)-1))),IF(ISNUMBER(VALUE(LEFT(Raw_Data!E151,4))),DATE(VALUE(LEFT(Raw_Data!E151,4)),VALUE(MID(Raw_Data!E151,6,2)),VALUE(MID(Raw_Data!E151,9,2))),DATEVALUE(Raw_Data!E151))),"")</f>
        <v>45371</v>
      </c>
      <c r="F151" s="11" t="str">
        <f aca="false">Raw_Data!F151</f>
        <v>Female 25-34</v>
      </c>
      <c r="G151" s="11" t="str">
        <f aca="false">IF(TRIM(Raw_Data!G151)="","Unspecified",IFERROR(INDEX(Lookup_Tables!$F$2:$F$24,MATCH(UPPER(TRIM(Raw_Data!G151)),Lookup_Tables!$G$2:$G$24,0)),"Unknown"))</f>
        <v>Central</v>
      </c>
      <c r="H151" s="11" t="n">
        <f aca="false">IF(Raw_Data!H151="",ROUND(AVERAGEIFS(Raw_Data!$H$2:$H$839,Raw_Data!$C$2:$C$839,Raw_Data!C151),2),Raw_Data!H151)</f>
        <v>11856.58</v>
      </c>
      <c r="I151" s="11" t="n">
        <f aca="false">Raw_Data!I151</f>
        <v>315928</v>
      </c>
      <c r="J151" s="11" t="n">
        <f aca="false">IF(Raw_Data!J151&lt;0,ABS(Raw_Data!J151),Raw_Data!J151)</f>
        <v>6483</v>
      </c>
      <c r="K151" s="11" t="n">
        <f aca="false">Raw_Data!K151</f>
        <v>123</v>
      </c>
      <c r="L151" s="11" t="n">
        <f aca="false">IF(Raw_Data!L151="",ROUND(AVERAGEIFS(Raw_Data!$L$2:$L$839,Raw_Data!$C$2:$C$839,Raw_Data!C151),2),Raw_Data!L151)</f>
        <v>190911.73</v>
      </c>
      <c r="M151" s="13" t="n">
        <f aca="false">IFERROR(J151/I151,0)</f>
        <v>0.0205204983413942</v>
      </c>
      <c r="N151" s="14" t="n">
        <f aca="false">IFERROR(H151/J151,0)</f>
        <v>1.8288724356008</v>
      </c>
      <c r="O151" s="14" t="n">
        <f aca="false">IFERROR(H151/K151,0)</f>
        <v>96.3949593495935</v>
      </c>
      <c r="P151" s="15" t="n">
        <f aca="false">IFERROR(L151/H151,0)</f>
        <v>16.1017536254131</v>
      </c>
      <c r="Q151" s="13" t="n">
        <f aca="false">IFERROR(K151/J151,0)</f>
        <v>0.018972697825081</v>
      </c>
      <c r="R151" s="11" t="str">
        <f aca="false">IF(COUNTIF($A$2:A151,A151)&gt;1,"Duplicate - Remove","Unique")</f>
        <v>Unique</v>
      </c>
      <c r="S151" s="11" t="str">
        <f aca="false">TRIM(IF(Raw_Data!G151="","Region missing; ","")&amp;IF(Raw_Data!H151="","Spend imputed; ","")&amp;IF(Raw_Data!L151="","Revenue imputed; ","")&amp;IF(Raw_Data!J151&lt;0,"Clicks corrected; ",""))</f>
        <v/>
      </c>
    </row>
    <row r="152" customFormat="false" ht="15" hidden="false" customHeight="true" outlineLevel="0" collapsed="false">
      <c r="A152" s="11" t="n">
        <f aca="false">Raw_Data!A152</f>
        <v>1793</v>
      </c>
      <c r="B152" s="11" t="str">
        <f aca="false">PROPER(TRIM(Raw_Data!B152))</f>
        <v>Hair Care Revamp</v>
      </c>
      <c r="C152" s="11" t="str">
        <f aca="false">IFERROR(INDEX(Lookup_Tables!$B$2:$B$26,MATCH(UPPER(TRIM(Raw_Data!C152)),Lookup_Tables!$C$2:$C$26,0)),"Unknown")</f>
        <v>Google Ads</v>
      </c>
      <c r="D152" s="12" t="n">
        <f aca="false">IFERROR(IF(ISNUMBER(SEARCH("/",Raw_Data!D152)),DATE(VALUE(RIGHT(Raw_Data!D152,4)),VALUE(MID(Raw_Data!D152,FIND("/",Raw_Data!D152)+1,FIND("/",Raw_Data!D152,FIND("/",Raw_Data!D152)+1)-FIND("/",Raw_Data!D152)-1)),VALUE(LEFT(Raw_Data!D152,FIND("/",Raw_Data!D152)-1))),IF(ISNUMBER(VALUE(LEFT(Raw_Data!D152,4))),DATE(VALUE(LEFT(Raw_Data!D152,4)),VALUE(MID(Raw_Data!D152,6,2)),VALUE(MID(Raw_Data!D152,9,2))),DATEVALUE(Raw_Data!D152))),"")</f>
        <v>45537</v>
      </c>
      <c r="E152" s="12" t="n">
        <f aca="false">IFERROR(IF(ISNUMBER(SEARCH("/",Raw_Data!E152)),DATE(VALUE(RIGHT(Raw_Data!E152,4)),VALUE(MID(Raw_Data!E152,FIND("/",Raw_Data!E152)+1,FIND("/",Raw_Data!E152,FIND("/",Raw_Data!E152)+1)-FIND("/",Raw_Data!E152)-1)),VALUE(LEFT(Raw_Data!E152,FIND("/",Raw_Data!E152)-1))),IF(ISNUMBER(VALUE(LEFT(Raw_Data!E152,4))),DATE(VALUE(LEFT(Raw_Data!E152,4)),VALUE(MID(Raw_Data!E152,6,2)),VALUE(MID(Raw_Data!E152,9,2))),DATEVALUE(Raw_Data!E152))),"")</f>
        <v>45542</v>
      </c>
      <c r="F152" s="11" t="str">
        <f aca="false">Raw_Data!F152</f>
        <v>Male 18-24</v>
      </c>
      <c r="G152" s="11" t="str">
        <f aca="false">IF(TRIM(Raw_Data!G152)="","Unspecified",IFERROR(INDEX(Lookup_Tables!$F$2:$F$24,MATCH(UPPER(TRIM(Raw_Data!G152)),Lookup_Tables!$G$2:$G$24,0)),"Unknown"))</f>
        <v>West</v>
      </c>
      <c r="H152" s="11" t="n">
        <f aca="false">IF(Raw_Data!H152="",ROUND(AVERAGEIFS(Raw_Data!$H$2:$H$839,Raw_Data!$C$2:$C$839,Raw_Data!C152),2),Raw_Data!H152)</f>
        <v>19091.42</v>
      </c>
      <c r="I152" s="11" t="n">
        <f aca="false">Raw_Data!I152</f>
        <v>644053</v>
      </c>
      <c r="J152" s="11" t="n">
        <f aca="false">IF(Raw_Data!J152&lt;0,ABS(Raw_Data!J152),Raw_Data!J152)</f>
        <v>8208</v>
      </c>
      <c r="K152" s="11" t="n">
        <f aca="false">Raw_Data!K152</f>
        <v>459</v>
      </c>
      <c r="L152" s="11" t="n">
        <f aca="false">IF(Raw_Data!L152="",ROUND(AVERAGEIFS(Raw_Data!$L$2:$L$839,Raw_Data!$C$2:$C$839,Raw_Data!C152),2),Raw_Data!L152)</f>
        <v>607773.72</v>
      </c>
      <c r="M152" s="13" t="n">
        <f aca="false">IFERROR(J152/I152,0)</f>
        <v>0.0127442927833579</v>
      </c>
      <c r="N152" s="14" t="n">
        <f aca="false">IFERROR(H152/J152,0)</f>
        <v>2.32595272904483</v>
      </c>
      <c r="O152" s="14" t="n">
        <f aca="false">IFERROR(H152/K152,0)</f>
        <v>41.5935076252723</v>
      </c>
      <c r="P152" s="15" t="n">
        <f aca="false">IFERROR(L152/H152,0)</f>
        <v>31.8349143227691</v>
      </c>
      <c r="Q152" s="13" t="n">
        <f aca="false">IFERROR(K152/J152,0)</f>
        <v>0.055921052631579</v>
      </c>
      <c r="R152" s="11" t="str">
        <f aca="false">IF(COUNTIF($A$2:A152,A152)&gt;1,"Duplicate - Remove","Unique")</f>
        <v>Unique</v>
      </c>
      <c r="S152" s="11" t="str">
        <f aca="false">TRIM(IF(Raw_Data!G152="","Region missing; ","")&amp;IF(Raw_Data!H152="","Spend imputed; ","")&amp;IF(Raw_Data!L152="","Revenue imputed; ","")&amp;IF(Raw_Data!J152&lt;0,"Clicks corrected; ",""))</f>
        <v/>
      </c>
    </row>
    <row r="153" customFormat="false" ht="15" hidden="false" customHeight="true" outlineLevel="0" collapsed="false">
      <c r="A153" s="11" t="n">
        <f aca="false">Raw_Data!A153</f>
        <v>1366</v>
      </c>
      <c r="B153" s="11" t="str">
        <f aca="false">PROPER(TRIM(Raw_Data!B153))</f>
        <v>Summer Glow Launch</v>
      </c>
      <c r="C153" s="11" t="str">
        <f aca="false">IFERROR(INDEX(Lookup_Tables!$B$2:$B$26,MATCH(UPPER(TRIM(Raw_Data!C153)),Lookup_Tables!$C$2:$C$26,0)),"Unknown")</f>
        <v>YouTube</v>
      </c>
      <c r="D153" s="12" t="n">
        <f aca="false">IFERROR(IF(ISNUMBER(SEARCH("/",Raw_Data!D153)),DATE(VALUE(RIGHT(Raw_Data!D153,4)),VALUE(MID(Raw_Data!D153,FIND("/",Raw_Data!D153)+1,FIND("/",Raw_Data!D153,FIND("/",Raw_Data!D153)+1)-FIND("/",Raw_Data!D153)-1)),VALUE(LEFT(Raw_Data!D153,FIND("/",Raw_Data!D153)-1))),IF(ISNUMBER(VALUE(LEFT(Raw_Data!D153,4))),DATE(VALUE(LEFT(Raw_Data!D153,4)),VALUE(MID(Raw_Data!D153,6,2)),VALUE(MID(Raw_Data!D153,9,2))),DATEVALUE(Raw_Data!D153))),"")</f>
        <v>45393</v>
      </c>
      <c r="E153" s="12" t="n">
        <f aca="false">IFERROR(IF(ISNUMBER(SEARCH("/",Raw_Data!E153)),DATE(VALUE(RIGHT(Raw_Data!E153,4)),VALUE(MID(Raw_Data!E153,FIND("/",Raw_Data!E153)+1,FIND("/",Raw_Data!E153,FIND("/",Raw_Data!E153)+1)-FIND("/",Raw_Data!E153)-1)),VALUE(LEFT(Raw_Data!E153,FIND("/",Raw_Data!E153)-1))),IF(ISNUMBER(VALUE(LEFT(Raw_Data!E153,4))),DATE(VALUE(LEFT(Raw_Data!E153,4)),VALUE(MID(Raw_Data!E153,6,2)),VALUE(MID(Raw_Data!E153,9,2))),DATEVALUE(Raw_Data!E153))),"")</f>
        <v>45406</v>
      </c>
      <c r="F153" s="11" t="str">
        <f aca="false">Raw_Data!F153</f>
        <v>Male 45+</v>
      </c>
      <c r="G153" s="11" t="str">
        <f aca="false">IF(TRIM(Raw_Data!G153)="","Unspecified",IFERROR(INDEX(Lookup_Tables!$F$2:$F$24,MATCH(UPPER(TRIM(Raw_Data!G153)),Lookup_Tables!$G$2:$G$24,0)),"Unknown"))</f>
        <v>Central</v>
      </c>
      <c r="H153" s="11" t="n">
        <f aca="false">IF(Raw_Data!H153="",ROUND(AVERAGEIFS(Raw_Data!$H$2:$H$839,Raw_Data!$C$2:$C$839,Raw_Data!C153),2),Raw_Data!H153)</f>
        <v>78887.32</v>
      </c>
      <c r="I153" s="11" t="n">
        <f aca="false">Raw_Data!I153</f>
        <v>1281490</v>
      </c>
      <c r="J153" s="11" t="n">
        <f aca="false">IF(Raw_Data!J153&lt;0,ABS(Raw_Data!J153),Raw_Data!J153)</f>
        <v>30166</v>
      </c>
      <c r="K153" s="11" t="n">
        <f aca="false">Raw_Data!K153</f>
        <v>1569</v>
      </c>
      <c r="L153" s="11" t="n">
        <f aca="false">IF(Raw_Data!L153="",ROUND(AVERAGEIFS(Raw_Data!$L$2:$L$839,Raw_Data!$C$2:$C$839,Raw_Data!C153),2),Raw_Data!L153)</f>
        <v>888703.94</v>
      </c>
      <c r="M153" s="13" t="n">
        <f aca="false">IFERROR(J153/I153,0)</f>
        <v>0.0235397857181874</v>
      </c>
      <c r="N153" s="14" t="n">
        <f aca="false">IFERROR(H153/J153,0)</f>
        <v>2.61510707418949</v>
      </c>
      <c r="O153" s="14" t="n">
        <f aca="false">IFERROR(H153/K153,0)</f>
        <v>50.2787253027406</v>
      </c>
      <c r="P153" s="15" t="n">
        <f aca="false">IFERROR(L153/H153,0)</f>
        <v>11.2654852516222</v>
      </c>
      <c r="Q153" s="13" t="n">
        <f aca="false">IFERROR(K153/J153,0)</f>
        <v>0.0520121991646224</v>
      </c>
      <c r="R153" s="11" t="str">
        <f aca="false">IF(COUNTIF($A$2:A153,A153)&gt;1,"Duplicate - Remove","Unique")</f>
        <v>Unique</v>
      </c>
      <c r="S153" s="11" t="str">
        <f aca="false">TRIM(IF(Raw_Data!G153="","Region missing; ","")&amp;IF(Raw_Data!H153="","Spend imputed; ","")&amp;IF(Raw_Data!L153="","Revenue imputed; ","")&amp;IF(Raw_Data!J153&lt;0,"Clicks corrected; ",""))</f>
        <v/>
      </c>
    </row>
    <row r="154" customFormat="false" ht="15" hidden="false" customHeight="true" outlineLevel="0" collapsed="false">
      <c r="A154" s="11" t="n">
        <f aca="false">Raw_Data!A154</f>
        <v>1174</v>
      </c>
      <c r="B154" s="11" t="str">
        <f aca="false">PROPER(TRIM(Raw_Data!B154))</f>
        <v>Hair Care Revamp</v>
      </c>
      <c r="C154" s="11" t="str">
        <f aca="false">IFERROR(INDEX(Lookup_Tables!$B$2:$B$26,MATCH(UPPER(TRIM(Raw_Data!C154)),Lookup_Tables!$C$2:$C$26,0)),"Unknown")</f>
        <v>YouTube</v>
      </c>
      <c r="D154" s="12" t="n">
        <f aca="false">IFERROR(IF(ISNUMBER(SEARCH("/",Raw_Data!D154)),DATE(VALUE(RIGHT(Raw_Data!D154,4)),VALUE(MID(Raw_Data!D154,FIND("/",Raw_Data!D154)+1,FIND("/",Raw_Data!D154,FIND("/",Raw_Data!D154)+1)-FIND("/",Raw_Data!D154)-1)),VALUE(LEFT(Raw_Data!D154,FIND("/",Raw_Data!D154)-1))),IF(ISNUMBER(VALUE(LEFT(Raw_Data!D154,4))),DATE(VALUE(LEFT(Raw_Data!D154,4)),VALUE(MID(Raw_Data!D154,6,2)),VALUE(MID(Raw_Data!D154,9,2))),DATEVALUE(Raw_Data!D154))),"")</f>
        <v>45585</v>
      </c>
      <c r="E154" s="12" t="n">
        <f aca="false">IFERROR(IF(ISNUMBER(SEARCH("/",Raw_Data!E154)),DATE(VALUE(RIGHT(Raw_Data!E154,4)),VALUE(MID(Raw_Data!E154,FIND("/",Raw_Data!E154)+1,FIND("/",Raw_Data!E154,FIND("/",Raw_Data!E154)+1)-FIND("/",Raw_Data!E154)-1)),VALUE(LEFT(Raw_Data!E154,FIND("/",Raw_Data!E154)-1))),IF(ISNUMBER(VALUE(LEFT(Raw_Data!E154,4))),DATE(VALUE(LEFT(Raw_Data!E154,4)),VALUE(MID(Raw_Data!E154,6,2)),VALUE(MID(Raw_Data!E154,9,2))),DATEVALUE(Raw_Data!E154))),"")</f>
        <v>45597</v>
      </c>
      <c r="F154" s="11" t="str">
        <f aca="false">Raw_Data!F154</f>
        <v>Male 45+</v>
      </c>
      <c r="G154" s="11" t="str">
        <f aca="false">IF(TRIM(Raw_Data!G154)="","Unspecified",IFERROR(INDEX(Lookup_Tables!$F$2:$F$24,MATCH(UPPER(TRIM(Raw_Data!G154)),Lookup_Tables!$G$2:$G$24,0)),"Unknown"))</f>
        <v>Central</v>
      </c>
      <c r="H154" s="11" t="n">
        <f aca="false">IF(Raw_Data!H154="",ROUND(AVERAGEIFS(Raw_Data!$H$2:$H$839,Raw_Data!$C$2:$C$839,Raw_Data!C154),2),Raw_Data!H154)</f>
        <v>37413.91</v>
      </c>
      <c r="I154" s="11" t="n">
        <f aca="false">Raw_Data!I154</f>
        <v>930488</v>
      </c>
      <c r="J154" s="11" t="n">
        <f aca="false">IF(Raw_Data!J154&lt;0,ABS(Raw_Data!J154),Raw_Data!J154)</f>
        <v>28489</v>
      </c>
      <c r="K154" s="11" t="n">
        <f aca="false">Raw_Data!K154</f>
        <v>354</v>
      </c>
      <c r="L154" s="11" t="n">
        <f aca="false">IF(Raw_Data!L154="",ROUND(AVERAGEIFS(Raw_Data!$L$2:$L$839,Raw_Data!$C$2:$C$839,Raw_Data!C154),2),Raw_Data!L154)</f>
        <v>417107.19</v>
      </c>
      <c r="M154" s="13" t="n">
        <f aca="false">IFERROR(J154/I154,0)</f>
        <v>0.030617267498345</v>
      </c>
      <c r="N154" s="14" t="n">
        <f aca="false">IFERROR(H154/J154,0)</f>
        <v>1.31327565025097</v>
      </c>
      <c r="O154" s="14" t="n">
        <f aca="false">IFERROR(H154/K154,0)</f>
        <v>105.689011299435</v>
      </c>
      <c r="P154" s="15" t="n">
        <f aca="false">IFERROR(L154/H154,0)</f>
        <v>11.1484522734993</v>
      </c>
      <c r="Q154" s="13" t="n">
        <f aca="false">IFERROR(K154/J154,0)</f>
        <v>0.0124258485731335</v>
      </c>
      <c r="R154" s="11" t="str">
        <f aca="false">IF(COUNTIF($A$2:A154,A154)&gt;1,"Duplicate - Remove","Unique")</f>
        <v>Unique</v>
      </c>
      <c r="S154" s="11" t="str">
        <f aca="false">TRIM(IF(Raw_Data!G154="","Region missing; ","")&amp;IF(Raw_Data!H154="","Spend imputed; ","")&amp;IF(Raw_Data!L154="","Revenue imputed; ","")&amp;IF(Raw_Data!J154&lt;0,"Clicks corrected; ",""))</f>
        <v/>
      </c>
    </row>
    <row r="155" customFormat="false" ht="15" hidden="false" customHeight="true" outlineLevel="0" collapsed="false">
      <c r="A155" s="11" t="n">
        <f aca="false">Raw_Data!A155</f>
        <v>1104</v>
      </c>
      <c r="B155" s="11" t="str">
        <f aca="false">PROPER(TRIM(Raw_Data!B155))</f>
        <v>Festive Gift Bundle</v>
      </c>
      <c r="C155" s="11" t="str">
        <f aca="false">IFERROR(INDEX(Lookup_Tables!$B$2:$B$26,MATCH(UPPER(TRIM(Raw_Data!C155)),Lookup_Tables!$C$2:$C$26,0)),"Unknown")</f>
        <v>Email</v>
      </c>
      <c r="D155" s="12" t="n">
        <f aca="false">IFERROR(IF(ISNUMBER(SEARCH("/",Raw_Data!D155)),DATE(VALUE(RIGHT(Raw_Data!D155,4)),VALUE(MID(Raw_Data!D155,FIND("/",Raw_Data!D155)+1,FIND("/",Raw_Data!D155,FIND("/",Raw_Data!D155)+1)-FIND("/",Raw_Data!D155)-1)),VALUE(LEFT(Raw_Data!D155,FIND("/",Raw_Data!D155)-1))),IF(ISNUMBER(VALUE(LEFT(Raw_Data!D155,4))),DATE(VALUE(LEFT(Raw_Data!D155,4)),VALUE(MID(Raw_Data!D155,6,2)),VALUE(MID(Raw_Data!D155,9,2))),DATEVALUE(Raw_Data!D155))),"")</f>
        <v>45463</v>
      </c>
      <c r="E155" s="12" t="n">
        <f aca="false">IFERROR(IF(ISNUMBER(SEARCH("/",Raw_Data!E155)),DATE(VALUE(RIGHT(Raw_Data!E155,4)),VALUE(MID(Raw_Data!E155,FIND("/",Raw_Data!E155)+1,FIND("/",Raw_Data!E155,FIND("/",Raw_Data!E155)+1)-FIND("/",Raw_Data!E155)-1)),VALUE(LEFT(Raw_Data!E155,FIND("/",Raw_Data!E155)-1))),IF(ISNUMBER(VALUE(LEFT(Raw_Data!E155,4))),DATE(VALUE(LEFT(Raw_Data!E155,4)),VALUE(MID(Raw_Data!E155,6,2)),VALUE(MID(Raw_Data!E155,9,2))),DATEVALUE(Raw_Data!E155))),"")</f>
        <v>45477</v>
      </c>
      <c r="F155" s="11" t="str">
        <f aca="false">Raw_Data!F155</f>
        <v>Female 25-34</v>
      </c>
      <c r="G155" s="11" t="str">
        <f aca="false">IF(TRIM(Raw_Data!G155)="","Unspecified",IFERROR(INDEX(Lookup_Tables!$F$2:$F$24,MATCH(UPPER(TRIM(Raw_Data!G155)),Lookup_Tables!$G$2:$G$24,0)),"Unknown"))</f>
        <v>Unspecified</v>
      </c>
      <c r="H155" s="11" t="n">
        <f aca="false">IF(Raw_Data!H155="",ROUND(AVERAGEIFS(Raw_Data!$H$2:$H$839,Raw_Data!$C$2:$C$839,Raw_Data!C155),2),Raw_Data!H155)</f>
        <v>7923.7</v>
      </c>
      <c r="I155" s="11" t="n">
        <f aca="false">Raw_Data!I155</f>
        <v>226479</v>
      </c>
      <c r="J155" s="11" t="n">
        <f aca="false">IF(Raw_Data!J155&lt;0,ABS(Raw_Data!J155),Raw_Data!J155)</f>
        <v>4488</v>
      </c>
      <c r="K155" s="11" t="n">
        <f aca="false">Raw_Data!K155</f>
        <v>339</v>
      </c>
      <c r="L155" s="11" t="n">
        <f aca="false">IF(Raw_Data!L155="",ROUND(AVERAGEIFS(Raw_Data!$L$2:$L$839,Raw_Data!$C$2:$C$839,Raw_Data!C155),2),Raw_Data!L155)</f>
        <v>536988.41</v>
      </c>
      <c r="M155" s="13" t="n">
        <f aca="false">IFERROR(J155/I155,0)</f>
        <v>0.0198164068191753</v>
      </c>
      <c r="N155" s="14" t="n">
        <f aca="false">IFERROR(H155/J155,0)</f>
        <v>1.7655303030303</v>
      </c>
      <c r="O155" s="14" t="n">
        <f aca="false">IFERROR(H155/K155,0)</f>
        <v>23.3737463126844</v>
      </c>
      <c r="P155" s="15" t="n">
        <f aca="false">IFERROR(L155/H155,0)</f>
        <v>67.7699067354897</v>
      </c>
      <c r="Q155" s="13" t="n">
        <f aca="false">IFERROR(K155/J155,0)</f>
        <v>0.0755347593582888</v>
      </c>
      <c r="R155" s="11" t="str">
        <f aca="false">IF(COUNTIF($A$2:A155,A155)&gt;1,"Duplicate - Remove","Unique")</f>
        <v>Unique</v>
      </c>
      <c r="S155" s="11" t="str">
        <f aca="false">TRIM(IF(Raw_Data!G155="","Region missing; ","")&amp;IF(Raw_Data!H155="","Spend imputed; ","")&amp;IF(Raw_Data!L155="","Revenue imputed; ","")&amp;IF(Raw_Data!J155&lt;0,"Clicks corrected; ",""))</f>
        <v>Region missing;</v>
      </c>
    </row>
    <row r="156" customFormat="false" ht="15" hidden="false" customHeight="true" outlineLevel="0" collapsed="false">
      <c r="A156" s="11" t="n">
        <f aca="false">Raw_Data!A156</f>
        <v>1575</v>
      </c>
      <c r="B156" s="11" t="str">
        <f aca="false">PROPER(TRIM(Raw_Data!B156))</f>
        <v>Festive Gift Bundle</v>
      </c>
      <c r="C156" s="11" t="str">
        <f aca="false">IFERROR(INDEX(Lookup_Tables!$B$2:$B$26,MATCH(UPPER(TRIM(Raw_Data!C156)),Lookup_Tables!$C$2:$C$26,0)),"Unknown")</f>
        <v>Email</v>
      </c>
      <c r="D156" s="12" t="n">
        <f aca="false">IFERROR(IF(ISNUMBER(SEARCH("/",Raw_Data!D156)),DATE(VALUE(RIGHT(Raw_Data!D156,4)),VALUE(MID(Raw_Data!D156,FIND("/",Raw_Data!D156)+1,FIND("/",Raw_Data!D156,FIND("/",Raw_Data!D156)+1)-FIND("/",Raw_Data!D156)-1)),VALUE(LEFT(Raw_Data!D156,FIND("/",Raw_Data!D156)-1))),IF(ISNUMBER(VALUE(LEFT(Raw_Data!D156,4))),DATE(VALUE(LEFT(Raw_Data!D156,4)),VALUE(MID(Raw_Data!D156,6,2)),VALUE(MID(Raw_Data!D156,9,2))),DATEVALUE(Raw_Data!D156))),"")</f>
        <v>45532</v>
      </c>
      <c r="E156" s="12" t="n">
        <f aca="false">IFERROR(IF(ISNUMBER(SEARCH("/",Raw_Data!E156)),DATE(VALUE(RIGHT(Raw_Data!E156,4)),VALUE(MID(Raw_Data!E156,FIND("/",Raw_Data!E156)+1,FIND("/",Raw_Data!E156,FIND("/",Raw_Data!E156)+1)-FIND("/",Raw_Data!E156)-1)),VALUE(LEFT(Raw_Data!E156,FIND("/",Raw_Data!E156)-1))),IF(ISNUMBER(VALUE(LEFT(Raw_Data!E156,4))),DATE(VALUE(LEFT(Raw_Data!E156,4)),VALUE(MID(Raw_Data!E156,6,2)),VALUE(MID(Raw_Data!E156,9,2))),DATEVALUE(Raw_Data!E156))),"")</f>
        <v>45546</v>
      </c>
      <c r="F156" s="11" t="str">
        <f aca="false">Raw_Data!F156</f>
        <v>Male 35-44</v>
      </c>
      <c r="G156" s="11" t="str">
        <f aca="false">IF(TRIM(Raw_Data!G156)="","Unspecified",IFERROR(INDEX(Lookup_Tables!$F$2:$F$24,MATCH(UPPER(TRIM(Raw_Data!G156)),Lookup_Tables!$G$2:$G$24,0)),"Unknown"))</f>
        <v>East</v>
      </c>
      <c r="H156" s="11" t="n">
        <f aca="false">IF(Raw_Data!H156="",ROUND(AVERAGEIFS(Raw_Data!$H$2:$H$839,Raw_Data!$C$2:$C$839,Raw_Data!C156),2),Raw_Data!H156)</f>
        <v>1218.1</v>
      </c>
      <c r="I156" s="11" t="n">
        <f aca="false">Raw_Data!I156</f>
        <v>29487</v>
      </c>
      <c r="J156" s="11" t="n">
        <f aca="false">IF(Raw_Data!J156&lt;0,ABS(Raw_Data!J156),Raw_Data!J156)</f>
        <v>404</v>
      </c>
      <c r="K156" s="11" t="n">
        <f aca="false">Raw_Data!K156</f>
        <v>8</v>
      </c>
      <c r="L156" s="11" t="n">
        <f aca="false">IF(Raw_Data!L156="",ROUND(AVERAGEIFS(Raw_Data!$L$2:$L$839,Raw_Data!$C$2:$C$839,Raw_Data!C156),2),Raw_Data!L156)</f>
        <v>9658.24</v>
      </c>
      <c r="M156" s="13" t="n">
        <f aca="false">IFERROR(J156/I156,0)</f>
        <v>0.0137009529623224</v>
      </c>
      <c r="N156" s="14" t="n">
        <f aca="false">IFERROR(H156/J156,0)</f>
        <v>3.01509900990099</v>
      </c>
      <c r="O156" s="14" t="n">
        <f aca="false">IFERROR(H156/K156,0)</f>
        <v>152.2625</v>
      </c>
      <c r="P156" s="15" t="n">
        <f aca="false">IFERROR(L156/H156,0)</f>
        <v>7.9289385107955</v>
      </c>
      <c r="Q156" s="13" t="n">
        <f aca="false">IFERROR(K156/J156,0)</f>
        <v>0.0198019801980198</v>
      </c>
      <c r="R156" s="11" t="str">
        <f aca="false">IF(COUNTIF($A$2:A156,A156)&gt;1,"Duplicate - Remove","Unique")</f>
        <v>Unique</v>
      </c>
      <c r="S156" s="11" t="str">
        <f aca="false">TRIM(IF(Raw_Data!G156="","Region missing; ","")&amp;IF(Raw_Data!H156="","Spend imputed; ","")&amp;IF(Raw_Data!L156="","Revenue imputed; ","")&amp;IF(Raw_Data!J156&lt;0,"Clicks corrected; ",""))</f>
        <v/>
      </c>
    </row>
    <row r="157" customFormat="false" ht="15" hidden="false" customHeight="true" outlineLevel="0" collapsed="false">
      <c r="A157" s="11" t="n">
        <f aca="false">Raw_Data!A157</f>
        <v>1314</v>
      </c>
      <c r="B157" s="11" t="str">
        <f aca="false">PROPER(TRIM(Raw_Data!B157))</f>
        <v>New Year Wellness</v>
      </c>
      <c r="C157" s="11" t="str">
        <f aca="false">IFERROR(INDEX(Lookup_Tables!$B$2:$B$26,MATCH(UPPER(TRIM(Raw_Data!C157)),Lookup_Tables!$C$2:$C$26,0)),"Unknown")</f>
        <v>Email</v>
      </c>
      <c r="D157" s="12" t="n">
        <f aca="false">IFERROR(IF(ISNUMBER(SEARCH("/",Raw_Data!D157)),DATE(VALUE(RIGHT(Raw_Data!D157,4)),VALUE(MID(Raw_Data!D157,FIND("/",Raw_Data!D157)+1,FIND("/",Raw_Data!D157,FIND("/",Raw_Data!D157)+1)-FIND("/",Raw_Data!D157)-1)),VALUE(LEFT(Raw_Data!D157,FIND("/",Raw_Data!D157)-1))),IF(ISNUMBER(VALUE(LEFT(Raw_Data!D157,4))),DATE(VALUE(LEFT(Raw_Data!D157,4)),VALUE(MID(Raw_Data!D157,6,2)),VALUE(MID(Raw_Data!D157,9,2))),DATEVALUE(Raw_Data!D157))),"")</f>
        <v>45328</v>
      </c>
      <c r="E157" s="12" t="n">
        <f aca="false">IFERROR(IF(ISNUMBER(SEARCH("/",Raw_Data!E157)),DATE(VALUE(RIGHT(Raw_Data!E157,4)),VALUE(MID(Raw_Data!E157,FIND("/",Raw_Data!E157)+1,FIND("/",Raw_Data!E157,FIND("/",Raw_Data!E157)+1)-FIND("/",Raw_Data!E157)-1)),VALUE(LEFT(Raw_Data!E157,FIND("/",Raw_Data!E157)-1))),IF(ISNUMBER(VALUE(LEFT(Raw_Data!E157,4))),DATE(VALUE(LEFT(Raw_Data!E157,4)),VALUE(MID(Raw_Data!E157,6,2)),VALUE(MID(Raw_Data!E157,9,2))),DATEVALUE(Raw_Data!E157))),"")</f>
        <v>45334</v>
      </c>
      <c r="F157" s="11" t="str">
        <f aca="false">Raw_Data!F157</f>
        <v>Male 18-24</v>
      </c>
      <c r="G157" s="11" t="str">
        <f aca="false">IF(TRIM(Raw_Data!G157)="","Unspecified",IFERROR(INDEX(Lookup_Tables!$F$2:$F$24,MATCH(UPPER(TRIM(Raw_Data!G157)),Lookup_Tables!$G$2:$G$24,0)),"Unknown"))</f>
        <v>West</v>
      </c>
      <c r="H157" s="11" t="n">
        <f aca="false">IF(Raw_Data!H157="",ROUND(AVERAGEIFS(Raw_Data!$H$2:$H$839,Raw_Data!$C$2:$C$839,Raw_Data!C157),2),Raw_Data!H157)</f>
        <v>1991.13</v>
      </c>
      <c r="I157" s="11" t="n">
        <f aca="false">Raw_Data!I157</f>
        <v>62413</v>
      </c>
      <c r="J157" s="11" t="n">
        <f aca="false">IF(Raw_Data!J157&lt;0,ABS(Raw_Data!J157),Raw_Data!J157)</f>
        <v>1194</v>
      </c>
      <c r="K157" s="11" t="n">
        <f aca="false">Raw_Data!K157</f>
        <v>88</v>
      </c>
      <c r="L157" s="11" t="n">
        <f aca="false">IF(Raw_Data!L157="",ROUND(AVERAGEIFS(Raw_Data!$L$2:$L$839,Raw_Data!$C$2:$C$839,Raw_Data!C157),2),Raw_Data!L157)</f>
        <v>36644.3</v>
      </c>
      <c r="M157" s="13" t="n">
        <f aca="false">IFERROR(J157/I157,0)</f>
        <v>0.0191306298367327</v>
      </c>
      <c r="N157" s="14" t="n">
        <f aca="false">IFERROR(H157/J157,0)</f>
        <v>1.66761306532663</v>
      </c>
      <c r="O157" s="14" t="n">
        <f aca="false">IFERROR(H157/K157,0)</f>
        <v>22.6264772727273</v>
      </c>
      <c r="P157" s="15" t="n">
        <f aca="false">IFERROR(L157/H157,0)</f>
        <v>18.4037707231572</v>
      </c>
      <c r="Q157" s="13" t="n">
        <f aca="false">IFERROR(K157/J157,0)</f>
        <v>0.0737018425460637</v>
      </c>
      <c r="R157" s="11" t="str">
        <f aca="false">IF(COUNTIF($A$2:A157,A157)&gt;1,"Duplicate - Remove","Unique")</f>
        <v>Unique</v>
      </c>
      <c r="S157" s="11" t="str">
        <f aca="false">TRIM(IF(Raw_Data!G157="","Region missing; ","")&amp;IF(Raw_Data!H157="","Spend imputed; ","")&amp;IF(Raw_Data!L157="","Revenue imputed; ","")&amp;IF(Raw_Data!J157&lt;0,"Clicks corrected; ",""))</f>
        <v/>
      </c>
    </row>
    <row r="158" customFormat="false" ht="15" hidden="false" customHeight="true" outlineLevel="0" collapsed="false">
      <c r="A158" s="11" t="n">
        <f aca="false">Raw_Data!A158</f>
        <v>1704</v>
      </c>
      <c r="B158" s="11" t="str">
        <f aca="false">PROPER(TRIM(Raw_Data!B158))</f>
        <v>Wedding Season Special</v>
      </c>
      <c r="C158" s="11" t="str">
        <f aca="false">IFERROR(INDEX(Lookup_Tables!$B$2:$B$26,MATCH(UPPER(TRIM(Raw_Data!C158)),Lookup_Tables!$C$2:$C$26,0)),"Unknown")</f>
        <v>YouTube</v>
      </c>
      <c r="D158" s="12" t="n">
        <f aca="false">IFERROR(IF(ISNUMBER(SEARCH("/",Raw_Data!D158)),DATE(VALUE(RIGHT(Raw_Data!D158,4)),VALUE(MID(Raw_Data!D158,FIND("/",Raw_Data!D158)+1,FIND("/",Raw_Data!D158,FIND("/",Raw_Data!D158)+1)-FIND("/",Raw_Data!D158)-1)),VALUE(LEFT(Raw_Data!D158,FIND("/",Raw_Data!D158)-1))),IF(ISNUMBER(VALUE(LEFT(Raw_Data!D158,4))),DATE(VALUE(LEFT(Raw_Data!D158,4)),VALUE(MID(Raw_Data!D158,6,2)),VALUE(MID(Raw_Data!D158,9,2))),DATEVALUE(Raw_Data!D158))),"")</f>
        <v>45493</v>
      </c>
      <c r="E158" s="12" t="n">
        <f aca="false">IFERROR(IF(ISNUMBER(SEARCH("/",Raw_Data!E158)),DATE(VALUE(RIGHT(Raw_Data!E158,4)),VALUE(MID(Raw_Data!E158,FIND("/",Raw_Data!E158)+1,FIND("/",Raw_Data!E158,FIND("/",Raw_Data!E158)+1)-FIND("/",Raw_Data!E158)-1)),VALUE(LEFT(Raw_Data!E158,FIND("/",Raw_Data!E158)-1))),IF(ISNUMBER(VALUE(LEFT(Raw_Data!E158,4))),DATE(VALUE(LEFT(Raw_Data!E158,4)),VALUE(MID(Raw_Data!E158,6,2)),VALUE(MID(Raw_Data!E158,9,2))),DATEVALUE(Raw_Data!E158))),"")</f>
        <v>45502</v>
      </c>
      <c r="F158" s="11" t="str">
        <f aca="false">Raw_Data!F158</f>
        <v>Male 18-24</v>
      </c>
      <c r="G158" s="11" t="str">
        <f aca="false">IF(TRIM(Raw_Data!G158)="","Unspecified",IFERROR(INDEX(Lookup_Tables!$F$2:$F$24,MATCH(UPPER(TRIM(Raw_Data!G158)),Lookup_Tables!$G$2:$G$24,0)),"Unknown"))</f>
        <v>West</v>
      </c>
      <c r="H158" s="11" t="n">
        <f aca="false">IF(Raw_Data!H158="",ROUND(AVERAGEIFS(Raw_Data!$H$2:$H$839,Raw_Data!$C$2:$C$839,Raw_Data!C158),2),Raw_Data!H158)</f>
        <v>23148.76</v>
      </c>
      <c r="I158" s="11" t="n">
        <f aca="false">Raw_Data!I158</f>
        <v>724693</v>
      </c>
      <c r="J158" s="11" t="n">
        <f aca="false">IF(Raw_Data!J158&lt;0,ABS(Raw_Data!J158),Raw_Data!J158)</f>
        <v>10152</v>
      </c>
      <c r="K158" s="11" t="n">
        <f aca="false">Raw_Data!K158</f>
        <v>693</v>
      </c>
      <c r="L158" s="11" t="n">
        <f aca="false">IF(Raw_Data!L158="",ROUND(AVERAGEIFS(Raw_Data!$L$2:$L$839,Raw_Data!$C$2:$C$839,Raw_Data!C158),2),Raw_Data!L158)</f>
        <v>1020884.36</v>
      </c>
      <c r="M158" s="13" t="n">
        <f aca="false">IFERROR(J158/I158,0)</f>
        <v>0.0140086905765614</v>
      </c>
      <c r="N158" s="14" t="n">
        <f aca="false">IFERROR(H158/J158,0)</f>
        <v>2.28021670606777</v>
      </c>
      <c r="O158" s="14" t="n">
        <f aca="false">IFERROR(H158/K158,0)</f>
        <v>33.4036940836941</v>
      </c>
      <c r="P158" s="15" t="n">
        <f aca="false">IFERROR(L158/H158,0)</f>
        <v>44.1010386733458</v>
      </c>
      <c r="Q158" s="13" t="n">
        <f aca="false">IFERROR(K158/J158,0)</f>
        <v>0.0682624113475177</v>
      </c>
      <c r="R158" s="11" t="str">
        <f aca="false">IF(COUNTIF($A$2:A158,A158)&gt;1,"Duplicate - Remove","Unique")</f>
        <v>Unique</v>
      </c>
      <c r="S158" s="11" t="str">
        <f aca="false">TRIM(IF(Raw_Data!G158="","Region missing; ","")&amp;IF(Raw_Data!H158="","Spend imputed; ","")&amp;IF(Raw_Data!L158="","Revenue imputed; ","")&amp;IF(Raw_Data!J158&lt;0,"Clicks corrected; ",""))</f>
        <v/>
      </c>
    </row>
    <row r="159" customFormat="false" ht="15" hidden="false" customHeight="true" outlineLevel="0" collapsed="false">
      <c r="A159" s="11" t="n">
        <f aca="false">Raw_Data!A159</f>
        <v>1703</v>
      </c>
      <c r="B159" s="11" t="str">
        <f aca="false">PROPER(TRIM(Raw_Data!B159))</f>
        <v>Anti-Ageing Serum Push</v>
      </c>
      <c r="C159" s="11" t="str">
        <f aca="false">IFERROR(INDEX(Lookup_Tables!$B$2:$B$26,MATCH(UPPER(TRIM(Raw_Data!C159)),Lookup_Tables!$C$2:$C$26,0)),"Unknown")</f>
        <v>Google Ads</v>
      </c>
      <c r="D159" s="12" t="n">
        <f aca="false">IFERROR(IF(ISNUMBER(SEARCH("/",Raw_Data!D159)),DATE(VALUE(RIGHT(Raw_Data!D159,4)),VALUE(MID(Raw_Data!D159,FIND("/",Raw_Data!D159)+1,FIND("/",Raw_Data!D159,FIND("/",Raw_Data!D159)+1)-FIND("/",Raw_Data!D159)-1)),VALUE(LEFT(Raw_Data!D159,FIND("/",Raw_Data!D159)-1))),IF(ISNUMBER(VALUE(LEFT(Raw_Data!D159,4))),DATE(VALUE(LEFT(Raw_Data!D159,4)),VALUE(MID(Raw_Data!D159,6,2)),VALUE(MID(Raw_Data!D159,9,2))),DATEVALUE(Raw_Data!D159))),"")</f>
        <v>45478</v>
      </c>
      <c r="E159" s="12" t="n">
        <f aca="false">IFERROR(IF(ISNUMBER(SEARCH("/",Raw_Data!E159)),DATE(VALUE(RIGHT(Raw_Data!E159,4)),VALUE(MID(Raw_Data!E159,FIND("/",Raw_Data!E159)+1,FIND("/",Raw_Data!E159,FIND("/",Raw_Data!E159)+1)-FIND("/",Raw_Data!E159)-1)),VALUE(LEFT(Raw_Data!E159,FIND("/",Raw_Data!E159)-1))),IF(ISNUMBER(VALUE(LEFT(Raw_Data!E159,4))),DATE(VALUE(LEFT(Raw_Data!E159,4)),VALUE(MID(Raw_Data!E159,6,2)),VALUE(MID(Raw_Data!E159,9,2))),DATEVALUE(Raw_Data!E159))),"")</f>
        <v>45493</v>
      </c>
      <c r="F159" s="11" t="str">
        <f aca="false">Raw_Data!F159</f>
        <v>Male 45+</v>
      </c>
      <c r="G159" s="11" t="str">
        <f aca="false">IF(TRIM(Raw_Data!G159)="","Unspecified",IFERROR(INDEX(Lookup_Tables!$F$2:$F$24,MATCH(UPPER(TRIM(Raw_Data!G159)),Lookup_Tables!$G$2:$G$24,0)),"Unknown"))</f>
        <v>West</v>
      </c>
      <c r="H159" s="11" t="n">
        <f aca="false">IF(Raw_Data!H159="",ROUND(AVERAGEIFS(Raw_Data!$H$2:$H$839,Raw_Data!$C$2:$C$839,Raw_Data!C159),2),Raw_Data!H159)</f>
        <v>56576.14</v>
      </c>
      <c r="I159" s="11" t="n">
        <f aca="false">Raw_Data!I159</f>
        <v>1036919</v>
      </c>
      <c r="J159" s="11" t="n">
        <f aca="false">IF(Raw_Data!J159&lt;0,ABS(Raw_Data!J159),Raw_Data!J159)</f>
        <v>21669</v>
      </c>
      <c r="K159" s="11" t="n">
        <f aca="false">Raw_Data!K159</f>
        <v>589</v>
      </c>
      <c r="L159" s="11" t="n">
        <f aca="false">IF(Raw_Data!L159="",ROUND(AVERAGEIFS(Raw_Data!$L$2:$L$839,Raw_Data!$C$2:$C$839,Raw_Data!C159),2),Raw_Data!L159)</f>
        <v>814737.37</v>
      </c>
      <c r="M159" s="13" t="n">
        <f aca="false">IFERROR(J159/I159,0)</f>
        <v>0.0208974857245359</v>
      </c>
      <c r="N159" s="14" t="n">
        <f aca="false">IFERROR(H159/J159,0)</f>
        <v>2.61092528496931</v>
      </c>
      <c r="O159" s="14" t="n">
        <f aca="false">IFERROR(H159/K159,0)</f>
        <v>96.0545670628183</v>
      </c>
      <c r="P159" s="15" t="n">
        <f aca="false">IFERROR(L159/H159,0)</f>
        <v>14.4007238740572</v>
      </c>
      <c r="Q159" s="13" t="n">
        <f aca="false">IFERROR(K159/J159,0)</f>
        <v>0.0271816881258941</v>
      </c>
      <c r="R159" s="11" t="str">
        <f aca="false">IF(COUNTIF($A$2:A159,A159)&gt;1,"Duplicate - Remove","Unique")</f>
        <v>Unique</v>
      </c>
      <c r="S159" s="11" t="str">
        <f aca="false">TRIM(IF(Raw_Data!G159="","Region missing; ","")&amp;IF(Raw_Data!H159="","Spend imputed; ","")&amp;IF(Raw_Data!L159="","Revenue imputed; ","")&amp;IF(Raw_Data!J159&lt;0,"Clicks corrected; ",""))</f>
        <v/>
      </c>
    </row>
    <row r="160" customFormat="false" ht="15" hidden="false" customHeight="true" outlineLevel="0" collapsed="false">
      <c r="A160" s="11" t="n">
        <f aca="false">Raw_Data!A160</f>
        <v>1225</v>
      </c>
      <c r="B160" s="11" t="str">
        <f aca="false">PROPER(TRIM(Raw_Data!B160))</f>
        <v>New Year Wellness</v>
      </c>
      <c r="C160" s="11" t="str">
        <f aca="false">IFERROR(INDEX(Lookup_Tables!$B$2:$B$26,MATCH(UPPER(TRIM(Raw_Data!C160)),Lookup_Tables!$C$2:$C$26,0)),"Unknown")</f>
        <v>Google Ads</v>
      </c>
      <c r="D160" s="12" t="n">
        <f aca="false">IFERROR(IF(ISNUMBER(SEARCH("/",Raw_Data!D160)),DATE(VALUE(RIGHT(Raw_Data!D160,4)),VALUE(MID(Raw_Data!D160,FIND("/",Raw_Data!D160)+1,FIND("/",Raw_Data!D160,FIND("/",Raw_Data!D160)+1)-FIND("/",Raw_Data!D160)-1)),VALUE(LEFT(Raw_Data!D160,FIND("/",Raw_Data!D160)-1))),IF(ISNUMBER(VALUE(LEFT(Raw_Data!D160,4))),DATE(VALUE(LEFT(Raw_Data!D160,4)),VALUE(MID(Raw_Data!D160,6,2)),VALUE(MID(Raw_Data!D160,9,2))),DATEVALUE(Raw_Data!D160))),"")</f>
        <v>45599</v>
      </c>
      <c r="E160" s="12" t="n">
        <f aca="false">IFERROR(IF(ISNUMBER(SEARCH("/",Raw_Data!E160)),DATE(VALUE(RIGHT(Raw_Data!E160,4)),VALUE(MID(Raw_Data!E160,FIND("/",Raw_Data!E160)+1,FIND("/",Raw_Data!E160,FIND("/",Raw_Data!E160)+1)-FIND("/",Raw_Data!E160)-1)),VALUE(LEFT(Raw_Data!E160,FIND("/",Raw_Data!E160)-1))),IF(ISNUMBER(VALUE(LEFT(Raw_Data!E160,4))),DATE(VALUE(LEFT(Raw_Data!E160,4)),VALUE(MID(Raw_Data!E160,6,2)),VALUE(MID(Raw_Data!E160,9,2))),DATEVALUE(Raw_Data!E160))),"")</f>
        <v>45608</v>
      </c>
      <c r="F160" s="11" t="str">
        <f aca="false">Raw_Data!F160</f>
        <v>Female 45+</v>
      </c>
      <c r="G160" s="11" t="str">
        <f aca="false">IF(TRIM(Raw_Data!G160)="","Unspecified",IFERROR(INDEX(Lookup_Tables!$F$2:$F$24,MATCH(UPPER(TRIM(Raw_Data!G160)),Lookup_Tables!$G$2:$G$24,0)),"Unknown"))</f>
        <v>West</v>
      </c>
      <c r="H160" s="11" t="n">
        <f aca="false">IF(Raw_Data!H160="",ROUND(AVERAGEIFS(Raw_Data!$H$2:$H$839,Raw_Data!$C$2:$C$839,Raw_Data!C160),2),Raw_Data!H160)</f>
        <v>67431.72</v>
      </c>
      <c r="I160" s="11" t="n">
        <f aca="false">Raw_Data!I160</f>
        <v>1318094</v>
      </c>
      <c r="J160" s="11" t="n">
        <f aca="false">IF(Raw_Data!J160&lt;0,ABS(Raw_Data!J160),Raw_Data!J160)</f>
        <v>32674</v>
      </c>
      <c r="K160" s="11" t="n">
        <f aca="false">Raw_Data!K160</f>
        <v>931</v>
      </c>
      <c r="L160" s="11" t="n">
        <f aca="false">IF(Raw_Data!L160="",ROUND(AVERAGEIFS(Raw_Data!$L$2:$L$839,Raw_Data!$C$2:$C$839,Raw_Data!C160),2),Raw_Data!L160)</f>
        <v>1303465.97</v>
      </c>
      <c r="M160" s="13" t="n">
        <f aca="false">IFERROR(J160/I160,0)</f>
        <v>0.0247888238623346</v>
      </c>
      <c r="N160" s="14" t="n">
        <f aca="false">IFERROR(H160/J160,0)</f>
        <v>2.06377303054416</v>
      </c>
      <c r="O160" s="14" t="n">
        <f aca="false">IFERROR(H160/K160,0)</f>
        <v>72.4293447905478</v>
      </c>
      <c r="P160" s="15" t="n">
        <f aca="false">IFERROR(L160/H160,0)</f>
        <v>19.3301604942007</v>
      </c>
      <c r="Q160" s="13" t="n">
        <f aca="false">IFERROR(K160/J160,0)</f>
        <v>0.0284936034767705</v>
      </c>
      <c r="R160" s="11" t="str">
        <f aca="false">IF(COUNTIF($A$2:A160,A160)&gt;1,"Duplicate - Remove","Unique")</f>
        <v>Unique</v>
      </c>
      <c r="S160" s="11" t="str">
        <f aca="false">TRIM(IF(Raw_Data!G160="","Region missing; ","")&amp;IF(Raw_Data!H160="","Spend imputed; ","")&amp;IF(Raw_Data!L160="","Revenue imputed; ","")&amp;IF(Raw_Data!J160&lt;0,"Clicks corrected; ",""))</f>
        <v/>
      </c>
    </row>
    <row r="161" customFormat="false" ht="15" hidden="false" customHeight="true" outlineLevel="0" collapsed="false">
      <c r="A161" s="11" t="n">
        <f aca="false">Raw_Data!A161</f>
        <v>1277</v>
      </c>
      <c r="B161" s="11" t="str">
        <f aca="false">PROPER(TRIM(Raw_Data!B161))</f>
        <v>Back To College Offer</v>
      </c>
      <c r="C161" s="11" t="str">
        <f aca="false">IFERROR(INDEX(Lookup_Tables!$B$2:$B$26,MATCH(UPPER(TRIM(Raw_Data!C161)),Lookup_Tables!$C$2:$C$26,0)),"Unknown")</f>
        <v>Facebook</v>
      </c>
      <c r="D161" s="12" t="n">
        <f aca="false">IFERROR(IF(ISNUMBER(SEARCH("/",Raw_Data!D161)),DATE(VALUE(RIGHT(Raw_Data!D161,4)),VALUE(MID(Raw_Data!D161,FIND("/",Raw_Data!D161)+1,FIND("/",Raw_Data!D161,FIND("/",Raw_Data!D161)+1)-FIND("/",Raw_Data!D161)-1)),VALUE(LEFT(Raw_Data!D161,FIND("/",Raw_Data!D161)-1))),IF(ISNUMBER(VALUE(LEFT(Raw_Data!D161,4))),DATE(VALUE(LEFT(Raw_Data!D161,4)),VALUE(MID(Raw_Data!D161,6,2)),VALUE(MID(Raw_Data!D161,9,2))),DATEVALUE(Raw_Data!D161))),"")</f>
        <v>45493</v>
      </c>
      <c r="E161" s="12" t="n">
        <f aca="false">IFERROR(IF(ISNUMBER(SEARCH("/",Raw_Data!E161)),DATE(VALUE(RIGHT(Raw_Data!E161,4)),VALUE(MID(Raw_Data!E161,FIND("/",Raw_Data!E161)+1,FIND("/",Raw_Data!E161,FIND("/",Raw_Data!E161)+1)-FIND("/",Raw_Data!E161)-1)),VALUE(LEFT(Raw_Data!E161,FIND("/",Raw_Data!E161)-1))),IF(ISNUMBER(VALUE(LEFT(Raw_Data!E161,4))),DATE(VALUE(LEFT(Raw_Data!E161,4)),VALUE(MID(Raw_Data!E161,6,2)),VALUE(MID(Raw_Data!E161,9,2))),DATEVALUE(Raw_Data!E161))),"")</f>
        <v>45511</v>
      </c>
      <c r="F161" s="11" t="str">
        <f aca="false">Raw_Data!F161</f>
        <v>Female 35-44</v>
      </c>
      <c r="G161" s="11" t="str">
        <f aca="false">IF(TRIM(Raw_Data!G161)="","Unspecified",IFERROR(INDEX(Lookup_Tables!$F$2:$F$24,MATCH(UPPER(TRIM(Raw_Data!G161)),Lookup_Tables!$G$2:$G$24,0)),"Unknown"))</f>
        <v>Central</v>
      </c>
      <c r="H161" s="11" t="n">
        <f aca="false">IF(Raw_Data!H161="",ROUND(AVERAGEIFS(Raw_Data!$H$2:$H$839,Raw_Data!$C$2:$C$839,Raw_Data!C161),2),Raw_Data!H161)</f>
        <v>25838.98</v>
      </c>
      <c r="I161" s="11" t="n">
        <f aca="false">Raw_Data!I161</f>
        <v>503135</v>
      </c>
      <c r="J161" s="11" t="n">
        <f aca="false">IF(Raw_Data!J161&lt;0,ABS(Raw_Data!J161),Raw_Data!J161)</f>
        <v>11425</v>
      </c>
      <c r="K161" s="11" t="n">
        <f aca="false">Raw_Data!K161</f>
        <v>684</v>
      </c>
      <c r="L161" s="11" t="n">
        <f aca="false">IF(Raw_Data!L161="",ROUND(AVERAGEIFS(Raw_Data!$L$2:$L$839,Raw_Data!$C$2:$C$839,Raw_Data!C161),2),Raw_Data!L161)</f>
        <v>439676.16</v>
      </c>
      <c r="M161" s="13" t="n">
        <f aca="false">IFERROR(J161/I161,0)</f>
        <v>0.0227076232025202</v>
      </c>
      <c r="N161" s="14" t="n">
        <f aca="false">IFERROR(H161/J161,0)</f>
        <v>2.26161750547046</v>
      </c>
      <c r="O161" s="14" t="n">
        <f aca="false">IFERROR(H161/K161,0)</f>
        <v>37.7762865497076</v>
      </c>
      <c r="P161" s="15" t="n">
        <f aca="false">IFERROR(L161/H161,0)</f>
        <v>17.016002953677</v>
      </c>
      <c r="Q161" s="13" t="n">
        <f aca="false">IFERROR(K161/J161,0)</f>
        <v>0.0598687089715536</v>
      </c>
      <c r="R161" s="11" t="str">
        <f aca="false">IF(COUNTIF($A$2:A161,A161)&gt;1,"Duplicate - Remove","Unique")</f>
        <v>Unique</v>
      </c>
      <c r="S161" s="11" t="str">
        <f aca="false">TRIM(IF(Raw_Data!G161="","Region missing; ","")&amp;IF(Raw_Data!H161="","Spend imputed; ","")&amp;IF(Raw_Data!L161="","Revenue imputed; ","")&amp;IF(Raw_Data!J161&lt;0,"Clicks corrected; ",""))</f>
        <v/>
      </c>
    </row>
    <row r="162" customFormat="false" ht="15" hidden="false" customHeight="true" outlineLevel="0" collapsed="false">
      <c r="A162" s="11" t="n">
        <f aca="false">Raw_Data!A162</f>
        <v>1508</v>
      </c>
      <c r="B162" s="11" t="str">
        <f aca="false">PROPER(TRIM(Raw_Data!B162))</f>
        <v>Monsoon Skincare Push</v>
      </c>
      <c r="C162" s="11" t="str">
        <f aca="false">IFERROR(INDEX(Lookup_Tables!$B$2:$B$26,MATCH(UPPER(TRIM(Raw_Data!C162)),Lookup_Tables!$C$2:$C$26,0)),"Unknown")</f>
        <v>Instagram</v>
      </c>
      <c r="D162" s="12" t="n">
        <f aca="false">IFERROR(IF(ISNUMBER(SEARCH("/",Raw_Data!D162)),DATE(VALUE(RIGHT(Raw_Data!D162,4)),VALUE(MID(Raw_Data!D162,FIND("/",Raw_Data!D162)+1,FIND("/",Raw_Data!D162,FIND("/",Raw_Data!D162)+1)-FIND("/",Raw_Data!D162)-1)),VALUE(LEFT(Raw_Data!D162,FIND("/",Raw_Data!D162)-1))),IF(ISNUMBER(VALUE(LEFT(Raw_Data!D162,4))),DATE(VALUE(LEFT(Raw_Data!D162,4)),VALUE(MID(Raw_Data!D162,6,2)),VALUE(MID(Raw_Data!D162,9,2))),DATEVALUE(Raw_Data!D162))),"")</f>
        <v>45472</v>
      </c>
      <c r="E162" s="12" t="n">
        <f aca="false">IFERROR(IF(ISNUMBER(SEARCH("/",Raw_Data!E162)),DATE(VALUE(RIGHT(Raw_Data!E162,4)),VALUE(MID(Raw_Data!E162,FIND("/",Raw_Data!E162)+1,FIND("/",Raw_Data!E162,FIND("/",Raw_Data!E162)+1)-FIND("/",Raw_Data!E162)-1)),VALUE(LEFT(Raw_Data!E162,FIND("/",Raw_Data!E162)-1))),IF(ISNUMBER(VALUE(LEFT(Raw_Data!E162,4))),DATE(VALUE(LEFT(Raw_Data!E162,4)),VALUE(MID(Raw_Data!E162,6,2)),VALUE(MID(Raw_Data!E162,9,2))),DATEVALUE(Raw_Data!E162))),"")</f>
        <v>45479</v>
      </c>
      <c r="F162" s="11" t="str">
        <f aca="false">Raw_Data!F162</f>
        <v>Male 35-44</v>
      </c>
      <c r="G162" s="11" t="str">
        <f aca="false">IF(TRIM(Raw_Data!G162)="","Unspecified",IFERROR(INDEX(Lookup_Tables!$F$2:$F$24,MATCH(UPPER(TRIM(Raw_Data!G162)),Lookup_Tables!$G$2:$G$24,0)),"Unknown"))</f>
        <v>East</v>
      </c>
      <c r="H162" s="11" t="n">
        <f aca="false">IF(Raw_Data!H162="",ROUND(AVERAGEIFS(Raw_Data!$H$2:$H$839,Raw_Data!$C$2:$C$839,Raw_Data!C162),2),Raw_Data!H162)</f>
        <v>17317.69</v>
      </c>
      <c r="I162" s="11" t="n">
        <f aca="false">Raw_Data!I162</f>
        <v>593971</v>
      </c>
      <c r="J162" s="11" t="n">
        <f aca="false">IF(Raw_Data!J162&lt;0,ABS(Raw_Data!J162),Raw_Data!J162)</f>
        <v>7566</v>
      </c>
      <c r="K162" s="11" t="n">
        <f aca="false">Raw_Data!K162</f>
        <v>326</v>
      </c>
      <c r="L162" s="11" t="n">
        <f aca="false">IF(Raw_Data!L162="",ROUND(AVERAGEIFS(Raw_Data!$L$2:$L$839,Raw_Data!$C$2:$C$839,Raw_Data!C162),2),Raw_Data!L162)</f>
        <v>235123.63</v>
      </c>
      <c r="M162" s="13" t="n">
        <f aca="false">IFERROR(J162/I162,0)</f>
        <v>0.0127379956260491</v>
      </c>
      <c r="N162" s="14" t="n">
        <f aca="false">IFERROR(H162/J162,0)</f>
        <v>2.28888316151203</v>
      </c>
      <c r="O162" s="14" t="n">
        <f aca="false">IFERROR(H162/K162,0)</f>
        <v>53.1217484662577</v>
      </c>
      <c r="P162" s="15" t="n">
        <f aca="false">IFERROR(L162/H162,0)</f>
        <v>13.5770781206962</v>
      </c>
      <c r="Q162" s="13" t="n">
        <f aca="false">IFERROR(K162/J162,0)</f>
        <v>0.0430874966957441</v>
      </c>
      <c r="R162" s="11" t="str">
        <f aca="false">IF(COUNTIF($A$2:A162,A162)&gt;1,"Duplicate - Remove","Unique")</f>
        <v>Unique</v>
      </c>
      <c r="S162" s="11" t="str">
        <f aca="false">TRIM(IF(Raw_Data!G162="","Region missing; ","")&amp;IF(Raw_Data!H162="","Spend imputed; ","")&amp;IF(Raw_Data!L162="","Revenue imputed; ","")&amp;IF(Raw_Data!J162&lt;0,"Clicks corrected; ",""))</f>
        <v/>
      </c>
    </row>
    <row r="163" customFormat="false" ht="15" hidden="false" customHeight="true" outlineLevel="0" collapsed="false">
      <c r="A163" s="11" t="n">
        <f aca="false">Raw_Data!A163</f>
        <v>1700</v>
      </c>
      <c r="B163" s="11" t="str">
        <f aca="false">PROPER(TRIM(Raw_Data!B163))</f>
        <v>Summer Glow Launch</v>
      </c>
      <c r="C163" s="11" t="str">
        <f aca="false">IFERROR(INDEX(Lookup_Tables!$B$2:$B$26,MATCH(UPPER(TRIM(Raw_Data!C163)),Lookup_Tables!$C$2:$C$26,0)),"Unknown")</f>
        <v>YouTube</v>
      </c>
      <c r="D163" s="12" t="n">
        <f aca="false">IFERROR(IF(ISNUMBER(SEARCH("/",Raw_Data!D163)),DATE(VALUE(RIGHT(Raw_Data!D163,4)),VALUE(MID(Raw_Data!D163,FIND("/",Raw_Data!D163)+1,FIND("/",Raw_Data!D163,FIND("/",Raw_Data!D163)+1)-FIND("/",Raw_Data!D163)-1)),VALUE(LEFT(Raw_Data!D163,FIND("/",Raw_Data!D163)-1))),IF(ISNUMBER(VALUE(LEFT(Raw_Data!D163,4))),DATE(VALUE(LEFT(Raw_Data!D163,4)),VALUE(MID(Raw_Data!D163,6,2)),VALUE(MID(Raw_Data!D163,9,2))),DATEVALUE(Raw_Data!D163))),"")</f>
        <v>45456</v>
      </c>
      <c r="E163" s="12" t="n">
        <f aca="false">IFERROR(IF(ISNUMBER(SEARCH("/",Raw_Data!E163)),DATE(VALUE(RIGHT(Raw_Data!E163,4)),VALUE(MID(Raw_Data!E163,FIND("/",Raw_Data!E163)+1,FIND("/",Raw_Data!E163,FIND("/",Raw_Data!E163)+1)-FIND("/",Raw_Data!E163)-1)),VALUE(LEFT(Raw_Data!E163,FIND("/",Raw_Data!E163)-1))),IF(ISNUMBER(VALUE(LEFT(Raw_Data!E163,4))),DATE(VALUE(LEFT(Raw_Data!E163,4)),VALUE(MID(Raw_Data!E163,6,2)),VALUE(MID(Raw_Data!E163,9,2))),DATEVALUE(Raw_Data!E163))),"")</f>
        <v>45472</v>
      </c>
      <c r="F163" s="11" t="str">
        <f aca="false">Raw_Data!F163</f>
        <v>Female 35-44</v>
      </c>
      <c r="G163" s="11" t="str">
        <f aca="false">IF(TRIM(Raw_Data!G163)="","Unspecified",IFERROR(INDEX(Lookup_Tables!$F$2:$F$24,MATCH(UPPER(TRIM(Raw_Data!G163)),Lookup_Tables!$G$2:$G$24,0)),"Unknown"))</f>
        <v>Unspecified</v>
      </c>
      <c r="H163" s="11" t="n">
        <f aca="false">IF(Raw_Data!H163="",ROUND(AVERAGEIFS(Raw_Data!$H$2:$H$839,Raw_Data!$C$2:$C$839,Raw_Data!C163),2),Raw_Data!H163)</f>
        <v>25761.49</v>
      </c>
      <c r="I163" s="11" t="n">
        <f aca="false">Raw_Data!I163</f>
        <v>453268</v>
      </c>
      <c r="J163" s="11" t="n">
        <f aca="false">IF(Raw_Data!J163&lt;0,ABS(Raw_Data!J163),Raw_Data!J163)</f>
        <v>5443</v>
      </c>
      <c r="K163" s="11" t="n">
        <f aca="false">Raw_Data!K163</f>
        <v>199</v>
      </c>
      <c r="L163" s="11" t="n">
        <f aca="false">IF(Raw_Data!L163="",ROUND(AVERAGEIFS(Raw_Data!$L$2:$L$839,Raw_Data!$C$2:$C$839,Raw_Data!C163),2),Raw_Data!L163)</f>
        <v>232020.45</v>
      </c>
      <c r="M163" s="13" t="n">
        <f aca="false">IFERROR(J163/I163,0)</f>
        <v>0.0120083482619554</v>
      </c>
      <c r="N163" s="14" t="n">
        <f aca="false">IFERROR(H163/J163,0)</f>
        <v>4.73295792761345</v>
      </c>
      <c r="O163" s="14" t="n">
        <f aca="false">IFERROR(H163/K163,0)</f>
        <v>129.45472361809</v>
      </c>
      <c r="P163" s="15" t="n">
        <f aca="false">IFERROR(L163/H163,0)</f>
        <v>9.00648409699905</v>
      </c>
      <c r="Q163" s="13" t="n">
        <f aca="false">IFERROR(K163/J163,0)</f>
        <v>0.0365607201910711</v>
      </c>
      <c r="R163" s="11" t="str">
        <f aca="false">IF(COUNTIF($A$2:A163,A163)&gt;1,"Duplicate - Remove","Unique")</f>
        <v>Unique</v>
      </c>
      <c r="S163" s="11" t="str">
        <f aca="false">TRIM(IF(Raw_Data!G163="","Region missing; ","")&amp;IF(Raw_Data!H163="","Spend imputed; ","")&amp;IF(Raw_Data!L163="","Revenue imputed; ","")&amp;IF(Raw_Data!J163&lt;0,"Clicks corrected; ",""))</f>
        <v>Region missing;</v>
      </c>
    </row>
    <row r="164" customFormat="false" ht="15" hidden="false" customHeight="true" outlineLevel="0" collapsed="false">
      <c r="A164" s="11" t="n">
        <f aca="false">Raw_Data!A164</f>
        <v>1309</v>
      </c>
      <c r="B164" s="11" t="str">
        <f aca="false">PROPER(TRIM(Raw_Data!B164))</f>
        <v>Festive Gift Bundle</v>
      </c>
      <c r="C164" s="11" t="str">
        <f aca="false">IFERROR(INDEX(Lookup_Tables!$B$2:$B$26,MATCH(UPPER(TRIM(Raw_Data!C164)),Lookup_Tables!$C$2:$C$26,0)),"Unknown")</f>
        <v>Google Ads</v>
      </c>
      <c r="D164" s="12" t="n">
        <f aca="false">IFERROR(IF(ISNUMBER(SEARCH("/",Raw_Data!D164)),DATE(VALUE(RIGHT(Raw_Data!D164,4)),VALUE(MID(Raw_Data!D164,FIND("/",Raw_Data!D164)+1,FIND("/",Raw_Data!D164,FIND("/",Raw_Data!D164)+1)-FIND("/",Raw_Data!D164)-1)),VALUE(LEFT(Raw_Data!D164,FIND("/",Raw_Data!D164)-1))),IF(ISNUMBER(VALUE(LEFT(Raw_Data!D164,4))),DATE(VALUE(LEFT(Raw_Data!D164,4)),VALUE(MID(Raw_Data!D164,6,2)),VALUE(MID(Raw_Data!D164,9,2))),DATEVALUE(Raw_Data!D164))),"")</f>
        <v>45424</v>
      </c>
      <c r="E164" s="12" t="n">
        <f aca="false">IFERROR(IF(ISNUMBER(SEARCH("/",Raw_Data!E164)),DATE(VALUE(RIGHT(Raw_Data!E164,4)),VALUE(MID(Raw_Data!E164,FIND("/",Raw_Data!E164)+1,FIND("/",Raw_Data!E164,FIND("/",Raw_Data!E164)+1)-FIND("/",Raw_Data!E164)-1)),VALUE(LEFT(Raw_Data!E164,FIND("/",Raw_Data!E164)-1))),IF(ISNUMBER(VALUE(LEFT(Raw_Data!E164,4))),DATE(VALUE(LEFT(Raw_Data!E164,4)),VALUE(MID(Raw_Data!E164,6,2)),VALUE(MID(Raw_Data!E164,9,2))),DATEVALUE(Raw_Data!E164))),"")</f>
        <v>45437</v>
      </c>
      <c r="F164" s="11" t="str">
        <f aca="false">Raw_Data!F164</f>
        <v>Female 18-24</v>
      </c>
      <c r="G164" s="11" t="str">
        <f aca="false">IF(TRIM(Raw_Data!G164)="","Unspecified",IFERROR(INDEX(Lookup_Tables!$F$2:$F$24,MATCH(UPPER(TRIM(Raw_Data!G164)),Lookup_Tables!$G$2:$G$24,0)),"Unknown"))</f>
        <v>North</v>
      </c>
      <c r="H164" s="11" t="n">
        <f aca="false">IF(Raw_Data!H164="",ROUND(AVERAGEIFS(Raw_Data!$H$2:$H$839,Raw_Data!$C$2:$C$839,Raw_Data!C164),2),Raw_Data!H164)</f>
        <v>40840.24</v>
      </c>
      <c r="I164" s="11" t="n">
        <f aca="false">Raw_Data!I164</f>
        <v>1114654</v>
      </c>
      <c r="J164" s="11" t="n">
        <f aca="false">IF(Raw_Data!J164&lt;0,ABS(Raw_Data!J164),Raw_Data!J164)</f>
        <v>36624</v>
      </c>
      <c r="K164" s="11" t="n">
        <f aca="false">Raw_Data!K164</f>
        <v>1930</v>
      </c>
      <c r="L164" s="11" t="n">
        <f aca="false">IF(Raw_Data!L164="",ROUND(AVERAGEIFS(Raw_Data!$L$2:$L$839,Raw_Data!$C$2:$C$839,Raw_Data!C164),2),Raw_Data!L164)</f>
        <v>1174870.41</v>
      </c>
      <c r="M164" s="13" t="n">
        <f aca="false">IFERROR(J164/I164,0)</f>
        <v>0.0328568327032424</v>
      </c>
      <c r="N164" s="14" t="n">
        <f aca="false">IFERROR(H164/J164,0)</f>
        <v>1.11512232415902</v>
      </c>
      <c r="O164" s="14" t="n">
        <f aca="false">IFERROR(H164/K164,0)</f>
        <v>21.1607461139896</v>
      </c>
      <c r="P164" s="15" t="n">
        <f aca="false">IFERROR(L164/H164,0)</f>
        <v>28.7674707592316</v>
      </c>
      <c r="Q164" s="13" t="n">
        <f aca="false">IFERROR(K164/J164,0)</f>
        <v>0.0526976845784185</v>
      </c>
      <c r="R164" s="11" t="str">
        <f aca="false">IF(COUNTIF($A$2:A164,A164)&gt;1,"Duplicate - Remove","Unique")</f>
        <v>Unique</v>
      </c>
      <c r="S164" s="11" t="str">
        <f aca="false">TRIM(IF(Raw_Data!G164="","Region missing; ","")&amp;IF(Raw_Data!H164="","Spend imputed; ","")&amp;IF(Raw_Data!L164="","Revenue imputed; ","")&amp;IF(Raw_Data!J164&lt;0,"Clicks corrected; ",""))</f>
        <v/>
      </c>
    </row>
    <row r="165" customFormat="false" ht="15" hidden="false" customHeight="true" outlineLevel="0" collapsed="false">
      <c r="A165" s="11" t="n">
        <f aca="false">Raw_Data!A165</f>
        <v>1531</v>
      </c>
      <c r="B165" s="11" t="str">
        <f aca="false">PROPER(TRIM(Raw_Data!B165))</f>
        <v>New Year Wellness</v>
      </c>
      <c r="C165" s="11" t="str">
        <f aca="false">IFERROR(INDEX(Lookup_Tables!$B$2:$B$26,MATCH(UPPER(TRIM(Raw_Data!C165)),Lookup_Tables!$C$2:$C$26,0)),"Unknown")</f>
        <v>YouTube</v>
      </c>
      <c r="D165" s="12" t="n">
        <f aca="false">IFERROR(IF(ISNUMBER(SEARCH("/",Raw_Data!D165)),DATE(VALUE(RIGHT(Raw_Data!D165,4)),VALUE(MID(Raw_Data!D165,FIND("/",Raw_Data!D165)+1,FIND("/",Raw_Data!D165,FIND("/",Raw_Data!D165)+1)-FIND("/",Raw_Data!D165)-1)),VALUE(LEFT(Raw_Data!D165,FIND("/",Raw_Data!D165)-1))),IF(ISNUMBER(VALUE(LEFT(Raw_Data!D165,4))),DATE(VALUE(LEFT(Raw_Data!D165,4)),VALUE(MID(Raw_Data!D165,6,2)),VALUE(MID(Raw_Data!D165,9,2))),DATEVALUE(Raw_Data!D165))),"")</f>
        <v>45359</v>
      </c>
      <c r="E165" s="12" t="n">
        <f aca="false">IFERROR(IF(ISNUMBER(SEARCH("/",Raw_Data!E165)),DATE(VALUE(RIGHT(Raw_Data!E165,4)),VALUE(MID(Raw_Data!E165,FIND("/",Raw_Data!E165)+1,FIND("/",Raw_Data!E165,FIND("/",Raw_Data!E165)+1)-FIND("/",Raw_Data!E165)-1)),VALUE(LEFT(Raw_Data!E165,FIND("/",Raw_Data!E165)-1))),IF(ISNUMBER(VALUE(LEFT(Raw_Data!E165,4))),DATE(VALUE(LEFT(Raw_Data!E165,4)),VALUE(MID(Raw_Data!E165,6,2)),VALUE(MID(Raw_Data!E165,9,2))),DATEVALUE(Raw_Data!E165))),"")</f>
        <v>45376</v>
      </c>
      <c r="F165" s="11" t="str">
        <f aca="false">Raw_Data!F165</f>
        <v>Male 25-34</v>
      </c>
      <c r="G165" s="11" t="str">
        <f aca="false">IF(TRIM(Raw_Data!G165)="","Unspecified",IFERROR(INDEX(Lookup_Tables!$F$2:$F$24,MATCH(UPPER(TRIM(Raw_Data!G165)),Lookup_Tables!$G$2:$G$24,0)),"Unknown"))</f>
        <v>Central</v>
      </c>
      <c r="H165" s="11" t="n">
        <f aca="false">IF(Raw_Data!H165="",ROUND(AVERAGEIFS(Raw_Data!$H$2:$H$839,Raw_Data!$C$2:$C$839,Raw_Data!C165),2),Raw_Data!H165)</f>
        <v>82187.21</v>
      </c>
      <c r="I165" s="11" t="n">
        <f aca="false">Raw_Data!I165</f>
        <v>3119075</v>
      </c>
      <c r="J165" s="11" t="n">
        <f aca="false">IF(Raw_Data!J165&lt;0,ABS(Raw_Data!J165),Raw_Data!J165)</f>
        <v>19255</v>
      </c>
      <c r="K165" s="11" t="n">
        <f aca="false">Raw_Data!K165</f>
        <v>1061</v>
      </c>
      <c r="L165" s="11" t="n">
        <f aca="false">IF(Raw_Data!L165="",ROUND(AVERAGEIFS(Raw_Data!$L$2:$L$839,Raw_Data!$C$2:$C$839,Raw_Data!C165),2),Raw_Data!L165)</f>
        <v>478201.68</v>
      </c>
      <c r="M165" s="13" t="n">
        <f aca="false">IFERROR(J165/I165,0)</f>
        <v>0.0061733045854941</v>
      </c>
      <c r="N165" s="14" t="n">
        <f aca="false">IFERROR(H165/J165,0)</f>
        <v>4.26835679044404</v>
      </c>
      <c r="O165" s="14" t="n">
        <f aca="false">IFERROR(H165/K165,0)</f>
        <v>77.4620263901979</v>
      </c>
      <c r="P165" s="15" t="n">
        <f aca="false">IFERROR(L165/H165,0)</f>
        <v>5.81844401336899</v>
      </c>
      <c r="Q165" s="13" t="n">
        <f aca="false">IFERROR(K165/J165,0)</f>
        <v>0.0551025707608413</v>
      </c>
      <c r="R165" s="11" t="str">
        <f aca="false">IF(COUNTIF($A$2:A165,A165)&gt;1,"Duplicate - Remove","Unique")</f>
        <v>Unique</v>
      </c>
      <c r="S165" s="11" t="str">
        <f aca="false">TRIM(IF(Raw_Data!G165="","Region missing; ","")&amp;IF(Raw_Data!H165="","Spend imputed; ","")&amp;IF(Raw_Data!L165="","Revenue imputed; ","")&amp;IF(Raw_Data!J165&lt;0,"Clicks corrected; ",""))</f>
        <v/>
      </c>
    </row>
    <row r="166" customFormat="false" ht="15" hidden="false" customHeight="true" outlineLevel="0" collapsed="false">
      <c r="A166" s="11" t="n">
        <f aca="false">Raw_Data!A166</f>
        <v>1005</v>
      </c>
      <c r="B166" s="11" t="str">
        <f aca="false">PROPER(TRIM(Raw_Data!B166))</f>
        <v>Men'S Grooming Drive</v>
      </c>
      <c r="C166" s="11" t="str">
        <f aca="false">IFERROR(INDEX(Lookup_Tables!$B$2:$B$26,MATCH(UPPER(TRIM(Raw_Data!C166)),Lookup_Tables!$C$2:$C$26,0)),"Unknown")</f>
        <v>Email</v>
      </c>
      <c r="D166" s="12" t="n">
        <f aca="false">IFERROR(IF(ISNUMBER(SEARCH("/",Raw_Data!D166)),DATE(VALUE(RIGHT(Raw_Data!D166,4)),VALUE(MID(Raw_Data!D166,FIND("/",Raw_Data!D166)+1,FIND("/",Raw_Data!D166,FIND("/",Raw_Data!D166)+1)-FIND("/",Raw_Data!D166)-1)),VALUE(LEFT(Raw_Data!D166,FIND("/",Raw_Data!D166)-1))),IF(ISNUMBER(VALUE(LEFT(Raw_Data!D166,4))),DATE(VALUE(LEFT(Raw_Data!D166,4)),VALUE(MID(Raw_Data!D166,6,2)),VALUE(MID(Raw_Data!D166,9,2))),DATEVALUE(Raw_Data!D166))),"")</f>
        <v>45590</v>
      </c>
      <c r="E166" s="12" t="n">
        <f aca="false">IFERROR(IF(ISNUMBER(SEARCH("/",Raw_Data!E166)),DATE(VALUE(RIGHT(Raw_Data!E166,4)),VALUE(MID(Raw_Data!E166,FIND("/",Raw_Data!E166)+1,FIND("/",Raw_Data!E166,FIND("/",Raw_Data!E166)+1)-FIND("/",Raw_Data!E166)-1)),VALUE(LEFT(Raw_Data!E166,FIND("/",Raw_Data!E166)-1))),IF(ISNUMBER(VALUE(LEFT(Raw_Data!E166,4))),DATE(VALUE(LEFT(Raw_Data!E166,4)),VALUE(MID(Raw_Data!E166,6,2)),VALUE(MID(Raw_Data!E166,9,2))),DATEVALUE(Raw_Data!E166))),"")</f>
        <v>45607</v>
      </c>
      <c r="F166" s="11" t="str">
        <f aca="false">Raw_Data!F166</f>
        <v>Female 45+</v>
      </c>
      <c r="G166" s="11" t="str">
        <f aca="false">IF(TRIM(Raw_Data!G166)="","Unspecified",IFERROR(INDEX(Lookup_Tables!$F$2:$F$24,MATCH(UPPER(TRIM(Raw_Data!G166)),Lookup_Tables!$G$2:$G$24,0)),"Unknown"))</f>
        <v>Central</v>
      </c>
      <c r="H166" s="11" t="n">
        <f aca="false">IF(Raw_Data!H166="",ROUND(AVERAGEIFS(Raw_Data!$H$2:$H$839,Raw_Data!$C$2:$C$839,Raw_Data!C166),2),Raw_Data!H166)</f>
        <v>2535.25</v>
      </c>
      <c r="I166" s="11" t="n">
        <f aca="false">Raw_Data!I166</f>
        <v>101253</v>
      </c>
      <c r="J166" s="11" t="n">
        <f aca="false">IF(Raw_Data!J166&lt;0,ABS(Raw_Data!J166),Raw_Data!J166)</f>
        <v>2053</v>
      </c>
      <c r="K166" s="11" t="n">
        <f aca="false">Raw_Data!K166</f>
        <v>33</v>
      </c>
      <c r="L166" s="11" t="n">
        <f aca="false">IF(Raw_Data!L166="",ROUND(AVERAGEIFS(Raw_Data!$L$2:$L$839,Raw_Data!$C$2:$C$839,Raw_Data!C166),2),Raw_Data!L166)</f>
        <v>13804.52</v>
      </c>
      <c r="M166" s="13" t="n">
        <f aca="false">IFERROR(J166/I166,0)</f>
        <v>0.0202759424412116</v>
      </c>
      <c r="N166" s="14" t="n">
        <f aca="false">IFERROR(H166/J166,0)</f>
        <v>1.23490014612762</v>
      </c>
      <c r="O166" s="14" t="n">
        <f aca="false">IFERROR(H166/K166,0)</f>
        <v>76.8257575757576</v>
      </c>
      <c r="P166" s="15" t="n">
        <f aca="false">IFERROR(L166/H166,0)</f>
        <v>5.44503303421753</v>
      </c>
      <c r="Q166" s="13" t="n">
        <f aca="false">IFERROR(K166/J166,0)</f>
        <v>0.0160740379931807</v>
      </c>
      <c r="R166" s="11" t="str">
        <f aca="false">IF(COUNTIF($A$2:A166,A166)&gt;1,"Duplicate - Remove","Unique")</f>
        <v>Unique</v>
      </c>
      <c r="S166" s="11" t="str">
        <f aca="false">TRIM(IF(Raw_Data!G166="","Region missing; ","")&amp;IF(Raw_Data!H166="","Spend imputed; ","")&amp;IF(Raw_Data!L166="","Revenue imputed; ","")&amp;IF(Raw_Data!J166&lt;0,"Clicks corrected; ",""))</f>
        <v/>
      </c>
    </row>
    <row r="167" customFormat="false" ht="15" hidden="false" customHeight="true" outlineLevel="0" collapsed="false">
      <c r="A167" s="11" t="n">
        <f aca="false">Raw_Data!A167</f>
        <v>1592</v>
      </c>
      <c r="B167" s="11" t="str">
        <f aca="false">PROPER(TRIM(Raw_Data!B167))</f>
        <v>Ayurvedic Range Launch</v>
      </c>
      <c r="C167" s="11" t="str">
        <f aca="false">IFERROR(INDEX(Lookup_Tables!$B$2:$B$26,MATCH(UPPER(TRIM(Raw_Data!C167)),Lookup_Tables!$C$2:$C$26,0)),"Unknown")</f>
        <v>YouTube</v>
      </c>
      <c r="D167" s="12" t="n">
        <f aca="false">IFERROR(IF(ISNUMBER(SEARCH("/",Raw_Data!D167)),DATE(VALUE(RIGHT(Raw_Data!D167,4)),VALUE(MID(Raw_Data!D167,FIND("/",Raw_Data!D167)+1,FIND("/",Raw_Data!D167,FIND("/",Raw_Data!D167)+1)-FIND("/",Raw_Data!D167)-1)),VALUE(LEFT(Raw_Data!D167,FIND("/",Raw_Data!D167)-1))),IF(ISNUMBER(VALUE(LEFT(Raw_Data!D167,4))),DATE(VALUE(LEFT(Raw_Data!D167,4)),VALUE(MID(Raw_Data!D167,6,2)),VALUE(MID(Raw_Data!D167,9,2))),DATEVALUE(Raw_Data!D167))),"")</f>
        <v>45409</v>
      </c>
      <c r="E167" s="12" t="n">
        <f aca="false">IFERROR(IF(ISNUMBER(SEARCH("/",Raw_Data!E167)),DATE(VALUE(RIGHT(Raw_Data!E167,4)),VALUE(MID(Raw_Data!E167,FIND("/",Raw_Data!E167)+1,FIND("/",Raw_Data!E167,FIND("/",Raw_Data!E167)+1)-FIND("/",Raw_Data!E167)-1)),VALUE(LEFT(Raw_Data!E167,FIND("/",Raw_Data!E167)-1))),IF(ISNUMBER(VALUE(LEFT(Raw_Data!E167,4))),DATE(VALUE(LEFT(Raw_Data!E167,4)),VALUE(MID(Raw_Data!E167,6,2)),VALUE(MID(Raw_Data!E167,9,2))),DATEVALUE(Raw_Data!E167))),"")</f>
        <v>45423</v>
      </c>
      <c r="F167" s="11" t="str">
        <f aca="false">Raw_Data!F167</f>
        <v>Female 45+</v>
      </c>
      <c r="G167" s="11" t="str">
        <f aca="false">IF(TRIM(Raw_Data!G167)="","Unspecified",IFERROR(INDEX(Lookup_Tables!$F$2:$F$24,MATCH(UPPER(TRIM(Raw_Data!G167)),Lookup_Tables!$G$2:$G$24,0)),"Unknown"))</f>
        <v>Central</v>
      </c>
      <c r="H167" s="11" t="n">
        <f aca="false">IF(Raw_Data!H167="",ROUND(AVERAGEIFS(Raw_Data!$H$2:$H$839,Raw_Data!$C$2:$C$839,Raw_Data!C167),2),Raw_Data!H167)</f>
        <v>83299.03</v>
      </c>
      <c r="I167" s="11" t="n">
        <f aca="false">Raw_Data!I167</f>
        <v>1939830</v>
      </c>
      <c r="J167" s="11" t="n">
        <f aca="false">IF(Raw_Data!J167&lt;0,ABS(Raw_Data!J167),Raw_Data!J167)</f>
        <v>22246</v>
      </c>
      <c r="K167" s="11" t="n">
        <f aca="false">Raw_Data!K167</f>
        <v>1364</v>
      </c>
      <c r="L167" s="11" t="n">
        <f aca="false">IF(Raw_Data!L167="",ROUND(AVERAGEIFS(Raw_Data!$L$2:$L$839,Raw_Data!$C$2:$C$839,Raw_Data!C167),2),Raw_Data!L167)</f>
        <v>1458147.45</v>
      </c>
      <c r="M167" s="13" t="n">
        <f aca="false">IFERROR(J167/I167,0)</f>
        <v>0.0114680152384487</v>
      </c>
      <c r="N167" s="14" t="n">
        <f aca="false">IFERROR(H167/J167,0)</f>
        <v>3.74444978872606</v>
      </c>
      <c r="O167" s="14" t="n">
        <f aca="false">IFERROR(H167/K167,0)</f>
        <v>61.0696700879765</v>
      </c>
      <c r="P167" s="15" t="n">
        <f aca="false">IFERROR(L167/H167,0)</f>
        <v>17.5049751479699</v>
      </c>
      <c r="Q167" s="13" t="n">
        <f aca="false">IFERROR(K167/J167,0)</f>
        <v>0.0613143935988492</v>
      </c>
      <c r="R167" s="11" t="str">
        <f aca="false">IF(COUNTIF($A$2:A167,A167)&gt;1,"Duplicate - Remove","Unique")</f>
        <v>Unique</v>
      </c>
      <c r="S167" s="11" t="str">
        <f aca="false">TRIM(IF(Raw_Data!G167="","Region missing; ","")&amp;IF(Raw_Data!H167="","Spend imputed; ","")&amp;IF(Raw_Data!L167="","Revenue imputed; ","")&amp;IF(Raw_Data!J167&lt;0,"Clicks corrected; ",""))</f>
        <v>Revenue imputed;</v>
      </c>
    </row>
    <row r="168" customFormat="false" ht="15" hidden="false" customHeight="true" outlineLevel="0" collapsed="false">
      <c r="A168" s="11" t="n">
        <f aca="false">Raw_Data!A168</f>
        <v>1191</v>
      </c>
      <c r="B168" s="11" t="str">
        <f aca="false">PROPER(TRIM(Raw_Data!B168))</f>
        <v>Summer Glow Launch</v>
      </c>
      <c r="C168" s="11" t="str">
        <f aca="false">IFERROR(INDEX(Lookup_Tables!$B$2:$B$26,MATCH(UPPER(TRIM(Raw_Data!C168)),Lookup_Tables!$C$2:$C$26,0)),"Unknown")</f>
        <v>Instagram</v>
      </c>
      <c r="D168" s="12" t="n">
        <f aca="false">IFERROR(IF(ISNUMBER(SEARCH("/",Raw_Data!D168)),DATE(VALUE(RIGHT(Raw_Data!D168,4)),VALUE(MID(Raw_Data!D168,FIND("/",Raw_Data!D168)+1,FIND("/",Raw_Data!D168,FIND("/",Raw_Data!D168)+1)-FIND("/",Raw_Data!D168)-1)),VALUE(LEFT(Raw_Data!D168,FIND("/",Raw_Data!D168)-1))),IF(ISNUMBER(VALUE(LEFT(Raw_Data!D168,4))),DATE(VALUE(LEFT(Raw_Data!D168,4)),VALUE(MID(Raw_Data!D168,6,2)),VALUE(MID(Raw_Data!D168,9,2))),DATEVALUE(Raw_Data!D168))),"")</f>
        <v>45519</v>
      </c>
      <c r="E168" s="12" t="n">
        <f aca="false">IFERROR(IF(ISNUMBER(SEARCH("/",Raw_Data!E168)),DATE(VALUE(RIGHT(Raw_Data!E168,4)),VALUE(MID(Raw_Data!E168,FIND("/",Raw_Data!E168)+1,FIND("/",Raw_Data!E168,FIND("/",Raw_Data!E168)+1)-FIND("/",Raw_Data!E168)-1)),VALUE(LEFT(Raw_Data!E168,FIND("/",Raw_Data!E168)-1))),IF(ISNUMBER(VALUE(LEFT(Raw_Data!E168,4))),DATE(VALUE(LEFT(Raw_Data!E168,4)),VALUE(MID(Raw_Data!E168,6,2)),VALUE(MID(Raw_Data!E168,9,2))),DATEVALUE(Raw_Data!E168))),"")</f>
        <v>45536</v>
      </c>
      <c r="F168" s="11" t="str">
        <f aca="false">Raw_Data!F168</f>
        <v>Female 45+</v>
      </c>
      <c r="G168" s="11" t="str">
        <f aca="false">IF(TRIM(Raw_Data!G168)="","Unspecified",IFERROR(INDEX(Lookup_Tables!$F$2:$F$24,MATCH(UPPER(TRIM(Raw_Data!G168)),Lookup_Tables!$G$2:$G$24,0)),"Unknown"))</f>
        <v>North</v>
      </c>
      <c r="H168" s="11" t="n">
        <f aca="false">IF(Raw_Data!H168="",ROUND(AVERAGEIFS(Raw_Data!$H$2:$H$839,Raw_Data!$C$2:$C$839,Raw_Data!C168),2),Raw_Data!H168)</f>
        <v>36458.68</v>
      </c>
      <c r="I168" s="11" t="n">
        <f aca="false">Raw_Data!I168</f>
        <v>979276</v>
      </c>
      <c r="J168" s="11" t="n">
        <f aca="false">IF(Raw_Data!J168&lt;0,ABS(Raw_Data!J168),Raw_Data!J168)</f>
        <v>9394</v>
      </c>
      <c r="K168" s="11" t="n">
        <f aca="false">Raw_Data!K168</f>
        <v>551</v>
      </c>
      <c r="L168" s="11" t="n">
        <f aca="false">IF(Raw_Data!L168="",ROUND(AVERAGEIFS(Raw_Data!$L$2:$L$839,Raw_Data!$C$2:$C$839,Raw_Data!C168),2),Raw_Data!L168)</f>
        <v>696437.25</v>
      </c>
      <c r="M168" s="13" t="n">
        <f aca="false">IFERROR(J168/I168,0)</f>
        <v>0.00959280121232421</v>
      </c>
      <c r="N168" s="14" t="n">
        <f aca="false">IFERROR(H168/J168,0)</f>
        <v>3.88106025122419</v>
      </c>
      <c r="O168" s="14" t="n">
        <f aca="false">IFERROR(H168/K168,0)</f>
        <v>66.1682032667877</v>
      </c>
      <c r="P168" s="15" t="n">
        <f aca="false">IFERROR(L168/H168,0)</f>
        <v>19.102097223487</v>
      </c>
      <c r="Q168" s="13" t="n">
        <f aca="false">IFERROR(K168/J168,0)</f>
        <v>0.0586544602938046</v>
      </c>
      <c r="R168" s="11" t="str">
        <f aca="false">IF(COUNTIF($A$2:A168,A168)&gt;1,"Duplicate - Remove","Unique")</f>
        <v>Unique</v>
      </c>
      <c r="S168" s="11" t="str">
        <f aca="false">TRIM(IF(Raw_Data!G168="","Region missing; ","")&amp;IF(Raw_Data!H168="","Spend imputed; ","")&amp;IF(Raw_Data!L168="","Revenue imputed; ","")&amp;IF(Raw_Data!J168&lt;0,"Clicks corrected; ",""))</f>
        <v/>
      </c>
    </row>
    <row r="169" customFormat="false" ht="15" hidden="false" customHeight="true" outlineLevel="0" collapsed="false">
      <c r="A169" s="11" t="n">
        <f aca="false">Raw_Data!A169</f>
        <v>1708</v>
      </c>
      <c r="B169" s="11" t="str">
        <f aca="false">PROPER(TRIM(Raw_Data!B169))</f>
        <v>Hair Care Revamp</v>
      </c>
      <c r="C169" s="11" t="str">
        <f aca="false">IFERROR(INDEX(Lookup_Tables!$B$2:$B$26,MATCH(UPPER(TRIM(Raw_Data!C169)),Lookup_Tables!$C$2:$C$26,0)),"Unknown")</f>
        <v>Email</v>
      </c>
      <c r="D169" s="12" t="n">
        <f aca="false">IFERROR(IF(ISNUMBER(SEARCH("/",Raw_Data!D169)),DATE(VALUE(RIGHT(Raw_Data!D169,4)),VALUE(MID(Raw_Data!D169,FIND("/",Raw_Data!D169)+1,FIND("/",Raw_Data!D169,FIND("/",Raw_Data!D169)+1)-FIND("/",Raw_Data!D169)-1)),VALUE(LEFT(Raw_Data!D169,FIND("/",Raw_Data!D169)-1))),IF(ISNUMBER(VALUE(LEFT(Raw_Data!D169,4))),DATE(VALUE(LEFT(Raw_Data!D169,4)),VALUE(MID(Raw_Data!D169,6,2)),VALUE(MID(Raw_Data!D169,9,2))),DATEVALUE(Raw_Data!D169))),"")</f>
        <v>45519</v>
      </c>
      <c r="E169" s="12" t="n">
        <f aca="false">IFERROR(IF(ISNUMBER(SEARCH("/",Raw_Data!E169)),DATE(VALUE(RIGHT(Raw_Data!E169,4)),VALUE(MID(Raw_Data!E169,FIND("/",Raw_Data!E169)+1,FIND("/",Raw_Data!E169,FIND("/",Raw_Data!E169)+1)-FIND("/",Raw_Data!E169)-1)),VALUE(LEFT(Raw_Data!E169,FIND("/",Raw_Data!E169)-1))),IF(ISNUMBER(VALUE(LEFT(Raw_Data!E169,4))),DATE(VALUE(LEFT(Raw_Data!E169,4)),VALUE(MID(Raw_Data!E169,6,2)),VALUE(MID(Raw_Data!E169,9,2))),DATEVALUE(Raw_Data!E169))),"")</f>
        <v>45527</v>
      </c>
      <c r="F169" s="11" t="str">
        <f aca="false">Raw_Data!F169</f>
        <v>Female 35-44</v>
      </c>
      <c r="G169" s="11" t="str">
        <f aca="false">IF(TRIM(Raw_Data!G169)="","Unspecified",IFERROR(INDEX(Lookup_Tables!$F$2:$F$24,MATCH(UPPER(TRIM(Raw_Data!G169)),Lookup_Tables!$G$2:$G$24,0)),"Unknown"))</f>
        <v>East</v>
      </c>
      <c r="H169" s="11" t="n">
        <f aca="false">IF(Raw_Data!H169="",ROUND(AVERAGEIFS(Raw_Data!$H$2:$H$839,Raw_Data!$C$2:$C$839,Raw_Data!C169),2),Raw_Data!H169)</f>
        <v>1949.19</v>
      </c>
      <c r="I169" s="11" t="n">
        <f aca="false">Raw_Data!I169</f>
        <v>47801</v>
      </c>
      <c r="J169" s="11" t="n">
        <f aca="false">IF(Raw_Data!J169&lt;0,ABS(Raw_Data!J169),Raw_Data!J169)</f>
        <v>783</v>
      </c>
      <c r="K169" s="11" t="n">
        <f aca="false">Raw_Data!K169</f>
        <v>17</v>
      </c>
      <c r="L169" s="11" t="n">
        <f aca="false">IF(Raw_Data!L169="",ROUND(AVERAGEIFS(Raw_Data!$L$2:$L$839,Raw_Data!$C$2:$C$839,Raw_Data!C169),2),Raw_Data!L169)</f>
        <v>6441.87</v>
      </c>
      <c r="M169" s="13" t="n">
        <f aca="false">IFERROR(J169/I169,0)</f>
        <v>0.0163804104516642</v>
      </c>
      <c r="N169" s="14" t="n">
        <f aca="false">IFERROR(H169/J169,0)</f>
        <v>2.48938697318008</v>
      </c>
      <c r="O169" s="14" t="n">
        <f aca="false">IFERROR(H169/K169,0)</f>
        <v>114.658235294118</v>
      </c>
      <c r="P169" s="15" t="n">
        <f aca="false">IFERROR(L169/H169,0)</f>
        <v>3.304895879827</v>
      </c>
      <c r="Q169" s="13" t="n">
        <f aca="false">IFERROR(K169/J169,0)</f>
        <v>0.0217113665389527</v>
      </c>
      <c r="R169" s="11" t="str">
        <f aca="false">IF(COUNTIF($A$2:A169,A169)&gt;1,"Duplicate - Remove","Unique")</f>
        <v>Unique</v>
      </c>
      <c r="S169" s="11" t="str">
        <f aca="false">TRIM(IF(Raw_Data!G169="","Region missing; ","")&amp;IF(Raw_Data!H169="","Spend imputed; ","")&amp;IF(Raw_Data!L169="","Revenue imputed; ","")&amp;IF(Raw_Data!J169&lt;0,"Clicks corrected; ",""))</f>
        <v/>
      </c>
    </row>
    <row r="170" customFormat="false" ht="15" hidden="false" customHeight="true" outlineLevel="0" collapsed="false">
      <c r="A170" s="11" t="n">
        <f aca="false">Raw_Data!A170</f>
        <v>1057</v>
      </c>
      <c r="B170" s="11" t="str">
        <f aca="false">PROPER(TRIM(Raw_Data!B170))</f>
        <v>Ayurvedic Range Launch</v>
      </c>
      <c r="C170" s="11" t="str">
        <f aca="false">IFERROR(INDEX(Lookup_Tables!$B$2:$B$26,MATCH(UPPER(TRIM(Raw_Data!C170)),Lookup_Tables!$C$2:$C$26,0)),"Unknown")</f>
        <v>Google Ads</v>
      </c>
      <c r="D170" s="12" t="n">
        <f aca="false">IFERROR(IF(ISNUMBER(SEARCH("/",Raw_Data!D170)),DATE(VALUE(RIGHT(Raw_Data!D170,4)),VALUE(MID(Raw_Data!D170,FIND("/",Raw_Data!D170)+1,FIND("/",Raw_Data!D170,FIND("/",Raw_Data!D170)+1)-FIND("/",Raw_Data!D170)-1)),VALUE(LEFT(Raw_Data!D170,FIND("/",Raw_Data!D170)-1))),IF(ISNUMBER(VALUE(LEFT(Raw_Data!D170,4))),DATE(VALUE(LEFT(Raw_Data!D170,4)),VALUE(MID(Raw_Data!D170,6,2)),VALUE(MID(Raw_Data!D170,9,2))),DATEVALUE(Raw_Data!D170))),"")</f>
        <v>45354</v>
      </c>
      <c r="E170" s="12" t="n">
        <f aca="false">IFERROR(IF(ISNUMBER(SEARCH("/",Raw_Data!E170)),DATE(VALUE(RIGHT(Raw_Data!E170,4)),VALUE(MID(Raw_Data!E170,FIND("/",Raw_Data!E170)+1,FIND("/",Raw_Data!E170,FIND("/",Raw_Data!E170)+1)-FIND("/",Raw_Data!E170)-1)),VALUE(LEFT(Raw_Data!E170,FIND("/",Raw_Data!E170)-1))),IF(ISNUMBER(VALUE(LEFT(Raw_Data!E170,4))),DATE(VALUE(LEFT(Raw_Data!E170,4)),VALUE(MID(Raw_Data!E170,6,2)),VALUE(MID(Raw_Data!E170,9,2))),DATEVALUE(Raw_Data!E170))),"")</f>
        <v>45373</v>
      </c>
      <c r="F170" s="11" t="str">
        <f aca="false">Raw_Data!F170</f>
        <v>Male 18-24</v>
      </c>
      <c r="G170" s="11" t="str">
        <f aca="false">IF(TRIM(Raw_Data!G170)="","Unspecified",IFERROR(INDEX(Lookup_Tables!$F$2:$F$24,MATCH(UPPER(TRIM(Raw_Data!G170)),Lookup_Tables!$G$2:$G$24,0)),"Unknown"))</f>
        <v>East</v>
      </c>
      <c r="H170" s="11" t="n">
        <f aca="false">IF(Raw_Data!H170="",ROUND(AVERAGEIFS(Raw_Data!$H$2:$H$839,Raw_Data!$C$2:$C$839,Raw_Data!C170),2),Raw_Data!H170)</f>
        <v>56393.81</v>
      </c>
      <c r="I170" s="11" t="n">
        <f aca="false">Raw_Data!I170</f>
        <v>1750611</v>
      </c>
      <c r="J170" s="11" t="n">
        <f aca="false">IF(Raw_Data!J170&lt;0,ABS(Raw_Data!J170),Raw_Data!J170)</f>
        <v>40114</v>
      </c>
      <c r="K170" s="11" t="n">
        <f aca="false">Raw_Data!K170</f>
        <v>461</v>
      </c>
      <c r="L170" s="11" t="n">
        <f aca="false">IF(Raw_Data!L170="",ROUND(AVERAGEIFS(Raw_Data!$L$2:$L$839,Raw_Data!$C$2:$C$839,Raw_Data!C170),2),Raw_Data!L170)</f>
        <v>687282.84</v>
      </c>
      <c r="M170" s="13" t="n">
        <f aca="false">IFERROR(J170/I170,0)</f>
        <v>0.0229142853552274</v>
      </c>
      <c r="N170" s="14" t="n">
        <f aca="false">IFERROR(H170/J170,0)</f>
        <v>1.40583860996161</v>
      </c>
      <c r="O170" s="14" t="n">
        <f aca="false">IFERROR(H170/K170,0)</f>
        <v>122.329305856833</v>
      </c>
      <c r="P170" s="15" t="n">
        <f aca="false">IFERROR(L170/H170,0)</f>
        <v>12.1872035246422</v>
      </c>
      <c r="Q170" s="13" t="n">
        <f aca="false">IFERROR(K170/J170,0)</f>
        <v>0.011492247095777</v>
      </c>
      <c r="R170" s="11" t="str">
        <f aca="false">IF(COUNTIF($A$2:A170,A170)&gt;1,"Duplicate - Remove","Unique")</f>
        <v>Unique</v>
      </c>
      <c r="S170" s="11" t="str">
        <f aca="false">TRIM(IF(Raw_Data!G170="","Region missing; ","")&amp;IF(Raw_Data!H170="","Spend imputed; ","")&amp;IF(Raw_Data!L170="","Revenue imputed; ","")&amp;IF(Raw_Data!J170&lt;0,"Clicks corrected; ",""))</f>
        <v/>
      </c>
    </row>
    <row r="171" customFormat="false" ht="15" hidden="false" customHeight="true" outlineLevel="0" collapsed="false">
      <c r="A171" s="11" t="n">
        <f aca="false">Raw_Data!A171</f>
        <v>1684</v>
      </c>
      <c r="B171" s="11" t="str">
        <f aca="false">PROPER(TRIM(Raw_Data!B171))</f>
        <v>Wedding Season Special</v>
      </c>
      <c r="C171" s="11" t="str">
        <f aca="false">IFERROR(INDEX(Lookup_Tables!$B$2:$B$26,MATCH(UPPER(TRIM(Raw_Data!C171)),Lookup_Tables!$C$2:$C$26,0)),"Unknown")</f>
        <v>YouTube</v>
      </c>
      <c r="D171" s="12" t="n">
        <f aca="false">IFERROR(IF(ISNUMBER(SEARCH("/",Raw_Data!D171)),DATE(VALUE(RIGHT(Raw_Data!D171,4)),VALUE(MID(Raw_Data!D171,FIND("/",Raw_Data!D171)+1,FIND("/",Raw_Data!D171,FIND("/",Raw_Data!D171)+1)-FIND("/",Raw_Data!D171)-1)),VALUE(LEFT(Raw_Data!D171,FIND("/",Raw_Data!D171)-1))),IF(ISNUMBER(VALUE(LEFT(Raw_Data!D171,4))),DATE(VALUE(LEFT(Raw_Data!D171,4)),VALUE(MID(Raw_Data!D171,6,2)),VALUE(MID(Raw_Data!D171,9,2))),DATEVALUE(Raw_Data!D171))),"")</f>
        <v>45494</v>
      </c>
      <c r="E171" s="12" t="n">
        <f aca="false">IFERROR(IF(ISNUMBER(SEARCH("/",Raw_Data!E171)),DATE(VALUE(RIGHT(Raw_Data!E171,4)),VALUE(MID(Raw_Data!E171,FIND("/",Raw_Data!E171)+1,FIND("/",Raw_Data!E171,FIND("/",Raw_Data!E171)+1)-FIND("/",Raw_Data!E171)-1)),VALUE(LEFT(Raw_Data!E171,FIND("/",Raw_Data!E171)-1))),IF(ISNUMBER(VALUE(LEFT(Raw_Data!E171,4))),DATE(VALUE(LEFT(Raw_Data!E171,4)),VALUE(MID(Raw_Data!E171,6,2)),VALUE(MID(Raw_Data!E171,9,2))),DATEVALUE(Raw_Data!E171))),"")</f>
        <v>45505</v>
      </c>
      <c r="F171" s="11" t="str">
        <f aca="false">Raw_Data!F171</f>
        <v>Female 35-44</v>
      </c>
      <c r="G171" s="11" t="str">
        <f aca="false">IF(TRIM(Raw_Data!G171)="","Unspecified",IFERROR(INDEX(Lookup_Tables!$F$2:$F$24,MATCH(UPPER(TRIM(Raw_Data!G171)),Lookup_Tables!$G$2:$G$24,0)),"Unknown"))</f>
        <v>West</v>
      </c>
      <c r="H171" s="11" t="n">
        <f aca="false">IF(Raw_Data!H171="",ROUND(AVERAGEIFS(Raw_Data!$H$2:$H$839,Raw_Data!$C$2:$C$839,Raw_Data!C171),2),Raw_Data!H171)</f>
        <v>48908.38</v>
      </c>
      <c r="I171" s="11" t="n">
        <f aca="false">Raw_Data!I171</f>
        <v>1391927</v>
      </c>
      <c r="J171" s="11" t="n">
        <f aca="false">IF(Raw_Data!J171&lt;0,ABS(Raw_Data!J171),Raw_Data!J171)</f>
        <v>35132</v>
      </c>
      <c r="K171" s="11" t="n">
        <f aca="false">Raw_Data!K171</f>
        <v>1164</v>
      </c>
      <c r="L171" s="11" t="n">
        <f aca="false">IF(Raw_Data!L171="",ROUND(AVERAGEIFS(Raw_Data!$L$2:$L$839,Raw_Data!$C$2:$C$839,Raw_Data!C171),2),Raw_Data!L171)</f>
        <v>1369205.26</v>
      </c>
      <c r="M171" s="13" t="n">
        <f aca="false">IFERROR(J171/I171,0)</f>
        <v>0.0252398293876044</v>
      </c>
      <c r="N171" s="14" t="n">
        <f aca="false">IFERROR(H171/J171,0)</f>
        <v>1.39213195946715</v>
      </c>
      <c r="O171" s="14" t="n">
        <f aca="false">IFERROR(H171/K171,0)</f>
        <v>42.0175085910653</v>
      </c>
      <c r="P171" s="15" t="n">
        <f aca="false">IFERROR(L171/H171,0)</f>
        <v>27.9953100061789</v>
      </c>
      <c r="Q171" s="13" t="n">
        <f aca="false">IFERROR(K171/J171,0)</f>
        <v>0.0331321871797791</v>
      </c>
      <c r="R171" s="11" t="str">
        <f aca="false">IF(COUNTIF($A$2:A171,A171)&gt;1,"Duplicate - Remove","Unique")</f>
        <v>Unique</v>
      </c>
      <c r="S171" s="11" t="str">
        <f aca="false">TRIM(IF(Raw_Data!G171="","Region missing; ","")&amp;IF(Raw_Data!H171="","Spend imputed; ","")&amp;IF(Raw_Data!L171="","Revenue imputed; ","")&amp;IF(Raw_Data!J171&lt;0,"Clicks corrected; ",""))</f>
        <v/>
      </c>
    </row>
    <row r="172" customFormat="false" ht="15" hidden="false" customHeight="true" outlineLevel="0" collapsed="false">
      <c r="A172" s="11" t="n">
        <f aca="false">Raw_Data!A172</f>
        <v>1341</v>
      </c>
      <c r="B172" s="11" t="str">
        <f aca="false">PROPER(TRIM(Raw_Data!B172))</f>
        <v>Hair Care Revamp</v>
      </c>
      <c r="C172" s="11" t="str">
        <f aca="false">IFERROR(INDEX(Lookup_Tables!$B$2:$B$26,MATCH(UPPER(TRIM(Raw_Data!C172)),Lookup_Tables!$C$2:$C$26,0)),"Unknown")</f>
        <v>Facebook</v>
      </c>
      <c r="D172" s="12" t="n">
        <f aca="false">IFERROR(IF(ISNUMBER(SEARCH("/",Raw_Data!D172)),DATE(VALUE(RIGHT(Raw_Data!D172,4)),VALUE(MID(Raw_Data!D172,FIND("/",Raw_Data!D172)+1,FIND("/",Raw_Data!D172,FIND("/",Raw_Data!D172)+1)-FIND("/",Raw_Data!D172)-1)),VALUE(LEFT(Raw_Data!D172,FIND("/",Raw_Data!D172)-1))),IF(ISNUMBER(VALUE(LEFT(Raw_Data!D172,4))),DATE(VALUE(LEFT(Raw_Data!D172,4)),VALUE(MID(Raw_Data!D172,6,2)),VALUE(MID(Raw_Data!D172,9,2))),DATEVALUE(Raw_Data!D172))),"")</f>
        <v>45505</v>
      </c>
      <c r="E172" s="12" t="n">
        <f aca="false">IFERROR(IF(ISNUMBER(SEARCH("/",Raw_Data!E172)),DATE(VALUE(RIGHT(Raw_Data!E172,4)),VALUE(MID(Raw_Data!E172,FIND("/",Raw_Data!E172)+1,FIND("/",Raw_Data!E172,FIND("/",Raw_Data!E172)+1)-FIND("/",Raw_Data!E172)-1)),VALUE(LEFT(Raw_Data!E172,FIND("/",Raw_Data!E172)-1))),IF(ISNUMBER(VALUE(LEFT(Raw_Data!E172,4))),DATE(VALUE(LEFT(Raw_Data!E172,4)),VALUE(MID(Raw_Data!E172,6,2)),VALUE(MID(Raw_Data!E172,9,2))),DATEVALUE(Raw_Data!E172))),"")</f>
        <v>45524</v>
      </c>
      <c r="F172" s="11" t="str">
        <f aca="false">Raw_Data!F172</f>
        <v>Female 25-34</v>
      </c>
      <c r="G172" s="11" t="str">
        <f aca="false">IF(TRIM(Raw_Data!G172)="","Unspecified",IFERROR(INDEX(Lookup_Tables!$F$2:$F$24,MATCH(UPPER(TRIM(Raw_Data!G172)),Lookup_Tables!$G$2:$G$24,0)),"Unknown"))</f>
        <v>Central</v>
      </c>
      <c r="H172" s="11" t="n">
        <f aca="false">IF(Raw_Data!H172="",ROUND(AVERAGEIFS(Raw_Data!$H$2:$H$839,Raw_Data!$C$2:$C$839,Raw_Data!C172),2),Raw_Data!H172)</f>
        <v>11128.89</v>
      </c>
      <c r="I172" s="11" t="n">
        <f aca="false">Raw_Data!I172</f>
        <v>203445</v>
      </c>
      <c r="J172" s="11" t="n">
        <f aca="false">IF(Raw_Data!J172&lt;0,ABS(Raw_Data!J172),Raw_Data!J172)</f>
        <v>1123</v>
      </c>
      <c r="K172" s="11" t="n">
        <f aca="false">Raw_Data!K172</f>
        <v>38</v>
      </c>
      <c r="L172" s="11" t="n">
        <f aca="false">IF(Raw_Data!L172="",ROUND(AVERAGEIFS(Raw_Data!$L$2:$L$839,Raw_Data!$C$2:$C$839,Raw_Data!C172),2),Raw_Data!L172)</f>
        <v>51376.89</v>
      </c>
      <c r="M172" s="13" t="n">
        <f aca="false">IFERROR(J172/I172,0)</f>
        <v>0.00551991938853253</v>
      </c>
      <c r="N172" s="14" t="n">
        <f aca="false">IFERROR(H172/J172,0)</f>
        <v>9.909964381122</v>
      </c>
      <c r="O172" s="14" t="n">
        <f aca="false">IFERROR(H172/K172,0)</f>
        <v>292.865526315789</v>
      </c>
      <c r="P172" s="15" t="n">
        <f aca="false">IFERROR(L172/H172,0)</f>
        <v>4.61653318525028</v>
      </c>
      <c r="Q172" s="13" t="n">
        <f aca="false">IFERROR(K172/J172,0)</f>
        <v>0.0338379341050757</v>
      </c>
      <c r="R172" s="11" t="str">
        <f aca="false">IF(COUNTIF($A$2:A172,A172)&gt;1,"Duplicate - Remove","Unique")</f>
        <v>Unique</v>
      </c>
      <c r="S172" s="11" t="str">
        <f aca="false">TRIM(IF(Raw_Data!G172="","Region missing; ","")&amp;IF(Raw_Data!H172="","Spend imputed; ","")&amp;IF(Raw_Data!L172="","Revenue imputed; ","")&amp;IF(Raw_Data!J172&lt;0,"Clicks corrected; ",""))</f>
        <v/>
      </c>
    </row>
    <row r="173" customFormat="false" ht="15" hidden="false" customHeight="true" outlineLevel="0" collapsed="false">
      <c r="A173" s="11" t="n">
        <f aca="false">Raw_Data!A173</f>
        <v>1037</v>
      </c>
      <c r="B173" s="11" t="str">
        <f aca="false">PROPER(TRIM(Raw_Data!B173))</f>
        <v>Men'S Grooming Drive</v>
      </c>
      <c r="C173" s="11" t="str">
        <f aca="false">IFERROR(INDEX(Lookup_Tables!$B$2:$B$26,MATCH(UPPER(TRIM(Raw_Data!C173)),Lookup_Tables!$C$2:$C$26,0)),"Unknown")</f>
        <v>YouTube</v>
      </c>
      <c r="D173" s="12" t="n">
        <f aca="false">IFERROR(IF(ISNUMBER(SEARCH("/",Raw_Data!D173)),DATE(VALUE(RIGHT(Raw_Data!D173,4)),VALUE(MID(Raw_Data!D173,FIND("/",Raw_Data!D173)+1,FIND("/",Raw_Data!D173,FIND("/",Raw_Data!D173)+1)-FIND("/",Raw_Data!D173)-1)),VALUE(LEFT(Raw_Data!D173,FIND("/",Raw_Data!D173)-1))),IF(ISNUMBER(VALUE(LEFT(Raw_Data!D173,4))),DATE(VALUE(LEFT(Raw_Data!D173,4)),VALUE(MID(Raw_Data!D173,6,2)),VALUE(MID(Raw_Data!D173,9,2))),DATEVALUE(Raw_Data!D173))),"")</f>
        <v>45344</v>
      </c>
      <c r="E173" s="12" t="n">
        <f aca="false">IFERROR(IF(ISNUMBER(SEARCH("/",Raw_Data!E173)),DATE(VALUE(RIGHT(Raw_Data!E173,4)),VALUE(MID(Raw_Data!E173,FIND("/",Raw_Data!E173)+1,FIND("/",Raw_Data!E173,FIND("/",Raw_Data!E173)+1)-FIND("/",Raw_Data!E173)-1)),VALUE(LEFT(Raw_Data!E173,FIND("/",Raw_Data!E173)-1))),IF(ISNUMBER(VALUE(LEFT(Raw_Data!E173,4))),DATE(VALUE(LEFT(Raw_Data!E173,4)),VALUE(MID(Raw_Data!E173,6,2)),VALUE(MID(Raw_Data!E173,9,2))),DATEVALUE(Raw_Data!E173))),"")</f>
        <v>45349</v>
      </c>
      <c r="F173" s="11" t="str">
        <f aca="false">Raw_Data!F173</f>
        <v>Male 45+</v>
      </c>
      <c r="G173" s="11" t="str">
        <f aca="false">IF(TRIM(Raw_Data!G173)="","Unspecified",IFERROR(INDEX(Lookup_Tables!$F$2:$F$24,MATCH(UPPER(TRIM(Raw_Data!G173)),Lookup_Tables!$G$2:$G$24,0)),"Unknown"))</f>
        <v>East</v>
      </c>
      <c r="H173" s="11" t="n">
        <f aca="false">IF(Raw_Data!H173="",ROUND(AVERAGEIFS(Raw_Data!$H$2:$H$839,Raw_Data!$C$2:$C$839,Raw_Data!C173),2),Raw_Data!H173)</f>
        <v>36325.45</v>
      </c>
      <c r="I173" s="11" t="n">
        <f aca="false">Raw_Data!I173</f>
        <v>979619</v>
      </c>
      <c r="J173" s="11" t="n">
        <f aca="false">IF(Raw_Data!J173&lt;0,ABS(Raw_Data!J173),Raw_Data!J173)</f>
        <v>14910</v>
      </c>
      <c r="K173" s="11" t="n">
        <f aca="false">Raw_Data!K173</f>
        <v>1156</v>
      </c>
      <c r="L173" s="11" t="n">
        <f aca="false">IF(Raw_Data!L173="",ROUND(AVERAGEIFS(Raw_Data!$L$2:$L$839,Raw_Data!$C$2:$C$839,Raw_Data!C173),2),Raw_Data!L173)</f>
        <v>827804.28</v>
      </c>
      <c r="M173" s="13" t="n">
        <f aca="false">IFERROR(J173/I173,0)</f>
        <v>0.0152202029564555</v>
      </c>
      <c r="N173" s="14" t="n">
        <f aca="false">IFERROR(H173/J173,0)</f>
        <v>2.43631455399061</v>
      </c>
      <c r="O173" s="14" t="n">
        <f aca="false">IFERROR(H173/K173,0)</f>
        <v>31.4233996539792</v>
      </c>
      <c r="P173" s="15" t="n">
        <f aca="false">IFERROR(L173/H173,0)</f>
        <v>22.7885485245193</v>
      </c>
      <c r="Q173" s="13" t="n">
        <f aca="false">IFERROR(K173/J173,0)</f>
        <v>0.077531857813548</v>
      </c>
      <c r="R173" s="11" t="str">
        <f aca="false">IF(COUNTIF($A$2:A173,A173)&gt;1,"Duplicate - Remove","Unique")</f>
        <v>Unique</v>
      </c>
      <c r="S173" s="11" t="str">
        <f aca="false">TRIM(IF(Raw_Data!G173="","Region missing; ","")&amp;IF(Raw_Data!H173="","Spend imputed; ","")&amp;IF(Raw_Data!L173="","Revenue imputed; ","")&amp;IF(Raw_Data!J173&lt;0,"Clicks corrected; ",""))</f>
        <v/>
      </c>
    </row>
    <row r="174" customFormat="false" ht="15" hidden="false" customHeight="true" outlineLevel="0" collapsed="false">
      <c r="A174" s="11" t="n">
        <f aca="false">Raw_Data!A174</f>
        <v>1229</v>
      </c>
      <c r="B174" s="11" t="str">
        <f aca="false">PROPER(TRIM(Raw_Data!B174))</f>
        <v>Festive Gift Bundle</v>
      </c>
      <c r="C174" s="11" t="str">
        <f aca="false">IFERROR(INDEX(Lookup_Tables!$B$2:$B$26,MATCH(UPPER(TRIM(Raw_Data!C174)),Lookup_Tables!$C$2:$C$26,0)),"Unknown")</f>
        <v>Google Ads</v>
      </c>
      <c r="D174" s="12" t="n">
        <f aca="false">IFERROR(IF(ISNUMBER(SEARCH("/",Raw_Data!D174)),DATE(VALUE(RIGHT(Raw_Data!D174,4)),VALUE(MID(Raw_Data!D174,FIND("/",Raw_Data!D174)+1,FIND("/",Raw_Data!D174,FIND("/",Raw_Data!D174)+1)-FIND("/",Raw_Data!D174)-1)),VALUE(LEFT(Raw_Data!D174,FIND("/",Raw_Data!D174)-1))),IF(ISNUMBER(VALUE(LEFT(Raw_Data!D174,4))),DATE(VALUE(LEFT(Raw_Data!D174,4)),VALUE(MID(Raw_Data!D174,6,2)),VALUE(MID(Raw_Data!D174,9,2))),DATEVALUE(Raw_Data!D174))),"")</f>
        <v>45605</v>
      </c>
      <c r="E174" s="12" t="n">
        <f aca="false">IFERROR(IF(ISNUMBER(SEARCH("/",Raw_Data!E174)),DATE(VALUE(RIGHT(Raw_Data!E174,4)),VALUE(MID(Raw_Data!E174,FIND("/",Raw_Data!E174)+1,FIND("/",Raw_Data!E174,FIND("/",Raw_Data!E174)+1)-FIND("/",Raw_Data!E174)-1)),VALUE(LEFT(Raw_Data!E174,FIND("/",Raw_Data!E174)-1))),IF(ISNUMBER(VALUE(LEFT(Raw_Data!E174,4))),DATE(VALUE(LEFT(Raw_Data!E174,4)),VALUE(MID(Raw_Data!E174,6,2)),VALUE(MID(Raw_Data!E174,9,2))),DATEVALUE(Raw_Data!E174))),"")</f>
        <v>45618</v>
      </c>
      <c r="F174" s="11" t="str">
        <f aca="false">Raw_Data!F174</f>
        <v>Male 35-44</v>
      </c>
      <c r="G174" s="11" t="str">
        <f aca="false">IF(TRIM(Raw_Data!G174)="","Unspecified",IFERROR(INDEX(Lookup_Tables!$F$2:$F$24,MATCH(UPPER(TRIM(Raw_Data!G174)),Lookup_Tables!$G$2:$G$24,0)),"Unknown"))</f>
        <v>East</v>
      </c>
      <c r="H174" s="11" t="n">
        <f aca="false">IF(Raw_Data!H174="",ROUND(AVERAGEIFS(Raw_Data!$H$2:$H$839,Raw_Data!$C$2:$C$839,Raw_Data!C174),2),Raw_Data!H174)</f>
        <v>37821.79</v>
      </c>
      <c r="I174" s="11" t="n">
        <f aca="false">Raw_Data!I174</f>
        <v>759928</v>
      </c>
      <c r="J174" s="11" t="n">
        <f aca="false">IF(Raw_Data!J174&lt;0,ABS(Raw_Data!J174),Raw_Data!J174)</f>
        <v>16386</v>
      </c>
      <c r="K174" s="11" t="n">
        <f aca="false">Raw_Data!K174</f>
        <v>803</v>
      </c>
      <c r="L174" s="11" t="n">
        <f aca="false">IF(Raw_Data!L174="",ROUND(AVERAGEIFS(Raw_Data!$L$2:$L$839,Raw_Data!$C$2:$C$839,Raw_Data!C174),2),Raw_Data!L174)</f>
        <v>489142.16</v>
      </c>
      <c r="M174" s="13" t="n">
        <f aca="false">IFERROR(J174/I174,0)</f>
        <v>0.0215625690854923</v>
      </c>
      <c r="N174" s="14" t="n">
        <f aca="false">IFERROR(H174/J174,0)</f>
        <v>2.30817710240449</v>
      </c>
      <c r="O174" s="14" t="n">
        <f aca="false">IFERROR(H174/K174,0)</f>
        <v>47.1006102117061</v>
      </c>
      <c r="P174" s="15" t="n">
        <f aca="false">IFERROR(L174/H174,0)</f>
        <v>12.9328135976642</v>
      </c>
      <c r="Q174" s="13" t="n">
        <f aca="false">IFERROR(K174/J174,0)</f>
        <v>0.0490052483827658</v>
      </c>
      <c r="R174" s="11" t="str">
        <f aca="false">IF(COUNTIF($A$2:A174,A174)&gt;1,"Duplicate - Remove","Unique")</f>
        <v>Unique</v>
      </c>
      <c r="S174" s="11" t="str">
        <f aca="false">TRIM(IF(Raw_Data!G174="","Region missing; ","")&amp;IF(Raw_Data!H174="","Spend imputed; ","")&amp;IF(Raw_Data!L174="","Revenue imputed; ","")&amp;IF(Raw_Data!J174&lt;0,"Clicks corrected; ",""))</f>
        <v/>
      </c>
    </row>
    <row r="175" customFormat="false" ht="15" hidden="false" customHeight="true" outlineLevel="0" collapsed="false">
      <c r="A175" s="11" t="n">
        <f aca="false">Raw_Data!A175</f>
        <v>1106</v>
      </c>
      <c r="B175" s="11" t="str">
        <f aca="false">PROPER(TRIM(Raw_Data!B175))</f>
        <v>Men'S Grooming Drive</v>
      </c>
      <c r="C175" s="11" t="str">
        <f aca="false">IFERROR(INDEX(Lookup_Tables!$B$2:$B$26,MATCH(UPPER(TRIM(Raw_Data!C175)),Lookup_Tables!$C$2:$C$26,0)),"Unknown")</f>
        <v>Facebook</v>
      </c>
      <c r="D175" s="12" t="n">
        <f aca="false">IFERROR(IF(ISNUMBER(SEARCH("/",Raw_Data!D175)),DATE(VALUE(RIGHT(Raw_Data!D175,4)),VALUE(MID(Raw_Data!D175,FIND("/",Raw_Data!D175)+1,FIND("/",Raw_Data!D175,FIND("/",Raw_Data!D175)+1)-FIND("/",Raw_Data!D175)-1)),VALUE(LEFT(Raw_Data!D175,FIND("/",Raw_Data!D175)-1))),IF(ISNUMBER(VALUE(LEFT(Raw_Data!D175,4))),DATE(VALUE(LEFT(Raw_Data!D175,4)),VALUE(MID(Raw_Data!D175,6,2)),VALUE(MID(Raw_Data!D175,9,2))),DATEVALUE(Raw_Data!D175))),"")</f>
        <v>45425</v>
      </c>
      <c r="E175" s="12" t="n">
        <f aca="false">IFERROR(IF(ISNUMBER(SEARCH("/",Raw_Data!E175)),DATE(VALUE(RIGHT(Raw_Data!E175,4)),VALUE(MID(Raw_Data!E175,FIND("/",Raw_Data!E175)+1,FIND("/",Raw_Data!E175,FIND("/",Raw_Data!E175)+1)-FIND("/",Raw_Data!E175)-1)),VALUE(LEFT(Raw_Data!E175,FIND("/",Raw_Data!E175)-1))),IF(ISNUMBER(VALUE(LEFT(Raw_Data!E175,4))),DATE(VALUE(LEFT(Raw_Data!E175,4)),VALUE(MID(Raw_Data!E175,6,2)),VALUE(MID(Raw_Data!E175,9,2))),DATEVALUE(Raw_Data!E175))),"")</f>
        <v>45450</v>
      </c>
      <c r="F175" s="11" t="str">
        <f aca="false">Raw_Data!F175</f>
        <v>Female 18-24</v>
      </c>
      <c r="G175" s="11" t="str">
        <f aca="false">IF(TRIM(Raw_Data!G175)="","Unspecified",IFERROR(INDEX(Lookup_Tables!$F$2:$F$24,MATCH(UPPER(TRIM(Raw_Data!G175)),Lookup_Tables!$G$2:$G$24,0)),"Unknown"))</f>
        <v>East</v>
      </c>
      <c r="H175" s="11" t="n">
        <f aca="false">IF(Raw_Data!H175="",ROUND(AVERAGEIFS(Raw_Data!$H$2:$H$839,Raw_Data!$C$2:$C$839,Raw_Data!C175),2),Raw_Data!H175)</f>
        <v>36481.82</v>
      </c>
      <c r="I175" s="11" t="n">
        <f aca="false">Raw_Data!I175</f>
        <v>603887</v>
      </c>
      <c r="J175" s="11" t="n">
        <f aca="false">IF(Raw_Data!J175&lt;0,ABS(Raw_Data!J175),Raw_Data!J175)</f>
        <v>5161</v>
      </c>
      <c r="K175" s="11" t="n">
        <f aca="false">Raw_Data!K175</f>
        <v>162</v>
      </c>
      <c r="L175" s="11" t="n">
        <f aca="false">IF(Raw_Data!L175="",ROUND(AVERAGEIFS(Raw_Data!$L$2:$L$839,Raw_Data!$C$2:$C$839,Raw_Data!C175),2),Raw_Data!L175)</f>
        <v>151932.36</v>
      </c>
      <c r="M175" s="13" t="n">
        <f aca="false">IFERROR(J175/I175,0)</f>
        <v>0.00854630088079392</v>
      </c>
      <c r="N175" s="14" t="n">
        <f aca="false">IFERROR(H175/J175,0)</f>
        <v>7.06875024220112</v>
      </c>
      <c r="O175" s="14" t="n">
        <f aca="false">IFERROR(H175/K175,0)</f>
        <v>225.196419753086</v>
      </c>
      <c r="P175" s="15" t="n">
        <f aca="false">IFERROR(L175/H175,0)</f>
        <v>4.16460472640893</v>
      </c>
      <c r="Q175" s="13" t="n">
        <f aca="false">IFERROR(K175/J175,0)</f>
        <v>0.0313892656461926</v>
      </c>
      <c r="R175" s="11" t="str">
        <f aca="false">IF(COUNTIF($A$2:A175,A175)&gt;1,"Duplicate - Remove","Unique")</f>
        <v>Unique</v>
      </c>
      <c r="S175" s="11" t="str">
        <f aca="false">TRIM(IF(Raw_Data!G175="","Region missing; ","")&amp;IF(Raw_Data!H175="","Spend imputed; ","")&amp;IF(Raw_Data!L175="","Revenue imputed; ","")&amp;IF(Raw_Data!J175&lt;0,"Clicks corrected; ",""))</f>
        <v/>
      </c>
    </row>
    <row r="176" customFormat="false" ht="15" hidden="false" customHeight="true" outlineLevel="0" collapsed="false">
      <c r="A176" s="11" t="n">
        <f aca="false">Raw_Data!A176</f>
        <v>1667</v>
      </c>
      <c r="B176" s="11" t="str">
        <f aca="false">PROPER(TRIM(Raw_Data!B176))</f>
        <v>Anti-Ageing Serum Push</v>
      </c>
      <c r="C176" s="11" t="str">
        <f aca="false">IFERROR(INDEX(Lookup_Tables!$B$2:$B$26,MATCH(UPPER(TRIM(Raw_Data!C176)),Lookup_Tables!$C$2:$C$26,0)),"Unknown")</f>
        <v>Google Ads</v>
      </c>
      <c r="D176" s="12" t="n">
        <f aca="false">IFERROR(IF(ISNUMBER(SEARCH("/",Raw_Data!D176)),DATE(VALUE(RIGHT(Raw_Data!D176,4)),VALUE(MID(Raw_Data!D176,FIND("/",Raw_Data!D176)+1,FIND("/",Raw_Data!D176,FIND("/",Raw_Data!D176)+1)-FIND("/",Raw_Data!D176)-1)),VALUE(LEFT(Raw_Data!D176,FIND("/",Raw_Data!D176)-1))),IF(ISNUMBER(VALUE(LEFT(Raw_Data!D176,4))),DATE(VALUE(LEFT(Raw_Data!D176,4)),VALUE(MID(Raw_Data!D176,6,2)),VALUE(MID(Raw_Data!D176,9,2))),DATEVALUE(Raw_Data!D176))),"")</f>
        <v>45364</v>
      </c>
      <c r="E176" s="12" t="n">
        <f aca="false">IFERROR(IF(ISNUMBER(SEARCH("/",Raw_Data!E176)),DATE(VALUE(RIGHT(Raw_Data!E176,4)),VALUE(MID(Raw_Data!E176,FIND("/",Raw_Data!E176)+1,FIND("/",Raw_Data!E176,FIND("/",Raw_Data!E176)+1)-FIND("/",Raw_Data!E176)-1)),VALUE(LEFT(Raw_Data!E176,FIND("/",Raw_Data!E176)-1))),IF(ISNUMBER(VALUE(LEFT(Raw_Data!E176,4))),DATE(VALUE(LEFT(Raw_Data!E176,4)),VALUE(MID(Raw_Data!E176,6,2)),VALUE(MID(Raw_Data!E176,9,2))),DATEVALUE(Raw_Data!E176))),"")</f>
        <v>45390</v>
      </c>
      <c r="F176" s="11" t="str">
        <f aca="false">Raw_Data!F176</f>
        <v>Male 18-24</v>
      </c>
      <c r="G176" s="11" t="str">
        <f aca="false">IF(TRIM(Raw_Data!G176)="","Unspecified",IFERROR(INDEX(Lookup_Tables!$F$2:$F$24,MATCH(UPPER(TRIM(Raw_Data!G176)),Lookup_Tables!$G$2:$G$24,0)),"Unknown"))</f>
        <v>Central</v>
      </c>
      <c r="H176" s="11" t="n">
        <f aca="false">IF(Raw_Data!H176="",ROUND(AVERAGEIFS(Raw_Data!$H$2:$H$839,Raw_Data!$C$2:$C$839,Raw_Data!C176),2),Raw_Data!H176)</f>
        <v>64313.8</v>
      </c>
      <c r="I176" s="11" t="n">
        <f aca="false">Raw_Data!I176</f>
        <v>1284149</v>
      </c>
      <c r="J176" s="11" t="n">
        <f aca="false">IF(Raw_Data!J176&lt;0,ABS(Raw_Data!J176),Raw_Data!J176)</f>
        <v>35105</v>
      </c>
      <c r="K176" s="11" t="n">
        <f aca="false">Raw_Data!K176</f>
        <v>1642</v>
      </c>
      <c r="L176" s="11" t="n">
        <f aca="false">IF(Raw_Data!L176="",ROUND(AVERAGEIFS(Raw_Data!$L$2:$L$839,Raw_Data!$C$2:$C$839,Raw_Data!C176),2),Raw_Data!L176)</f>
        <v>2431653.65</v>
      </c>
      <c r="M176" s="13" t="n">
        <f aca="false">IFERROR(J176/I176,0)</f>
        <v>0.0273371703750889</v>
      </c>
      <c r="N176" s="14" t="n">
        <f aca="false">IFERROR(H176/J176,0)</f>
        <v>1.83204101979775</v>
      </c>
      <c r="O176" s="14" t="n">
        <f aca="false">IFERROR(H176/K176,0)</f>
        <v>39.1679658952497</v>
      </c>
      <c r="P176" s="15" t="n">
        <f aca="false">IFERROR(L176/H176,0)</f>
        <v>37.8092050228722</v>
      </c>
      <c r="Q176" s="13" t="n">
        <f aca="false">IFERROR(K176/J176,0)</f>
        <v>0.0467739638228173</v>
      </c>
      <c r="R176" s="11" t="str">
        <f aca="false">IF(COUNTIF($A$2:A176,A176)&gt;1,"Duplicate - Remove","Unique")</f>
        <v>Unique</v>
      </c>
      <c r="S176" s="11" t="str">
        <f aca="false">TRIM(IF(Raw_Data!G176="","Region missing; ","")&amp;IF(Raw_Data!H176="","Spend imputed; ","")&amp;IF(Raw_Data!L176="","Revenue imputed; ","")&amp;IF(Raw_Data!J176&lt;0,"Clicks corrected; ",""))</f>
        <v/>
      </c>
    </row>
    <row r="177" customFormat="false" ht="15" hidden="false" customHeight="true" outlineLevel="0" collapsed="false">
      <c r="A177" s="11" t="n">
        <f aca="false">Raw_Data!A177</f>
        <v>1114</v>
      </c>
      <c r="B177" s="11" t="str">
        <f aca="false">PROPER(TRIM(Raw_Data!B177))</f>
        <v>Influencer Collab - Skincare</v>
      </c>
      <c r="C177" s="11" t="str">
        <f aca="false">IFERROR(INDEX(Lookup_Tables!$B$2:$B$26,MATCH(UPPER(TRIM(Raw_Data!C177)),Lookup_Tables!$C$2:$C$26,0)),"Unknown")</f>
        <v>Google Ads</v>
      </c>
      <c r="D177" s="12" t="n">
        <f aca="false">IFERROR(IF(ISNUMBER(SEARCH("/",Raw_Data!D177)),DATE(VALUE(RIGHT(Raw_Data!D177,4)),VALUE(MID(Raw_Data!D177,FIND("/",Raw_Data!D177)+1,FIND("/",Raw_Data!D177,FIND("/",Raw_Data!D177)+1)-FIND("/",Raw_Data!D177)-1)),VALUE(LEFT(Raw_Data!D177,FIND("/",Raw_Data!D177)-1))),IF(ISNUMBER(VALUE(LEFT(Raw_Data!D177,4))),DATE(VALUE(LEFT(Raw_Data!D177,4)),VALUE(MID(Raw_Data!D177,6,2)),VALUE(MID(Raw_Data!D177,9,2))),DATEVALUE(Raw_Data!D177))),"")</f>
        <v>45567</v>
      </c>
      <c r="E177" s="12" t="n">
        <f aca="false">IFERROR(IF(ISNUMBER(SEARCH("/",Raw_Data!E177)),DATE(VALUE(RIGHT(Raw_Data!E177,4)),VALUE(MID(Raw_Data!E177,FIND("/",Raw_Data!E177)+1,FIND("/",Raw_Data!E177,FIND("/",Raw_Data!E177)+1)-FIND("/",Raw_Data!E177)-1)),VALUE(LEFT(Raw_Data!E177,FIND("/",Raw_Data!E177)-1))),IF(ISNUMBER(VALUE(LEFT(Raw_Data!E177,4))),DATE(VALUE(LEFT(Raw_Data!E177,4)),VALUE(MID(Raw_Data!E177,6,2)),VALUE(MID(Raw_Data!E177,9,2))),DATEVALUE(Raw_Data!E177))),"")</f>
        <v>45587</v>
      </c>
      <c r="F177" s="11" t="str">
        <f aca="false">Raw_Data!F177</f>
        <v>Female 35-44</v>
      </c>
      <c r="G177" s="11" t="str">
        <f aca="false">IF(TRIM(Raw_Data!G177)="","Unspecified",IFERROR(INDEX(Lookup_Tables!$F$2:$F$24,MATCH(UPPER(TRIM(Raw_Data!G177)),Lookup_Tables!$G$2:$G$24,0)),"Unknown"))</f>
        <v>West</v>
      </c>
      <c r="H177" s="11" t="n">
        <f aca="false">IF(Raw_Data!H177="",ROUND(AVERAGEIFS(Raw_Data!$H$2:$H$839,Raw_Data!$C$2:$C$839,Raw_Data!C177),2),Raw_Data!H177)</f>
        <v>69453.87</v>
      </c>
      <c r="I177" s="11" t="n">
        <f aca="false">Raw_Data!I177</f>
        <v>1563990</v>
      </c>
      <c r="J177" s="11" t="n">
        <f aca="false">IF(Raw_Data!J177&lt;0,ABS(Raw_Data!J177),Raw_Data!J177)</f>
        <v>41019</v>
      </c>
      <c r="K177" s="11" t="n">
        <f aca="false">Raw_Data!K177</f>
        <v>2723</v>
      </c>
      <c r="L177" s="11" t="n">
        <f aca="false">IF(Raw_Data!L177="",ROUND(AVERAGEIFS(Raw_Data!$L$2:$L$839,Raw_Data!$C$2:$C$839,Raw_Data!C177),2),Raw_Data!L177)</f>
        <v>4564768.31</v>
      </c>
      <c r="M177" s="13" t="n">
        <f aca="false">IFERROR(J177/I177,0)</f>
        <v>0.0262271497899603</v>
      </c>
      <c r="N177" s="14" t="n">
        <f aca="false">IFERROR(H177/J177,0)</f>
        <v>1.69321216997001</v>
      </c>
      <c r="O177" s="14" t="n">
        <f aca="false">IFERROR(H177/K177,0)</f>
        <v>25.5063789937569</v>
      </c>
      <c r="P177" s="15" t="n">
        <f aca="false">IFERROR(L177/H177,0)</f>
        <v>65.7237431117949</v>
      </c>
      <c r="Q177" s="13" t="n">
        <f aca="false">IFERROR(K177/J177,0)</f>
        <v>0.0663838708891002</v>
      </c>
      <c r="R177" s="11" t="str">
        <f aca="false">IF(COUNTIF($A$2:A177,A177)&gt;1,"Duplicate - Remove","Unique")</f>
        <v>Unique</v>
      </c>
      <c r="S177" s="11" t="str">
        <f aca="false">TRIM(IF(Raw_Data!G177="","Region missing; ","")&amp;IF(Raw_Data!H177="","Spend imputed; ","")&amp;IF(Raw_Data!L177="","Revenue imputed; ","")&amp;IF(Raw_Data!J177&lt;0,"Clicks corrected; ",""))</f>
        <v/>
      </c>
    </row>
    <row r="178" customFormat="false" ht="15" hidden="false" customHeight="true" outlineLevel="0" collapsed="false">
      <c r="A178" s="11" t="n">
        <f aca="false">Raw_Data!A178</f>
        <v>1150</v>
      </c>
      <c r="B178" s="11" t="str">
        <f aca="false">PROPER(TRIM(Raw_Data!B178))</f>
        <v>Hair Care Revamp</v>
      </c>
      <c r="C178" s="11" t="str">
        <f aca="false">IFERROR(INDEX(Lookup_Tables!$B$2:$B$26,MATCH(UPPER(TRIM(Raw_Data!C178)),Lookup_Tables!$C$2:$C$26,0)),"Unknown")</f>
        <v>Instagram</v>
      </c>
      <c r="D178" s="12" t="n">
        <f aca="false">IFERROR(IF(ISNUMBER(SEARCH("/",Raw_Data!D178)),DATE(VALUE(RIGHT(Raw_Data!D178,4)),VALUE(MID(Raw_Data!D178,FIND("/",Raw_Data!D178)+1,FIND("/",Raw_Data!D178,FIND("/",Raw_Data!D178)+1)-FIND("/",Raw_Data!D178)-1)),VALUE(LEFT(Raw_Data!D178,FIND("/",Raw_Data!D178)-1))),IF(ISNUMBER(VALUE(LEFT(Raw_Data!D178,4))),DATE(VALUE(LEFT(Raw_Data!D178,4)),VALUE(MID(Raw_Data!D178,6,2)),VALUE(MID(Raw_Data!D178,9,2))),DATEVALUE(Raw_Data!D178))),"")</f>
        <v>45371</v>
      </c>
      <c r="E178" s="12" t="n">
        <f aca="false">IFERROR(IF(ISNUMBER(SEARCH("/",Raw_Data!E178)),DATE(VALUE(RIGHT(Raw_Data!E178,4)),VALUE(MID(Raw_Data!E178,FIND("/",Raw_Data!E178)+1,FIND("/",Raw_Data!E178,FIND("/",Raw_Data!E178)+1)-FIND("/",Raw_Data!E178)-1)),VALUE(LEFT(Raw_Data!E178,FIND("/",Raw_Data!E178)-1))),IF(ISNUMBER(VALUE(LEFT(Raw_Data!E178,4))),DATE(VALUE(LEFT(Raw_Data!E178,4)),VALUE(MID(Raw_Data!E178,6,2)),VALUE(MID(Raw_Data!E178,9,2))),DATEVALUE(Raw_Data!E178))),"")</f>
        <v>45393</v>
      </c>
      <c r="F178" s="11" t="str">
        <f aca="false">Raw_Data!F178</f>
        <v>Male 18-24</v>
      </c>
      <c r="G178" s="11" t="str">
        <f aca="false">IF(TRIM(Raw_Data!G178)="","Unspecified",IFERROR(INDEX(Lookup_Tables!$F$2:$F$24,MATCH(UPPER(TRIM(Raw_Data!G178)),Lookup_Tables!$G$2:$G$24,0)),"Unknown"))</f>
        <v>East</v>
      </c>
      <c r="H178" s="11" t="n">
        <f aca="false">IF(Raw_Data!H178="",ROUND(AVERAGEIFS(Raw_Data!$H$2:$H$839,Raw_Data!$C$2:$C$839,Raw_Data!C178),2),Raw_Data!H178)</f>
        <v>28318.04</v>
      </c>
      <c r="I178" s="11" t="n">
        <f aca="false">Raw_Data!I178</f>
        <v>873819</v>
      </c>
      <c r="J178" s="11" t="n">
        <f aca="false">IF(Raw_Data!J178&lt;0,ABS(Raw_Data!J178),Raw_Data!J178)</f>
        <v>26245</v>
      </c>
      <c r="K178" s="11" t="n">
        <f aca="false">Raw_Data!K178</f>
        <v>1513</v>
      </c>
      <c r="L178" s="11" t="n">
        <f aca="false">IF(Raw_Data!L178="",ROUND(AVERAGEIFS(Raw_Data!$L$2:$L$839,Raw_Data!$C$2:$C$839,Raw_Data!C178),2),Raw_Data!L178)</f>
        <v>674596.58</v>
      </c>
      <c r="M178" s="13" t="n">
        <f aca="false">IFERROR(J178/I178,0)</f>
        <v>0.0300348241455038</v>
      </c>
      <c r="N178" s="14" t="n">
        <f aca="false">IFERROR(H178/J178,0)</f>
        <v>1.07898799771385</v>
      </c>
      <c r="O178" s="14" t="n">
        <f aca="false">IFERROR(H178/K178,0)</f>
        <v>18.716483807006</v>
      </c>
      <c r="P178" s="15" t="n">
        <f aca="false">IFERROR(L178/H178,0)</f>
        <v>23.8221494142956</v>
      </c>
      <c r="Q178" s="13" t="n">
        <f aca="false">IFERROR(K178/J178,0)</f>
        <v>0.0576490760144789</v>
      </c>
      <c r="R178" s="11" t="str">
        <f aca="false">IF(COUNTIF($A$2:A178,A178)&gt;1,"Duplicate - Remove","Unique")</f>
        <v>Unique</v>
      </c>
      <c r="S178" s="11" t="str">
        <f aca="false">TRIM(IF(Raw_Data!G178="","Region missing; ","")&amp;IF(Raw_Data!H178="","Spend imputed; ","")&amp;IF(Raw_Data!L178="","Revenue imputed; ","")&amp;IF(Raw_Data!J178&lt;0,"Clicks corrected; ",""))</f>
        <v/>
      </c>
    </row>
    <row r="179" customFormat="false" ht="15" hidden="false" customHeight="true" outlineLevel="0" collapsed="false">
      <c r="A179" s="11" t="n">
        <f aca="false">Raw_Data!A179</f>
        <v>1488</v>
      </c>
      <c r="B179" s="11" t="str">
        <f aca="false">PROPER(TRIM(Raw_Data!B179))</f>
        <v>Hair Care Revamp</v>
      </c>
      <c r="C179" s="11" t="str">
        <f aca="false">IFERROR(INDEX(Lookup_Tables!$B$2:$B$26,MATCH(UPPER(TRIM(Raw_Data!C179)),Lookup_Tables!$C$2:$C$26,0)),"Unknown")</f>
        <v>YouTube</v>
      </c>
      <c r="D179" s="12" t="n">
        <f aca="false">IFERROR(IF(ISNUMBER(SEARCH("/",Raw_Data!D179)),DATE(VALUE(RIGHT(Raw_Data!D179,4)),VALUE(MID(Raw_Data!D179,FIND("/",Raw_Data!D179)+1,FIND("/",Raw_Data!D179,FIND("/",Raw_Data!D179)+1)-FIND("/",Raw_Data!D179)-1)),VALUE(LEFT(Raw_Data!D179,FIND("/",Raw_Data!D179)-1))),IF(ISNUMBER(VALUE(LEFT(Raw_Data!D179,4))),DATE(VALUE(LEFT(Raw_Data!D179,4)),VALUE(MID(Raw_Data!D179,6,2)),VALUE(MID(Raw_Data!D179,9,2))),DATEVALUE(Raw_Data!D179))),"")</f>
        <v>45574</v>
      </c>
      <c r="E179" s="12" t="n">
        <f aca="false">IFERROR(IF(ISNUMBER(SEARCH("/",Raw_Data!E179)),DATE(VALUE(RIGHT(Raw_Data!E179,4)),VALUE(MID(Raw_Data!E179,FIND("/",Raw_Data!E179)+1,FIND("/",Raw_Data!E179,FIND("/",Raw_Data!E179)+1)-FIND("/",Raw_Data!E179)-1)),VALUE(LEFT(Raw_Data!E179,FIND("/",Raw_Data!E179)-1))),IF(ISNUMBER(VALUE(LEFT(Raw_Data!E179,4))),DATE(VALUE(LEFT(Raw_Data!E179,4)),VALUE(MID(Raw_Data!E179,6,2)),VALUE(MID(Raw_Data!E179,9,2))),DATEVALUE(Raw_Data!E179))),"")</f>
        <v>45582</v>
      </c>
      <c r="F179" s="11" t="str">
        <f aca="false">Raw_Data!F179</f>
        <v>Male 25-34</v>
      </c>
      <c r="G179" s="11" t="str">
        <f aca="false">IF(TRIM(Raw_Data!G179)="","Unspecified",IFERROR(INDEX(Lookup_Tables!$F$2:$F$24,MATCH(UPPER(TRIM(Raw_Data!G179)),Lookup_Tables!$G$2:$G$24,0)),"Unknown"))</f>
        <v>East</v>
      </c>
      <c r="H179" s="11" t="n">
        <f aca="false">IF(Raw_Data!H179="",ROUND(AVERAGEIFS(Raw_Data!$H$2:$H$839,Raw_Data!$C$2:$C$839,Raw_Data!C179),2),Raw_Data!H179)</f>
        <v>31794.71</v>
      </c>
      <c r="I179" s="11" t="n">
        <f aca="false">Raw_Data!I179</f>
        <v>901034</v>
      </c>
      <c r="J179" s="11" t="n">
        <f aca="false">IF(Raw_Data!J179&lt;0,ABS(Raw_Data!J179),Raw_Data!J179)</f>
        <v>12393</v>
      </c>
      <c r="K179" s="11" t="n">
        <f aca="false">Raw_Data!K179</f>
        <v>678</v>
      </c>
      <c r="L179" s="11" t="n">
        <f aca="false">IF(Raw_Data!L179="",ROUND(AVERAGEIFS(Raw_Data!$L$2:$L$839,Raw_Data!$C$2:$C$839,Raw_Data!C179),2),Raw_Data!L179)</f>
        <v>1163425.42</v>
      </c>
      <c r="M179" s="13" t="n">
        <f aca="false">IFERROR(J179/I179,0)</f>
        <v>0.0137541979547942</v>
      </c>
      <c r="N179" s="14" t="n">
        <f aca="false">IFERROR(H179/J179,0)</f>
        <v>2.56553780359881</v>
      </c>
      <c r="O179" s="14" t="n">
        <f aca="false">IFERROR(H179/K179,0)</f>
        <v>46.8948525073746</v>
      </c>
      <c r="P179" s="15" t="n">
        <f aca="false">IFERROR(L179/H179,0)</f>
        <v>36.5917921566198</v>
      </c>
      <c r="Q179" s="13" t="n">
        <f aca="false">IFERROR(K179/J179,0)</f>
        <v>0.0547083030743161</v>
      </c>
      <c r="R179" s="11" t="str">
        <f aca="false">IF(COUNTIF($A$2:A179,A179)&gt;1,"Duplicate - Remove","Unique")</f>
        <v>Unique</v>
      </c>
      <c r="S179" s="11" t="str">
        <f aca="false">TRIM(IF(Raw_Data!G179="","Region missing; ","")&amp;IF(Raw_Data!H179="","Spend imputed; ","")&amp;IF(Raw_Data!L179="","Revenue imputed; ","")&amp;IF(Raw_Data!J179&lt;0,"Clicks corrected; ",""))</f>
        <v/>
      </c>
    </row>
    <row r="180" customFormat="false" ht="15" hidden="false" customHeight="true" outlineLevel="0" collapsed="false">
      <c r="A180" s="11" t="n">
        <f aca="false">Raw_Data!A180</f>
        <v>1670</v>
      </c>
      <c r="B180" s="11" t="str">
        <f aca="false">PROPER(TRIM(Raw_Data!B180))</f>
        <v>Back To College Offer</v>
      </c>
      <c r="C180" s="11" t="str">
        <f aca="false">IFERROR(INDEX(Lookup_Tables!$B$2:$B$26,MATCH(UPPER(TRIM(Raw_Data!C180)),Lookup_Tables!$C$2:$C$26,0)),"Unknown")</f>
        <v>Facebook</v>
      </c>
      <c r="D180" s="12" t="n">
        <f aca="false">IFERROR(IF(ISNUMBER(SEARCH("/",Raw_Data!D180)),DATE(VALUE(RIGHT(Raw_Data!D180,4)),VALUE(MID(Raw_Data!D180,FIND("/",Raw_Data!D180)+1,FIND("/",Raw_Data!D180,FIND("/",Raw_Data!D180)+1)-FIND("/",Raw_Data!D180)-1)),VALUE(LEFT(Raw_Data!D180,FIND("/",Raw_Data!D180)-1))),IF(ISNUMBER(VALUE(LEFT(Raw_Data!D180,4))),DATE(VALUE(LEFT(Raw_Data!D180,4)),VALUE(MID(Raw_Data!D180,6,2)),VALUE(MID(Raw_Data!D180,9,2))),DATEVALUE(Raw_Data!D180))),"")</f>
        <v>45492</v>
      </c>
      <c r="E180" s="12" t="n">
        <f aca="false">IFERROR(IF(ISNUMBER(SEARCH("/",Raw_Data!E180)),DATE(VALUE(RIGHT(Raw_Data!E180,4)),VALUE(MID(Raw_Data!E180,FIND("/",Raw_Data!E180)+1,FIND("/",Raw_Data!E180,FIND("/",Raw_Data!E180)+1)-FIND("/",Raw_Data!E180)-1)),VALUE(LEFT(Raw_Data!E180,FIND("/",Raw_Data!E180)-1))),IF(ISNUMBER(VALUE(LEFT(Raw_Data!E180,4))),DATE(VALUE(LEFT(Raw_Data!E180,4)),VALUE(MID(Raw_Data!E180,6,2)),VALUE(MID(Raw_Data!E180,9,2))),DATEVALUE(Raw_Data!E180))),"")</f>
        <v>45515</v>
      </c>
      <c r="F180" s="11" t="str">
        <f aca="false">Raw_Data!F180</f>
        <v>Female 45+</v>
      </c>
      <c r="G180" s="11" t="str">
        <f aca="false">IF(TRIM(Raw_Data!G180)="","Unspecified",IFERROR(INDEX(Lookup_Tables!$F$2:$F$24,MATCH(UPPER(TRIM(Raw_Data!G180)),Lookup_Tables!$G$2:$G$24,0)),"Unknown"))</f>
        <v>South</v>
      </c>
      <c r="H180" s="11" t="n">
        <f aca="false">IF(Raw_Data!H180="",ROUND(AVERAGEIFS(Raw_Data!$H$2:$H$839,Raw_Data!$C$2:$C$839,Raw_Data!C180),2),Raw_Data!H180)</f>
        <v>16937.23</v>
      </c>
      <c r="I180" s="11" t="n">
        <f aca="false">Raw_Data!I180</f>
        <v>402431</v>
      </c>
      <c r="J180" s="11" t="n">
        <f aca="false">IF(Raw_Data!J180&lt;0,ABS(Raw_Data!J180),Raw_Data!J180)</f>
        <v>4744</v>
      </c>
      <c r="K180" s="11" t="n">
        <f aca="false">Raw_Data!K180</f>
        <v>362</v>
      </c>
      <c r="L180" s="11" t="n">
        <f aca="false">IF(Raw_Data!L180="",ROUND(AVERAGEIFS(Raw_Data!$L$2:$L$839,Raw_Data!$C$2:$C$839,Raw_Data!C180),2),Raw_Data!L180)</f>
        <v>200417.13</v>
      </c>
      <c r="M180" s="13" t="n">
        <f aca="false">IFERROR(J180/I180,0)</f>
        <v>0.0117883562648007</v>
      </c>
      <c r="N180" s="14" t="n">
        <f aca="false">IFERROR(H180/J180,0)</f>
        <v>3.57024241146712</v>
      </c>
      <c r="O180" s="14" t="n">
        <f aca="false">IFERROR(H180/K180,0)</f>
        <v>46.7879281767956</v>
      </c>
      <c r="P180" s="15" t="n">
        <f aca="false">IFERROR(L180/H180,0)</f>
        <v>11.8329343109824</v>
      </c>
      <c r="Q180" s="13" t="n">
        <f aca="false">IFERROR(K180/J180,0)</f>
        <v>0.0763069139966273</v>
      </c>
      <c r="R180" s="11" t="str">
        <f aca="false">IF(COUNTIF($A$2:A180,A180)&gt;1,"Duplicate - Remove","Unique")</f>
        <v>Unique</v>
      </c>
      <c r="S180" s="11" t="str">
        <f aca="false">TRIM(IF(Raw_Data!G180="","Region missing; ","")&amp;IF(Raw_Data!H180="","Spend imputed; ","")&amp;IF(Raw_Data!L180="","Revenue imputed; ","")&amp;IF(Raw_Data!J180&lt;0,"Clicks corrected; ",""))</f>
        <v/>
      </c>
    </row>
    <row r="181" customFormat="false" ht="15" hidden="false" customHeight="true" outlineLevel="0" collapsed="false">
      <c r="A181" s="11" t="n">
        <f aca="false">Raw_Data!A181</f>
        <v>1335</v>
      </c>
      <c r="B181" s="11" t="str">
        <f aca="false">PROPER(TRIM(Raw_Data!B181))</f>
        <v>Men'S Grooming Drive</v>
      </c>
      <c r="C181" s="11" t="str">
        <f aca="false">IFERROR(INDEX(Lookup_Tables!$B$2:$B$26,MATCH(UPPER(TRIM(Raw_Data!C181)),Lookup_Tables!$C$2:$C$26,0)),"Unknown")</f>
        <v>Google Ads</v>
      </c>
      <c r="D181" s="12" t="n">
        <f aca="false">IFERROR(IF(ISNUMBER(SEARCH("/",Raw_Data!D181)),DATE(VALUE(RIGHT(Raw_Data!D181,4)),VALUE(MID(Raw_Data!D181,FIND("/",Raw_Data!D181)+1,FIND("/",Raw_Data!D181,FIND("/",Raw_Data!D181)+1)-FIND("/",Raw_Data!D181)-1)),VALUE(LEFT(Raw_Data!D181,FIND("/",Raw_Data!D181)-1))),IF(ISNUMBER(VALUE(LEFT(Raw_Data!D181,4))),DATE(VALUE(LEFT(Raw_Data!D181,4)),VALUE(MID(Raw_Data!D181,6,2)),VALUE(MID(Raw_Data!D181,9,2))),DATEVALUE(Raw_Data!D181))),"")</f>
        <v>45504</v>
      </c>
      <c r="E181" s="12" t="n">
        <f aca="false">IFERROR(IF(ISNUMBER(SEARCH("/",Raw_Data!E181)),DATE(VALUE(RIGHT(Raw_Data!E181,4)),VALUE(MID(Raw_Data!E181,FIND("/",Raw_Data!E181)+1,FIND("/",Raw_Data!E181,FIND("/",Raw_Data!E181)+1)-FIND("/",Raw_Data!E181)-1)),VALUE(LEFT(Raw_Data!E181,FIND("/",Raw_Data!E181)-1))),IF(ISNUMBER(VALUE(LEFT(Raw_Data!E181,4))),DATE(VALUE(LEFT(Raw_Data!E181,4)),VALUE(MID(Raw_Data!E181,6,2)),VALUE(MID(Raw_Data!E181,9,2))),DATEVALUE(Raw_Data!E181))),"")</f>
        <v>45534</v>
      </c>
      <c r="F181" s="11" t="str">
        <f aca="false">Raw_Data!F181</f>
        <v>Male 45+</v>
      </c>
      <c r="G181" s="11" t="str">
        <f aca="false">IF(TRIM(Raw_Data!G181)="","Unspecified",IFERROR(INDEX(Lookup_Tables!$F$2:$F$24,MATCH(UPPER(TRIM(Raw_Data!G181)),Lookup_Tables!$G$2:$G$24,0)),"Unknown"))</f>
        <v>North</v>
      </c>
      <c r="H181" s="11" t="n">
        <f aca="false">IF(Raw_Data!H181="",ROUND(AVERAGEIFS(Raw_Data!$H$2:$H$839,Raw_Data!$C$2:$C$839,Raw_Data!C181),2),Raw_Data!H181)</f>
        <v>30204.38</v>
      </c>
      <c r="I181" s="11" t="n">
        <f aca="false">Raw_Data!I181</f>
        <v>1061436</v>
      </c>
      <c r="J181" s="11" t="n">
        <f aca="false">IF(Raw_Data!J181&lt;0,ABS(Raw_Data!J181),Raw_Data!J181)</f>
        <v>36206</v>
      </c>
      <c r="K181" s="11" t="n">
        <f aca="false">Raw_Data!K181</f>
        <v>1436</v>
      </c>
      <c r="L181" s="11" t="n">
        <f aca="false">IF(Raw_Data!L181="",ROUND(AVERAGEIFS(Raw_Data!$L$2:$L$839,Raw_Data!$C$2:$C$839,Raw_Data!C181),2),Raw_Data!L181)</f>
        <v>2369144.1</v>
      </c>
      <c r="M181" s="13" t="n">
        <f aca="false">IFERROR(J181/I181,0)</f>
        <v>0.0341103938438116</v>
      </c>
      <c r="N181" s="14" t="n">
        <f aca="false">IFERROR(H181/J181,0)</f>
        <v>0.834236866817655</v>
      </c>
      <c r="O181" s="14" t="n">
        <f aca="false">IFERROR(H181/K181,0)</f>
        <v>21.0336908077994</v>
      </c>
      <c r="P181" s="15" t="n">
        <f aca="false">IFERROR(L181/H181,0)</f>
        <v>78.4371041550927</v>
      </c>
      <c r="Q181" s="13" t="n">
        <f aca="false">IFERROR(K181/J181,0)</f>
        <v>0.0396619344859968</v>
      </c>
      <c r="R181" s="11" t="str">
        <f aca="false">IF(COUNTIF($A$2:A181,A181)&gt;1,"Duplicate - Remove","Unique")</f>
        <v>Unique</v>
      </c>
      <c r="S181" s="11" t="str">
        <f aca="false">TRIM(IF(Raw_Data!G181="","Region missing; ","")&amp;IF(Raw_Data!H181="","Spend imputed; ","")&amp;IF(Raw_Data!L181="","Revenue imputed; ","")&amp;IF(Raw_Data!J181&lt;0,"Clicks corrected; ",""))</f>
        <v/>
      </c>
    </row>
    <row r="182" customFormat="false" ht="15" hidden="false" customHeight="true" outlineLevel="0" collapsed="false">
      <c r="A182" s="11" t="n">
        <f aca="false">Raw_Data!A182</f>
        <v>1619</v>
      </c>
      <c r="B182" s="11" t="str">
        <f aca="false">PROPER(TRIM(Raw_Data!B182))</f>
        <v>Back To College Offer</v>
      </c>
      <c r="C182" s="11" t="str">
        <f aca="false">IFERROR(INDEX(Lookup_Tables!$B$2:$B$26,MATCH(UPPER(TRIM(Raw_Data!C182)),Lookup_Tables!$C$2:$C$26,0)),"Unknown")</f>
        <v>Google Ads</v>
      </c>
      <c r="D182" s="12" t="n">
        <f aca="false">IFERROR(IF(ISNUMBER(SEARCH("/",Raw_Data!D182)),DATE(VALUE(RIGHT(Raw_Data!D182,4)),VALUE(MID(Raw_Data!D182,FIND("/",Raw_Data!D182)+1,FIND("/",Raw_Data!D182,FIND("/",Raw_Data!D182)+1)-FIND("/",Raw_Data!D182)-1)),VALUE(LEFT(Raw_Data!D182,FIND("/",Raw_Data!D182)-1))),IF(ISNUMBER(VALUE(LEFT(Raw_Data!D182,4))),DATE(VALUE(LEFT(Raw_Data!D182,4)),VALUE(MID(Raw_Data!D182,6,2)),VALUE(MID(Raw_Data!D182,9,2))),DATEVALUE(Raw_Data!D182))),"")</f>
        <v>45547</v>
      </c>
      <c r="E182" s="12" t="n">
        <f aca="false">IFERROR(IF(ISNUMBER(SEARCH("/",Raw_Data!E182)),DATE(VALUE(RIGHT(Raw_Data!E182,4)),VALUE(MID(Raw_Data!E182,FIND("/",Raw_Data!E182)+1,FIND("/",Raw_Data!E182,FIND("/",Raw_Data!E182)+1)-FIND("/",Raw_Data!E182)-1)),VALUE(LEFT(Raw_Data!E182,FIND("/",Raw_Data!E182)-1))),IF(ISNUMBER(VALUE(LEFT(Raw_Data!E182,4))),DATE(VALUE(LEFT(Raw_Data!E182,4)),VALUE(MID(Raw_Data!E182,6,2)),VALUE(MID(Raw_Data!E182,9,2))),DATEVALUE(Raw_Data!E182))),"")</f>
        <v>45558</v>
      </c>
      <c r="F182" s="11" t="str">
        <f aca="false">Raw_Data!F182</f>
        <v>Female 35-44</v>
      </c>
      <c r="G182" s="11" t="str">
        <f aca="false">IF(TRIM(Raw_Data!G182)="","Unspecified",IFERROR(INDEX(Lookup_Tables!$F$2:$F$24,MATCH(UPPER(TRIM(Raw_Data!G182)),Lookup_Tables!$G$2:$G$24,0)),"Unknown"))</f>
        <v>West</v>
      </c>
      <c r="H182" s="11" t="n">
        <f aca="false">IF(Raw_Data!H182="",ROUND(AVERAGEIFS(Raw_Data!$H$2:$H$839,Raw_Data!$C$2:$C$839,Raw_Data!C182),2),Raw_Data!H182)</f>
        <v>24786.26</v>
      </c>
      <c r="I182" s="11" t="n">
        <f aca="false">Raw_Data!I182</f>
        <v>641592</v>
      </c>
      <c r="J182" s="11" t="n">
        <f aca="false">IF(Raw_Data!J182&lt;0,ABS(Raw_Data!J182),Raw_Data!J182)</f>
        <v>9744</v>
      </c>
      <c r="K182" s="11" t="n">
        <f aca="false">Raw_Data!K182</f>
        <v>543</v>
      </c>
      <c r="L182" s="11" t="n">
        <f aca="false">IF(Raw_Data!L182="",ROUND(AVERAGEIFS(Raw_Data!$L$2:$L$839,Raw_Data!$C$2:$C$839,Raw_Data!C182),2),Raw_Data!L182)</f>
        <v>525233.81</v>
      </c>
      <c r="M182" s="13" t="n">
        <f aca="false">IFERROR(J182/I182,0)</f>
        <v>0.0151872217858078</v>
      </c>
      <c r="N182" s="14" t="n">
        <f aca="false">IFERROR(H182/J182,0)</f>
        <v>2.54374589490969</v>
      </c>
      <c r="O182" s="14" t="n">
        <f aca="false">IFERROR(H182/K182,0)</f>
        <v>45.6468876611418</v>
      </c>
      <c r="P182" s="15" t="n">
        <f aca="false">IFERROR(L182/H182,0)</f>
        <v>21.1905228945392</v>
      </c>
      <c r="Q182" s="13" t="n">
        <f aca="false">IFERROR(K182/J182,0)</f>
        <v>0.0557266009852217</v>
      </c>
      <c r="R182" s="11" t="str">
        <f aca="false">IF(COUNTIF($A$2:A182,A182)&gt;1,"Duplicate - Remove","Unique")</f>
        <v>Unique</v>
      </c>
      <c r="S182" s="11" t="str">
        <f aca="false">TRIM(IF(Raw_Data!G182="","Region missing; ","")&amp;IF(Raw_Data!H182="","Spend imputed; ","")&amp;IF(Raw_Data!L182="","Revenue imputed; ","")&amp;IF(Raw_Data!J182&lt;0,"Clicks corrected; ",""))</f>
        <v/>
      </c>
    </row>
    <row r="183" customFormat="false" ht="15" hidden="false" customHeight="true" outlineLevel="0" collapsed="false">
      <c r="A183" s="11" t="n">
        <f aca="false">Raw_Data!A183</f>
        <v>1458</v>
      </c>
      <c r="B183" s="11" t="str">
        <f aca="false">PROPER(TRIM(Raw_Data!B183))</f>
        <v>Back To College Offer</v>
      </c>
      <c r="C183" s="11" t="str">
        <f aca="false">IFERROR(INDEX(Lookup_Tables!$B$2:$B$26,MATCH(UPPER(TRIM(Raw_Data!C183)),Lookup_Tables!$C$2:$C$26,0)),"Unknown")</f>
        <v>Email</v>
      </c>
      <c r="D183" s="12" t="n">
        <f aca="false">IFERROR(IF(ISNUMBER(SEARCH("/",Raw_Data!D183)),DATE(VALUE(RIGHT(Raw_Data!D183,4)),VALUE(MID(Raw_Data!D183,FIND("/",Raw_Data!D183)+1,FIND("/",Raw_Data!D183,FIND("/",Raw_Data!D183)+1)-FIND("/",Raw_Data!D183)-1)),VALUE(LEFT(Raw_Data!D183,FIND("/",Raw_Data!D183)-1))),IF(ISNUMBER(VALUE(LEFT(Raw_Data!D183,4))),DATE(VALUE(LEFT(Raw_Data!D183,4)),VALUE(MID(Raw_Data!D183,6,2)),VALUE(MID(Raw_Data!D183,9,2))),DATEVALUE(Raw_Data!D183))),"")</f>
        <v>45337</v>
      </c>
      <c r="E183" s="12" t="n">
        <f aca="false">IFERROR(IF(ISNUMBER(SEARCH("/",Raw_Data!E183)),DATE(VALUE(RIGHT(Raw_Data!E183,4)),VALUE(MID(Raw_Data!E183,FIND("/",Raw_Data!E183)+1,FIND("/",Raw_Data!E183,FIND("/",Raw_Data!E183)+1)-FIND("/",Raw_Data!E183)-1)),VALUE(LEFT(Raw_Data!E183,FIND("/",Raw_Data!E183)-1))),IF(ISNUMBER(VALUE(LEFT(Raw_Data!E183,4))),DATE(VALUE(LEFT(Raw_Data!E183,4)),VALUE(MID(Raw_Data!E183,6,2)),VALUE(MID(Raw_Data!E183,9,2))),DATEVALUE(Raw_Data!E183))),"")</f>
        <v>45352</v>
      </c>
      <c r="F183" s="11" t="str">
        <f aca="false">Raw_Data!F183</f>
        <v>Female 25-34</v>
      </c>
      <c r="G183" s="11" t="str">
        <f aca="false">IF(TRIM(Raw_Data!G183)="","Unspecified",IFERROR(INDEX(Lookup_Tables!$F$2:$F$24,MATCH(UPPER(TRIM(Raw_Data!G183)),Lookup_Tables!$G$2:$G$24,0)),"Unknown"))</f>
        <v>East</v>
      </c>
      <c r="H183" s="11" t="n">
        <f aca="false">IF(Raw_Data!H183="",ROUND(AVERAGEIFS(Raw_Data!$H$2:$H$839,Raw_Data!$C$2:$C$839,Raw_Data!C183),2),Raw_Data!H183)</f>
        <v>5145.4</v>
      </c>
      <c r="I183" s="11" t="n">
        <f aca="false">Raw_Data!I183</f>
        <v>101384</v>
      </c>
      <c r="J183" s="11" t="n">
        <f aca="false">IF(Raw_Data!J183&lt;0,ABS(Raw_Data!J183),Raw_Data!J183)</f>
        <v>3372</v>
      </c>
      <c r="K183" s="11" t="n">
        <f aca="false">Raw_Data!K183</f>
        <v>168</v>
      </c>
      <c r="L183" s="11" t="n">
        <f aca="false">IF(Raw_Data!L183="",ROUND(AVERAGEIFS(Raw_Data!$L$2:$L$839,Raw_Data!$C$2:$C$839,Raw_Data!C183),2),Raw_Data!L183)</f>
        <v>89838.89</v>
      </c>
      <c r="M183" s="13" t="n">
        <f aca="false">IFERROR(J183/I183,0)</f>
        <v>0.0332596859465004</v>
      </c>
      <c r="N183" s="14" t="n">
        <f aca="false">IFERROR(H183/J183,0)</f>
        <v>1.52591933570581</v>
      </c>
      <c r="O183" s="14" t="n">
        <f aca="false">IFERROR(H183/K183,0)</f>
        <v>30.627380952381</v>
      </c>
      <c r="P183" s="15" t="n">
        <f aca="false">IFERROR(L183/H183,0)</f>
        <v>17.4600400357601</v>
      </c>
      <c r="Q183" s="13" t="n">
        <f aca="false">IFERROR(K183/J183,0)</f>
        <v>0.0498220640569395</v>
      </c>
      <c r="R183" s="11" t="str">
        <f aca="false">IF(COUNTIF($A$2:A183,A183)&gt;1,"Duplicate - Remove","Unique")</f>
        <v>Unique</v>
      </c>
      <c r="S183" s="11" t="str">
        <f aca="false">TRIM(IF(Raw_Data!G183="","Region missing; ","")&amp;IF(Raw_Data!H183="","Spend imputed; ","")&amp;IF(Raw_Data!L183="","Revenue imputed; ","")&amp;IF(Raw_Data!J183&lt;0,"Clicks corrected; ",""))</f>
        <v/>
      </c>
    </row>
    <row r="184" customFormat="false" ht="15" hidden="false" customHeight="true" outlineLevel="0" collapsed="false">
      <c r="A184" s="11" t="n">
        <f aca="false">Raw_Data!A184</f>
        <v>1631</v>
      </c>
      <c r="B184" s="11" t="str">
        <f aca="false">PROPER(TRIM(Raw_Data!B184))</f>
        <v>Back To College Offer</v>
      </c>
      <c r="C184" s="11" t="str">
        <f aca="false">IFERROR(INDEX(Lookup_Tables!$B$2:$B$26,MATCH(UPPER(TRIM(Raw_Data!C184)),Lookup_Tables!$C$2:$C$26,0)),"Unknown")</f>
        <v>Email</v>
      </c>
      <c r="D184" s="12" t="n">
        <f aca="false">IFERROR(IF(ISNUMBER(SEARCH("/",Raw_Data!D184)),DATE(VALUE(RIGHT(Raw_Data!D184,4)),VALUE(MID(Raw_Data!D184,FIND("/",Raw_Data!D184)+1,FIND("/",Raw_Data!D184,FIND("/",Raw_Data!D184)+1)-FIND("/",Raw_Data!D184)-1)),VALUE(LEFT(Raw_Data!D184,FIND("/",Raw_Data!D184)-1))),IF(ISNUMBER(VALUE(LEFT(Raw_Data!D184,4))),DATE(VALUE(LEFT(Raw_Data!D184,4)),VALUE(MID(Raw_Data!D184,6,2)),VALUE(MID(Raw_Data!D184,9,2))),DATEVALUE(Raw_Data!D184))),"")</f>
        <v>45496</v>
      </c>
      <c r="E184" s="12" t="n">
        <f aca="false">IFERROR(IF(ISNUMBER(SEARCH("/",Raw_Data!E184)),DATE(VALUE(RIGHT(Raw_Data!E184,4)),VALUE(MID(Raw_Data!E184,FIND("/",Raw_Data!E184)+1,FIND("/",Raw_Data!E184,FIND("/",Raw_Data!E184)+1)-FIND("/",Raw_Data!E184)-1)),VALUE(LEFT(Raw_Data!E184,FIND("/",Raw_Data!E184)-1))),IF(ISNUMBER(VALUE(LEFT(Raw_Data!E184,4))),DATE(VALUE(LEFT(Raw_Data!E184,4)),VALUE(MID(Raw_Data!E184,6,2)),VALUE(MID(Raw_Data!E184,9,2))),DATEVALUE(Raw_Data!E184))),"")</f>
        <v>45510</v>
      </c>
      <c r="F184" s="11" t="str">
        <f aca="false">Raw_Data!F184</f>
        <v>Female 35-44</v>
      </c>
      <c r="G184" s="11" t="str">
        <f aca="false">IF(TRIM(Raw_Data!G184)="","Unspecified",IFERROR(INDEX(Lookup_Tables!$F$2:$F$24,MATCH(UPPER(TRIM(Raw_Data!G184)),Lookup_Tables!$G$2:$G$24,0)),"Unknown"))</f>
        <v>East</v>
      </c>
      <c r="H184" s="11" t="n">
        <f aca="false">IF(Raw_Data!H184="",ROUND(AVERAGEIFS(Raw_Data!$H$2:$H$839,Raw_Data!$C$2:$C$839,Raw_Data!C184),2),Raw_Data!H184)</f>
        <v>4728.66</v>
      </c>
      <c r="I184" s="11" t="n">
        <f aca="false">Raw_Data!I184</f>
        <v>110420</v>
      </c>
      <c r="J184" s="11" t="n">
        <f aca="false">IF(Raw_Data!J184&lt;0,ABS(Raw_Data!J184),Raw_Data!J184)</f>
        <v>2089</v>
      </c>
      <c r="K184" s="11" t="n">
        <f aca="false">Raw_Data!K184</f>
        <v>46</v>
      </c>
      <c r="L184" s="11" t="n">
        <f aca="false">IF(Raw_Data!L184="",ROUND(AVERAGEIFS(Raw_Data!$L$2:$L$839,Raw_Data!$C$2:$C$839,Raw_Data!C184),2),Raw_Data!L184)</f>
        <v>76615.64</v>
      </c>
      <c r="M184" s="13" t="n">
        <f aca="false">IFERROR(J184/I184,0)</f>
        <v>0.0189186741532331</v>
      </c>
      <c r="N184" s="14" t="n">
        <f aca="false">IFERROR(H184/J184,0)</f>
        <v>2.26359980852082</v>
      </c>
      <c r="O184" s="14" t="n">
        <f aca="false">IFERROR(H184/K184,0)</f>
        <v>102.796956521739</v>
      </c>
      <c r="P184" s="15" t="n">
        <f aca="false">IFERROR(L184/H184,0)</f>
        <v>16.2023998342025</v>
      </c>
      <c r="Q184" s="13" t="n">
        <f aca="false">IFERROR(K184/J184,0)</f>
        <v>0.0220201053135472</v>
      </c>
      <c r="R184" s="11" t="str">
        <f aca="false">IF(COUNTIF($A$2:A184,A184)&gt;1,"Duplicate - Remove","Unique")</f>
        <v>Unique</v>
      </c>
      <c r="S184" s="11" t="str">
        <f aca="false">TRIM(IF(Raw_Data!G184="","Region missing; ","")&amp;IF(Raw_Data!H184="","Spend imputed; ","")&amp;IF(Raw_Data!L184="","Revenue imputed; ","")&amp;IF(Raw_Data!J184&lt;0,"Clicks corrected; ",""))</f>
        <v/>
      </c>
    </row>
    <row r="185" customFormat="false" ht="15" hidden="false" customHeight="true" outlineLevel="0" collapsed="false">
      <c r="A185" s="11" t="n">
        <f aca="false">Raw_Data!A185</f>
        <v>1462</v>
      </c>
      <c r="B185" s="11" t="str">
        <f aca="false">PROPER(TRIM(Raw_Data!B185))</f>
        <v>Anti-Ageing Serum Push</v>
      </c>
      <c r="C185" s="11" t="str">
        <f aca="false">IFERROR(INDEX(Lookup_Tables!$B$2:$B$26,MATCH(UPPER(TRIM(Raw_Data!C185)),Lookup_Tables!$C$2:$C$26,0)),"Unknown")</f>
        <v>Facebook</v>
      </c>
      <c r="D185" s="12" t="n">
        <f aca="false">IFERROR(IF(ISNUMBER(SEARCH("/",Raw_Data!D185)),DATE(VALUE(RIGHT(Raw_Data!D185,4)),VALUE(MID(Raw_Data!D185,FIND("/",Raw_Data!D185)+1,FIND("/",Raw_Data!D185,FIND("/",Raw_Data!D185)+1)-FIND("/",Raw_Data!D185)-1)),VALUE(LEFT(Raw_Data!D185,FIND("/",Raw_Data!D185)-1))),IF(ISNUMBER(VALUE(LEFT(Raw_Data!D185,4))),DATE(VALUE(LEFT(Raw_Data!D185,4)),VALUE(MID(Raw_Data!D185,6,2)),VALUE(MID(Raw_Data!D185,9,2))),DATEVALUE(Raw_Data!D185))),"")</f>
        <v>45526</v>
      </c>
      <c r="E185" s="12" t="n">
        <f aca="false">IFERROR(IF(ISNUMBER(SEARCH("/",Raw_Data!E185)),DATE(VALUE(RIGHT(Raw_Data!E185,4)),VALUE(MID(Raw_Data!E185,FIND("/",Raw_Data!E185)+1,FIND("/",Raw_Data!E185,FIND("/",Raw_Data!E185)+1)-FIND("/",Raw_Data!E185)-1)),VALUE(LEFT(Raw_Data!E185,FIND("/",Raw_Data!E185)-1))),IF(ISNUMBER(VALUE(LEFT(Raw_Data!E185,4))),DATE(VALUE(LEFT(Raw_Data!E185,4)),VALUE(MID(Raw_Data!E185,6,2)),VALUE(MID(Raw_Data!E185,9,2))),DATEVALUE(Raw_Data!E185))),"")</f>
        <v>45551</v>
      </c>
      <c r="F185" s="11" t="str">
        <f aca="false">Raw_Data!F185</f>
        <v>Male 25-34</v>
      </c>
      <c r="G185" s="11" t="str">
        <f aca="false">IF(TRIM(Raw_Data!G185)="","Unspecified",IFERROR(INDEX(Lookup_Tables!$F$2:$F$24,MATCH(UPPER(TRIM(Raw_Data!G185)),Lookup_Tables!$G$2:$G$24,0)),"Unknown"))</f>
        <v>Central</v>
      </c>
      <c r="H185" s="11" t="n">
        <f aca="false">IF(Raw_Data!H185="",ROUND(AVERAGEIFS(Raw_Data!$H$2:$H$839,Raw_Data!$C$2:$C$839,Raw_Data!C185),2),Raw_Data!H185)</f>
        <v>31394.93</v>
      </c>
      <c r="I185" s="11" t="n">
        <f aca="false">Raw_Data!I185</f>
        <v>817746</v>
      </c>
      <c r="J185" s="11" t="n">
        <f aca="false">IF(Raw_Data!J185&lt;0,ABS(Raw_Data!J185),Raw_Data!J185)</f>
        <v>15924</v>
      </c>
      <c r="K185" s="11" t="n">
        <f aca="false">Raw_Data!K185</f>
        <v>1159</v>
      </c>
      <c r="L185" s="11" t="n">
        <f aca="false">IF(Raw_Data!L185="",ROUND(AVERAGEIFS(Raw_Data!$L$2:$L$839,Raw_Data!$C$2:$C$839,Raw_Data!C185),2),Raw_Data!L185)</f>
        <v>758172.83</v>
      </c>
      <c r="M185" s="13" t="n">
        <f aca="false">IFERROR(J185/I185,0)</f>
        <v>0.0194730393056035</v>
      </c>
      <c r="N185" s="14" t="n">
        <f aca="false">IFERROR(H185/J185,0)</f>
        <v>1.971547977895</v>
      </c>
      <c r="O185" s="14" t="n">
        <f aca="false">IFERROR(H185/K185,0)</f>
        <v>27.0879465056083</v>
      </c>
      <c r="P185" s="15" t="n">
        <f aca="false">IFERROR(L185/H185,0)</f>
        <v>24.1495308318891</v>
      </c>
      <c r="Q185" s="13" t="n">
        <f aca="false">IFERROR(K185/J185,0)</f>
        <v>0.0727832202964079</v>
      </c>
      <c r="R185" s="11" t="str">
        <f aca="false">IF(COUNTIF($A$2:A185,A185)&gt;1,"Duplicate - Remove","Unique")</f>
        <v>Unique</v>
      </c>
      <c r="S185" s="11" t="str">
        <f aca="false">TRIM(IF(Raw_Data!G185="","Region missing; ","")&amp;IF(Raw_Data!H185="","Spend imputed; ","")&amp;IF(Raw_Data!L185="","Revenue imputed; ","")&amp;IF(Raw_Data!J185&lt;0,"Clicks corrected; ",""))</f>
        <v/>
      </c>
    </row>
    <row r="186" customFormat="false" ht="15" hidden="false" customHeight="true" outlineLevel="0" collapsed="false">
      <c r="A186" s="11" t="n">
        <f aca="false">Raw_Data!A186</f>
        <v>1083</v>
      </c>
      <c r="B186" s="11" t="str">
        <f aca="false">PROPER(TRIM(Raw_Data!B186))</f>
        <v>Herbal Range Awareness</v>
      </c>
      <c r="C186" s="11" t="str">
        <f aca="false">IFERROR(INDEX(Lookup_Tables!$B$2:$B$26,MATCH(UPPER(TRIM(Raw_Data!C186)),Lookup_Tables!$C$2:$C$26,0)),"Unknown")</f>
        <v>Facebook</v>
      </c>
      <c r="D186" s="12" t="n">
        <f aca="false">IFERROR(IF(ISNUMBER(SEARCH("/",Raw_Data!D186)),DATE(VALUE(RIGHT(Raw_Data!D186,4)),VALUE(MID(Raw_Data!D186,FIND("/",Raw_Data!D186)+1,FIND("/",Raw_Data!D186,FIND("/",Raw_Data!D186)+1)-FIND("/",Raw_Data!D186)-1)),VALUE(LEFT(Raw_Data!D186,FIND("/",Raw_Data!D186)-1))),IF(ISNUMBER(VALUE(LEFT(Raw_Data!D186,4))),DATE(VALUE(LEFT(Raw_Data!D186,4)),VALUE(MID(Raw_Data!D186,6,2)),VALUE(MID(Raw_Data!D186,9,2))),DATEVALUE(Raw_Data!D186))),"")</f>
        <v>45515</v>
      </c>
      <c r="E186" s="12" t="n">
        <f aca="false">IFERROR(IF(ISNUMBER(SEARCH("/",Raw_Data!E186)),DATE(VALUE(RIGHT(Raw_Data!E186,4)),VALUE(MID(Raw_Data!E186,FIND("/",Raw_Data!E186)+1,FIND("/",Raw_Data!E186,FIND("/",Raw_Data!E186)+1)-FIND("/",Raw_Data!E186)-1)),VALUE(LEFT(Raw_Data!E186,FIND("/",Raw_Data!E186)-1))),IF(ISNUMBER(VALUE(LEFT(Raw_Data!E186,4))),DATE(VALUE(LEFT(Raw_Data!E186,4)),VALUE(MID(Raw_Data!E186,6,2)),VALUE(MID(Raw_Data!E186,9,2))),DATEVALUE(Raw_Data!E186))),"")</f>
        <v>45532</v>
      </c>
      <c r="F186" s="11" t="str">
        <f aca="false">Raw_Data!F186</f>
        <v>Male 35-44</v>
      </c>
      <c r="G186" s="11" t="str">
        <f aca="false">IF(TRIM(Raw_Data!G186)="","Unspecified",IFERROR(INDEX(Lookup_Tables!$F$2:$F$24,MATCH(UPPER(TRIM(Raw_Data!G186)),Lookup_Tables!$G$2:$G$24,0)),"Unknown"))</f>
        <v>East</v>
      </c>
      <c r="H186" s="11" t="n">
        <f aca="false">IF(Raw_Data!H186="",ROUND(AVERAGEIFS(Raw_Data!$H$2:$H$839,Raw_Data!$C$2:$C$839,Raw_Data!C186),2),Raw_Data!H186)</f>
        <v>25348.41</v>
      </c>
      <c r="I186" s="11" t="n">
        <f aca="false">Raw_Data!I186</f>
        <v>986356</v>
      </c>
      <c r="J186" s="11" t="n">
        <f aca="false">IF(Raw_Data!J186&lt;0,ABS(Raw_Data!J186),Raw_Data!J186)</f>
        <v>14964</v>
      </c>
      <c r="K186" s="11" t="n">
        <f aca="false">Raw_Data!K186</f>
        <v>345</v>
      </c>
      <c r="L186" s="11" t="n">
        <f aca="false">IF(Raw_Data!L186="",ROUND(AVERAGEIFS(Raw_Data!$L$2:$L$839,Raw_Data!$C$2:$C$839,Raw_Data!C186),2),Raw_Data!L186)</f>
        <v>466957.26</v>
      </c>
      <c r="M186" s="13" t="n">
        <f aca="false">IFERROR(J186/I186,0)</f>
        <v>0.0151709930288861</v>
      </c>
      <c r="N186" s="14" t="n">
        <f aca="false">IFERROR(H186/J186,0)</f>
        <v>1.69395950280674</v>
      </c>
      <c r="O186" s="14" t="n">
        <f aca="false">IFERROR(H186/K186,0)</f>
        <v>73.473652173913</v>
      </c>
      <c r="P186" s="15" t="n">
        <f aca="false">IFERROR(L186/H186,0)</f>
        <v>18.4215601688627</v>
      </c>
      <c r="Q186" s="13" t="n">
        <f aca="false">IFERROR(K186/J186,0)</f>
        <v>0.0230553327987169</v>
      </c>
      <c r="R186" s="11" t="str">
        <f aca="false">IF(COUNTIF($A$2:A186,A186)&gt;1,"Duplicate - Remove","Unique")</f>
        <v>Unique</v>
      </c>
      <c r="S186" s="11" t="str">
        <f aca="false">TRIM(IF(Raw_Data!G186="","Region missing; ","")&amp;IF(Raw_Data!H186="","Spend imputed; ","")&amp;IF(Raw_Data!L186="","Revenue imputed; ","")&amp;IF(Raw_Data!J186&lt;0,"Clicks corrected; ",""))</f>
        <v/>
      </c>
    </row>
    <row r="187" customFormat="false" ht="15" hidden="false" customHeight="true" outlineLevel="0" collapsed="false">
      <c r="A187" s="11" t="n">
        <f aca="false">Raw_Data!A187</f>
        <v>1797</v>
      </c>
      <c r="B187" s="11" t="str">
        <f aca="false">PROPER(TRIM(Raw_Data!B187))</f>
        <v>Clearance Sale Push</v>
      </c>
      <c r="C187" s="11" t="str">
        <f aca="false">IFERROR(INDEX(Lookup_Tables!$B$2:$B$26,MATCH(UPPER(TRIM(Raw_Data!C187)),Lookup_Tables!$C$2:$C$26,0)),"Unknown")</f>
        <v>YouTube</v>
      </c>
      <c r="D187" s="12" t="n">
        <f aca="false">IFERROR(IF(ISNUMBER(SEARCH("/",Raw_Data!D187)),DATE(VALUE(RIGHT(Raw_Data!D187,4)),VALUE(MID(Raw_Data!D187,FIND("/",Raw_Data!D187)+1,FIND("/",Raw_Data!D187,FIND("/",Raw_Data!D187)+1)-FIND("/",Raw_Data!D187)-1)),VALUE(LEFT(Raw_Data!D187,FIND("/",Raw_Data!D187)-1))),IF(ISNUMBER(VALUE(LEFT(Raw_Data!D187,4))),DATE(VALUE(LEFT(Raw_Data!D187,4)),VALUE(MID(Raw_Data!D187,6,2)),VALUE(MID(Raw_Data!D187,9,2))),DATEVALUE(Raw_Data!D187))),"")</f>
        <v>45456</v>
      </c>
      <c r="E187" s="12" t="n">
        <f aca="false">IFERROR(IF(ISNUMBER(SEARCH("/",Raw_Data!E187)),DATE(VALUE(RIGHT(Raw_Data!E187,4)),VALUE(MID(Raw_Data!E187,FIND("/",Raw_Data!E187)+1,FIND("/",Raw_Data!E187,FIND("/",Raw_Data!E187)+1)-FIND("/",Raw_Data!E187)-1)),VALUE(LEFT(Raw_Data!E187,FIND("/",Raw_Data!E187)-1))),IF(ISNUMBER(VALUE(LEFT(Raw_Data!E187,4))),DATE(VALUE(LEFT(Raw_Data!E187,4)),VALUE(MID(Raw_Data!E187,6,2)),VALUE(MID(Raw_Data!E187,9,2))),DATEVALUE(Raw_Data!E187))),"")</f>
        <v>45481</v>
      </c>
      <c r="F187" s="11" t="str">
        <f aca="false">Raw_Data!F187</f>
        <v>Female 45+</v>
      </c>
      <c r="G187" s="11" t="str">
        <f aca="false">IF(TRIM(Raw_Data!G187)="","Unspecified",IFERROR(INDEX(Lookup_Tables!$F$2:$F$24,MATCH(UPPER(TRIM(Raw_Data!G187)),Lookup_Tables!$G$2:$G$24,0)),"Unknown"))</f>
        <v>West</v>
      </c>
      <c r="H187" s="11" t="n">
        <f aca="false">IF(Raw_Data!H187="",ROUND(AVERAGEIFS(Raw_Data!$H$2:$H$839,Raw_Data!$C$2:$C$839,Raw_Data!C187),2),Raw_Data!H187)</f>
        <v>29933.48</v>
      </c>
      <c r="I187" s="11" t="n">
        <f aca="false">Raw_Data!I187</f>
        <v>480405</v>
      </c>
      <c r="J187" s="11" t="n">
        <f aca="false">IF(Raw_Data!J187&lt;0,ABS(Raw_Data!J187),Raw_Data!J187)</f>
        <v>8929</v>
      </c>
      <c r="K187" s="11" t="n">
        <f aca="false">Raw_Data!K187</f>
        <v>91</v>
      </c>
      <c r="L187" s="11" t="n">
        <f aca="false">IF(Raw_Data!L187="",ROUND(AVERAGEIFS(Raw_Data!$L$2:$L$839,Raw_Data!$C$2:$C$839,Raw_Data!C187),2),Raw_Data!L187)</f>
        <v>78747.86</v>
      </c>
      <c r="M187" s="13" t="n">
        <f aca="false">IFERROR(J187/I187,0)</f>
        <v>0.0185864010574411</v>
      </c>
      <c r="N187" s="14" t="n">
        <f aca="false">IFERROR(H187/J187,0)</f>
        <v>3.35238884533542</v>
      </c>
      <c r="O187" s="14" t="n">
        <f aca="false">IFERROR(H187/K187,0)</f>
        <v>328.939340659341</v>
      </c>
      <c r="P187" s="15" t="n">
        <f aca="false">IFERROR(L187/H187,0)</f>
        <v>2.63076194281453</v>
      </c>
      <c r="Q187" s="13" t="n">
        <f aca="false">IFERROR(K187/J187,0)</f>
        <v>0.0101915108074812</v>
      </c>
      <c r="R187" s="11" t="str">
        <f aca="false">IF(COUNTIF($A$2:A187,A187)&gt;1,"Duplicate - Remove","Unique")</f>
        <v>Unique</v>
      </c>
      <c r="S187" s="11" t="str">
        <f aca="false">TRIM(IF(Raw_Data!G187="","Region missing; ","")&amp;IF(Raw_Data!H187="","Spend imputed; ","")&amp;IF(Raw_Data!L187="","Revenue imputed; ","")&amp;IF(Raw_Data!J187&lt;0,"Clicks corrected; ",""))</f>
        <v/>
      </c>
    </row>
    <row r="188" customFormat="false" ht="15" hidden="false" customHeight="true" outlineLevel="0" collapsed="false">
      <c r="A188" s="11" t="n">
        <f aca="false">Raw_Data!A188</f>
        <v>1485</v>
      </c>
      <c r="B188" s="11" t="str">
        <f aca="false">PROPER(TRIM(Raw_Data!B188))</f>
        <v>New Year Wellness</v>
      </c>
      <c r="C188" s="11" t="str">
        <f aca="false">IFERROR(INDEX(Lookup_Tables!$B$2:$B$26,MATCH(UPPER(TRIM(Raw_Data!C188)),Lookup_Tables!$C$2:$C$26,0)),"Unknown")</f>
        <v>Facebook</v>
      </c>
      <c r="D188" s="12" t="n">
        <f aca="false">IFERROR(IF(ISNUMBER(SEARCH("/",Raw_Data!D188)),DATE(VALUE(RIGHT(Raw_Data!D188,4)),VALUE(MID(Raw_Data!D188,FIND("/",Raw_Data!D188)+1,FIND("/",Raw_Data!D188,FIND("/",Raw_Data!D188)+1)-FIND("/",Raw_Data!D188)-1)),VALUE(LEFT(Raw_Data!D188,FIND("/",Raw_Data!D188)-1))),IF(ISNUMBER(VALUE(LEFT(Raw_Data!D188,4))),DATE(VALUE(LEFT(Raw_Data!D188,4)),VALUE(MID(Raw_Data!D188,6,2)),VALUE(MID(Raw_Data!D188,9,2))),DATEVALUE(Raw_Data!D188))),"")</f>
        <v>45313</v>
      </c>
      <c r="E188" s="12" t="n">
        <f aca="false">IFERROR(IF(ISNUMBER(SEARCH("/",Raw_Data!E188)),DATE(VALUE(RIGHT(Raw_Data!E188,4)),VALUE(MID(Raw_Data!E188,FIND("/",Raw_Data!E188)+1,FIND("/",Raw_Data!E188,FIND("/",Raw_Data!E188)+1)-FIND("/",Raw_Data!E188)-1)),VALUE(LEFT(Raw_Data!E188,FIND("/",Raw_Data!E188)-1))),IF(ISNUMBER(VALUE(LEFT(Raw_Data!E188,4))),DATE(VALUE(LEFT(Raw_Data!E188,4)),VALUE(MID(Raw_Data!E188,6,2)),VALUE(MID(Raw_Data!E188,9,2))),DATEVALUE(Raw_Data!E188))),"")</f>
        <v>45336</v>
      </c>
      <c r="F188" s="11" t="str">
        <f aca="false">Raw_Data!F188</f>
        <v>Female 25-34</v>
      </c>
      <c r="G188" s="11" t="str">
        <f aca="false">IF(TRIM(Raw_Data!G188)="","Unspecified",IFERROR(INDEX(Lookup_Tables!$F$2:$F$24,MATCH(UPPER(TRIM(Raw_Data!G188)),Lookup_Tables!$G$2:$G$24,0)),"Unknown"))</f>
        <v>North</v>
      </c>
      <c r="H188" s="11" t="n">
        <f aca="false">IF(Raw_Data!H188="",ROUND(AVERAGEIFS(Raw_Data!$H$2:$H$839,Raw_Data!$C$2:$C$839,Raw_Data!C188),2),Raw_Data!H188)</f>
        <v>41966</v>
      </c>
      <c r="I188" s="11" t="n">
        <f aca="false">Raw_Data!I188</f>
        <v>831899</v>
      </c>
      <c r="J188" s="11" t="n">
        <f aca="false">IF(Raw_Data!J188&lt;0,ABS(Raw_Data!J188),Raw_Data!J188)</f>
        <v>15284</v>
      </c>
      <c r="K188" s="11" t="n">
        <f aca="false">Raw_Data!K188</f>
        <v>258</v>
      </c>
      <c r="L188" s="11" t="n">
        <f aca="false">IF(Raw_Data!L188="",ROUND(AVERAGEIFS(Raw_Data!$L$2:$L$839,Raw_Data!$C$2:$C$839,Raw_Data!C188),2),Raw_Data!L188)</f>
        <v>442634.11</v>
      </c>
      <c r="M188" s="13" t="n">
        <f aca="false">IFERROR(J188/I188,0)</f>
        <v>0.0183724226138029</v>
      </c>
      <c r="N188" s="14" t="n">
        <f aca="false">IFERROR(H188/J188,0)</f>
        <v>2.74574718660037</v>
      </c>
      <c r="O188" s="14" t="n">
        <f aca="false">IFERROR(H188/K188,0)</f>
        <v>162.658914728682</v>
      </c>
      <c r="P188" s="15" t="n">
        <f aca="false">IFERROR(L188/H188,0)</f>
        <v>10.5474457894486</v>
      </c>
      <c r="Q188" s="13" t="n">
        <f aca="false">IFERROR(K188/J188,0)</f>
        <v>0.0168803978016226</v>
      </c>
      <c r="R188" s="11" t="str">
        <f aca="false">IF(COUNTIF($A$2:A188,A188)&gt;1,"Duplicate - Remove","Unique")</f>
        <v>Unique</v>
      </c>
      <c r="S188" s="11" t="str">
        <f aca="false">TRIM(IF(Raw_Data!G188="","Region missing; ","")&amp;IF(Raw_Data!H188="","Spend imputed; ","")&amp;IF(Raw_Data!L188="","Revenue imputed; ","")&amp;IF(Raw_Data!J188&lt;0,"Clicks corrected; ",""))</f>
        <v/>
      </c>
    </row>
    <row r="189" customFormat="false" ht="15" hidden="false" customHeight="true" outlineLevel="0" collapsed="false">
      <c r="A189" s="11" t="n">
        <f aca="false">Raw_Data!A189</f>
        <v>1813</v>
      </c>
      <c r="B189" s="11" t="str">
        <f aca="false">PROPER(TRIM(Raw_Data!B189))</f>
        <v>Summer Glow Launch</v>
      </c>
      <c r="C189" s="11" t="str">
        <f aca="false">IFERROR(INDEX(Lookup_Tables!$B$2:$B$26,MATCH(UPPER(TRIM(Raw_Data!C189)),Lookup_Tables!$C$2:$C$26,0)),"Unknown")</f>
        <v>Google Ads</v>
      </c>
      <c r="D189" s="12" t="n">
        <f aca="false">IFERROR(IF(ISNUMBER(SEARCH("/",Raw_Data!D189)),DATE(VALUE(RIGHT(Raw_Data!D189,4)),VALUE(MID(Raw_Data!D189,FIND("/",Raw_Data!D189)+1,FIND("/",Raw_Data!D189,FIND("/",Raw_Data!D189)+1)-FIND("/",Raw_Data!D189)-1)),VALUE(LEFT(Raw_Data!D189,FIND("/",Raw_Data!D189)-1))),IF(ISNUMBER(VALUE(LEFT(Raw_Data!D189,4))),DATE(VALUE(LEFT(Raw_Data!D189,4)),VALUE(MID(Raw_Data!D189,6,2)),VALUE(MID(Raw_Data!D189,9,2))),DATEVALUE(Raw_Data!D189))),"")</f>
        <v>45399</v>
      </c>
      <c r="E189" s="12" t="n">
        <f aca="false">IFERROR(IF(ISNUMBER(SEARCH("/",Raw_Data!E189)),DATE(VALUE(RIGHT(Raw_Data!E189,4)),VALUE(MID(Raw_Data!E189,FIND("/",Raw_Data!E189)+1,FIND("/",Raw_Data!E189,FIND("/",Raw_Data!E189)+1)-FIND("/",Raw_Data!E189)-1)),VALUE(LEFT(Raw_Data!E189,FIND("/",Raw_Data!E189)-1))),IF(ISNUMBER(VALUE(LEFT(Raw_Data!E189,4))),DATE(VALUE(LEFT(Raw_Data!E189,4)),VALUE(MID(Raw_Data!E189,6,2)),VALUE(MID(Raw_Data!E189,9,2))),DATEVALUE(Raw_Data!E189))),"")</f>
        <v>45406</v>
      </c>
      <c r="F189" s="11" t="str">
        <f aca="false">Raw_Data!F189</f>
        <v>Male 45+</v>
      </c>
      <c r="G189" s="11" t="str">
        <f aca="false">IF(TRIM(Raw_Data!G189)="","Unspecified",IFERROR(INDEX(Lookup_Tables!$F$2:$F$24,MATCH(UPPER(TRIM(Raw_Data!G189)),Lookup_Tables!$G$2:$G$24,0)),"Unknown"))</f>
        <v>West</v>
      </c>
      <c r="H189" s="11" t="n">
        <f aca="false">IF(Raw_Data!H189="",ROUND(AVERAGEIFS(Raw_Data!$H$2:$H$839,Raw_Data!$C$2:$C$839,Raw_Data!C189),2),Raw_Data!H189)</f>
        <v>74649.7</v>
      </c>
      <c r="I189" s="11" t="n">
        <f aca="false">Raw_Data!I189</f>
        <v>2261464</v>
      </c>
      <c r="J189" s="11" t="n">
        <f aca="false">IF(Raw_Data!J189&lt;0,ABS(Raw_Data!J189),Raw_Data!J189)</f>
        <v>17651</v>
      </c>
      <c r="K189" s="11" t="n">
        <f aca="false">Raw_Data!K189</f>
        <v>485</v>
      </c>
      <c r="L189" s="11" t="n">
        <f aca="false">IF(Raw_Data!L189="",ROUND(AVERAGEIFS(Raw_Data!$L$2:$L$839,Raw_Data!$C$2:$C$839,Raw_Data!C189),2),Raw_Data!L189)</f>
        <v>590520.98</v>
      </c>
      <c r="M189" s="13" t="n">
        <f aca="false">IFERROR(J189/I189,0)</f>
        <v>0.00780512093051227</v>
      </c>
      <c r="N189" s="14" t="n">
        <f aca="false">IFERROR(H189/J189,0)</f>
        <v>4.22920514418447</v>
      </c>
      <c r="O189" s="14" t="n">
        <f aca="false">IFERROR(H189/K189,0)</f>
        <v>153.916907216495</v>
      </c>
      <c r="P189" s="15" t="n">
        <f aca="false">IFERROR(L189/H189,0)</f>
        <v>7.91056065864967</v>
      </c>
      <c r="Q189" s="13" t="n">
        <f aca="false">IFERROR(K189/J189,0)</f>
        <v>0.0274771967593904</v>
      </c>
      <c r="R189" s="11" t="str">
        <f aca="false">IF(COUNTIF($A$2:A189,A189)&gt;1,"Duplicate - Remove","Unique")</f>
        <v>Unique</v>
      </c>
      <c r="S189" s="11" t="str">
        <f aca="false">TRIM(IF(Raw_Data!G189="","Region missing; ","")&amp;IF(Raw_Data!H189="","Spend imputed; ","")&amp;IF(Raw_Data!L189="","Revenue imputed; ","")&amp;IF(Raw_Data!J189&lt;0,"Clicks corrected; ",""))</f>
        <v/>
      </c>
    </row>
    <row r="190" customFormat="false" ht="15" hidden="false" customHeight="true" outlineLevel="0" collapsed="false">
      <c r="A190" s="11" t="n">
        <f aca="false">Raw_Data!A190</f>
        <v>1270</v>
      </c>
      <c r="B190" s="11" t="str">
        <f aca="false">PROPER(TRIM(Raw_Data!B190))</f>
        <v>Ayurvedic Range Launch</v>
      </c>
      <c r="C190" s="11" t="str">
        <f aca="false">IFERROR(INDEX(Lookup_Tables!$B$2:$B$26,MATCH(UPPER(TRIM(Raw_Data!C190)),Lookup_Tables!$C$2:$C$26,0)),"Unknown")</f>
        <v>Google Ads</v>
      </c>
      <c r="D190" s="12" t="n">
        <f aca="false">IFERROR(IF(ISNUMBER(SEARCH("/",Raw_Data!D190)),DATE(VALUE(RIGHT(Raw_Data!D190,4)),VALUE(MID(Raw_Data!D190,FIND("/",Raw_Data!D190)+1,FIND("/",Raw_Data!D190,FIND("/",Raw_Data!D190)+1)-FIND("/",Raw_Data!D190)-1)),VALUE(LEFT(Raw_Data!D190,FIND("/",Raw_Data!D190)-1))),IF(ISNUMBER(VALUE(LEFT(Raw_Data!D190,4))),DATE(VALUE(LEFT(Raw_Data!D190,4)),VALUE(MID(Raw_Data!D190,6,2)),VALUE(MID(Raw_Data!D190,9,2))),DATEVALUE(Raw_Data!D190))),"")</f>
        <v>45490</v>
      </c>
      <c r="E190" s="12" t="n">
        <f aca="false">IFERROR(IF(ISNUMBER(SEARCH("/",Raw_Data!E190)),DATE(VALUE(RIGHT(Raw_Data!E190,4)),VALUE(MID(Raw_Data!E190,FIND("/",Raw_Data!E190)+1,FIND("/",Raw_Data!E190,FIND("/",Raw_Data!E190)+1)-FIND("/",Raw_Data!E190)-1)),VALUE(LEFT(Raw_Data!E190,FIND("/",Raw_Data!E190)-1))),IF(ISNUMBER(VALUE(LEFT(Raw_Data!E190,4))),DATE(VALUE(LEFT(Raw_Data!E190,4)),VALUE(MID(Raw_Data!E190,6,2)),VALUE(MID(Raw_Data!E190,9,2))),DATEVALUE(Raw_Data!E190))),"")</f>
        <v>45495</v>
      </c>
      <c r="F190" s="11" t="str">
        <f aca="false">Raw_Data!F190</f>
        <v>Male 25-34</v>
      </c>
      <c r="G190" s="11" t="str">
        <f aca="false">IF(TRIM(Raw_Data!G190)="","Unspecified",IFERROR(INDEX(Lookup_Tables!$F$2:$F$24,MATCH(UPPER(TRIM(Raw_Data!G190)),Lookup_Tables!$G$2:$G$24,0)),"Unknown"))</f>
        <v>Central</v>
      </c>
      <c r="H190" s="11" t="n">
        <f aca="false">IF(Raw_Data!H190="",ROUND(AVERAGEIFS(Raw_Data!$H$2:$H$839,Raw_Data!$C$2:$C$839,Raw_Data!C190),2),Raw_Data!H190)</f>
        <v>76438.15</v>
      </c>
      <c r="I190" s="11" t="n">
        <f aca="false">Raw_Data!I190</f>
        <v>1577650</v>
      </c>
      <c r="J190" s="11" t="n">
        <f aca="false">IF(Raw_Data!J190&lt;0,ABS(Raw_Data!J190),Raw_Data!J190)</f>
        <v>24064</v>
      </c>
      <c r="K190" s="11" t="n">
        <f aca="false">Raw_Data!K190</f>
        <v>902</v>
      </c>
      <c r="L190" s="11" t="n">
        <f aca="false">IF(Raw_Data!L190="",ROUND(AVERAGEIFS(Raw_Data!$L$2:$L$839,Raw_Data!$C$2:$C$839,Raw_Data!C190),2),Raw_Data!L190)</f>
        <v>495223.24</v>
      </c>
      <c r="M190" s="13" t="n">
        <f aca="false">IFERROR(J190/I190,0)</f>
        <v>0.0152530662694514</v>
      </c>
      <c r="N190" s="14" t="n">
        <f aca="false">IFERROR(H190/J190,0)</f>
        <v>3.17645237699468</v>
      </c>
      <c r="O190" s="14" t="n">
        <f aca="false">IFERROR(H190/K190,0)</f>
        <v>84.7429600886918</v>
      </c>
      <c r="P190" s="15" t="n">
        <f aca="false">IFERROR(L190/H190,0)</f>
        <v>6.47874444894336</v>
      </c>
      <c r="Q190" s="13" t="n">
        <f aca="false">IFERROR(K190/J190,0)</f>
        <v>0.0374833776595745</v>
      </c>
      <c r="R190" s="11" t="str">
        <f aca="false">IF(COUNTIF($A$2:A190,A190)&gt;1,"Duplicate - Remove","Unique")</f>
        <v>Unique</v>
      </c>
      <c r="S190" s="11" t="str">
        <f aca="false">TRIM(IF(Raw_Data!G190="","Region missing; ","")&amp;IF(Raw_Data!H190="","Spend imputed; ","")&amp;IF(Raw_Data!L190="","Revenue imputed; ","")&amp;IF(Raw_Data!J190&lt;0,"Clicks corrected; ",""))</f>
        <v/>
      </c>
    </row>
    <row r="191" customFormat="false" ht="15" hidden="false" customHeight="true" outlineLevel="0" collapsed="false">
      <c r="A191" s="11" t="n">
        <f aca="false">Raw_Data!A191</f>
        <v>1358</v>
      </c>
      <c r="B191" s="11" t="str">
        <f aca="false">PROPER(TRIM(Raw_Data!B191))</f>
        <v>New Year Wellness</v>
      </c>
      <c r="C191" s="11" t="str">
        <f aca="false">IFERROR(INDEX(Lookup_Tables!$B$2:$B$26,MATCH(UPPER(TRIM(Raw_Data!C191)),Lookup_Tables!$C$2:$C$26,0)),"Unknown")</f>
        <v>Facebook</v>
      </c>
      <c r="D191" s="12" t="n">
        <f aca="false">IFERROR(IF(ISNUMBER(SEARCH("/",Raw_Data!D191)),DATE(VALUE(RIGHT(Raw_Data!D191,4)),VALUE(MID(Raw_Data!D191,FIND("/",Raw_Data!D191)+1,FIND("/",Raw_Data!D191,FIND("/",Raw_Data!D191)+1)-FIND("/",Raw_Data!D191)-1)),VALUE(LEFT(Raw_Data!D191,FIND("/",Raw_Data!D191)-1))),IF(ISNUMBER(VALUE(LEFT(Raw_Data!D191,4))),DATE(VALUE(LEFT(Raw_Data!D191,4)),VALUE(MID(Raw_Data!D191,6,2)),VALUE(MID(Raw_Data!D191,9,2))),DATEVALUE(Raw_Data!D191))),"")</f>
        <v>45508</v>
      </c>
      <c r="E191" s="12" t="n">
        <f aca="false">IFERROR(IF(ISNUMBER(SEARCH("/",Raw_Data!E191)),DATE(VALUE(RIGHT(Raw_Data!E191,4)),VALUE(MID(Raw_Data!E191,FIND("/",Raw_Data!E191)+1,FIND("/",Raw_Data!E191,FIND("/",Raw_Data!E191)+1)-FIND("/",Raw_Data!E191)-1)),VALUE(LEFT(Raw_Data!E191,FIND("/",Raw_Data!E191)-1))),IF(ISNUMBER(VALUE(LEFT(Raw_Data!E191,4))),DATE(VALUE(LEFT(Raw_Data!E191,4)),VALUE(MID(Raw_Data!E191,6,2)),VALUE(MID(Raw_Data!E191,9,2))),DATEVALUE(Raw_Data!E191))),"")</f>
        <v>45533</v>
      </c>
      <c r="F191" s="11" t="str">
        <f aca="false">Raw_Data!F191</f>
        <v>Female 45+</v>
      </c>
      <c r="G191" s="11" t="str">
        <f aca="false">IF(TRIM(Raw_Data!G191)="","Unspecified",IFERROR(INDEX(Lookup_Tables!$F$2:$F$24,MATCH(UPPER(TRIM(Raw_Data!G191)),Lookup_Tables!$G$2:$G$24,0)),"Unknown"))</f>
        <v>South</v>
      </c>
      <c r="H191" s="11" t="n">
        <f aca="false">IF(Raw_Data!H191="",ROUND(AVERAGEIFS(Raw_Data!$H$2:$H$839,Raw_Data!$C$2:$C$839,Raw_Data!C191),2),Raw_Data!H191)</f>
        <v>14887.58</v>
      </c>
      <c r="I191" s="11" t="n">
        <f aca="false">Raw_Data!I191</f>
        <v>324814</v>
      </c>
      <c r="J191" s="11" t="n">
        <f aca="false">IF(Raw_Data!J191&lt;0,ABS(Raw_Data!J191),Raw_Data!J191)</f>
        <v>1908</v>
      </c>
      <c r="K191" s="11" t="n">
        <f aca="false">Raw_Data!K191</f>
        <v>124</v>
      </c>
      <c r="L191" s="11" t="n">
        <f aca="false">IF(Raw_Data!L191="",ROUND(AVERAGEIFS(Raw_Data!$L$2:$L$839,Raw_Data!$C$2:$C$839,Raw_Data!C191),2),Raw_Data!L191)</f>
        <v>93343.4</v>
      </c>
      <c r="M191" s="13" t="n">
        <f aca="false">IFERROR(J191/I191,0)</f>
        <v>0.0058741310411497</v>
      </c>
      <c r="N191" s="14" t="n">
        <f aca="false">IFERROR(H191/J191,0)</f>
        <v>7.80271488469602</v>
      </c>
      <c r="O191" s="14" t="n">
        <f aca="false">IFERROR(H191/K191,0)</f>
        <v>120.061129032258</v>
      </c>
      <c r="P191" s="15" t="n">
        <f aca="false">IFERROR(L191/H191,0)</f>
        <v>6.26988402413287</v>
      </c>
      <c r="Q191" s="13" t="n">
        <f aca="false">IFERROR(K191/J191,0)</f>
        <v>0.0649895178197065</v>
      </c>
      <c r="R191" s="11" t="str">
        <f aca="false">IF(COUNTIF($A$2:A191,A191)&gt;1,"Duplicate - Remove","Unique")</f>
        <v>Unique</v>
      </c>
      <c r="S191" s="11" t="str">
        <f aca="false">TRIM(IF(Raw_Data!G191="","Region missing; ","")&amp;IF(Raw_Data!H191="","Spend imputed; ","")&amp;IF(Raw_Data!L191="","Revenue imputed; ","")&amp;IF(Raw_Data!J191&lt;0,"Clicks corrected; ",""))</f>
        <v/>
      </c>
    </row>
    <row r="192" customFormat="false" ht="15" hidden="false" customHeight="true" outlineLevel="0" collapsed="false">
      <c r="A192" s="11" t="n">
        <f aca="false">Raw_Data!A192</f>
        <v>1072</v>
      </c>
      <c r="B192" s="11" t="str">
        <f aca="false">PROPER(TRIM(Raw_Data!B192))</f>
        <v>Monsoon Skincare Push</v>
      </c>
      <c r="C192" s="11" t="str">
        <f aca="false">IFERROR(INDEX(Lookup_Tables!$B$2:$B$26,MATCH(UPPER(TRIM(Raw_Data!C192)),Lookup_Tables!$C$2:$C$26,0)),"Unknown")</f>
        <v>Instagram</v>
      </c>
      <c r="D192" s="12" t="n">
        <f aca="false">IFERROR(IF(ISNUMBER(SEARCH("/",Raw_Data!D192)),DATE(VALUE(RIGHT(Raw_Data!D192,4)),VALUE(MID(Raw_Data!D192,FIND("/",Raw_Data!D192)+1,FIND("/",Raw_Data!D192,FIND("/",Raw_Data!D192)+1)-FIND("/",Raw_Data!D192)-1)),VALUE(LEFT(Raw_Data!D192,FIND("/",Raw_Data!D192)-1))),IF(ISNUMBER(VALUE(LEFT(Raw_Data!D192,4))),DATE(VALUE(LEFT(Raw_Data!D192,4)),VALUE(MID(Raw_Data!D192,6,2)),VALUE(MID(Raw_Data!D192,9,2))),DATEVALUE(Raw_Data!D192))),"")</f>
        <v>45418</v>
      </c>
      <c r="E192" s="12" t="n">
        <f aca="false">IFERROR(IF(ISNUMBER(SEARCH("/",Raw_Data!E192)),DATE(VALUE(RIGHT(Raw_Data!E192,4)),VALUE(MID(Raw_Data!E192,FIND("/",Raw_Data!E192)+1,FIND("/",Raw_Data!E192,FIND("/",Raw_Data!E192)+1)-FIND("/",Raw_Data!E192)-1)),VALUE(LEFT(Raw_Data!E192,FIND("/",Raw_Data!E192)-1))),IF(ISNUMBER(VALUE(LEFT(Raw_Data!E192,4))),DATE(VALUE(LEFT(Raw_Data!E192,4)),VALUE(MID(Raw_Data!E192,6,2)),VALUE(MID(Raw_Data!E192,9,2))),DATEVALUE(Raw_Data!E192))),"")</f>
        <v>45445</v>
      </c>
      <c r="F192" s="11" t="str">
        <f aca="false">Raw_Data!F192</f>
        <v>Female 18-24</v>
      </c>
      <c r="G192" s="11" t="str">
        <f aca="false">IF(TRIM(Raw_Data!G192)="","Unspecified",IFERROR(INDEX(Lookup_Tables!$F$2:$F$24,MATCH(UPPER(TRIM(Raw_Data!G192)),Lookup_Tables!$G$2:$G$24,0)),"Unknown"))</f>
        <v>North</v>
      </c>
      <c r="H192" s="11" t="n">
        <f aca="false">IF(Raw_Data!H192="",ROUND(AVERAGEIFS(Raw_Data!$H$2:$H$839,Raw_Data!$C$2:$C$839,Raw_Data!C192),2),Raw_Data!H192)</f>
        <v>59531.27</v>
      </c>
      <c r="I192" s="11" t="n">
        <f aca="false">Raw_Data!I192</f>
        <v>1672930</v>
      </c>
      <c r="J192" s="11" t="n">
        <f aca="false">IF(Raw_Data!J192&lt;0,ABS(Raw_Data!J192),Raw_Data!J192)</f>
        <v>38969</v>
      </c>
      <c r="K192" s="11" t="n">
        <f aca="false">Raw_Data!K192</f>
        <v>1382</v>
      </c>
      <c r="L192" s="11" t="n">
        <f aca="false">IF(Raw_Data!L192="",ROUND(AVERAGEIFS(Raw_Data!$L$2:$L$839,Raw_Data!$C$2:$C$839,Raw_Data!C192),2),Raw_Data!L192)</f>
        <v>2323153.53</v>
      </c>
      <c r="M192" s="13" t="n">
        <f aca="false">IFERROR(J192/I192,0)</f>
        <v>0.0232938616678522</v>
      </c>
      <c r="N192" s="14" t="n">
        <f aca="false">IFERROR(H192/J192,0)</f>
        <v>1.52765711206344</v>
      </c>
      <c r="O192" s="14" t="n">
        <f aca="false">IFERROR(H192/K192,0)</f>
        <v>43.0761722141823</v>
      </c>
      <c r="P192" s="15" t="n">
        <f aca="false">IFERROR(L192/H192,0)</f>
        <v>39.0240881808838</v>
      </c>
      <c r="Q192" s="13" t="n">
        <f aca="false">IFERROR(K192/J192,0)</f>
        <v>0.0354640868382561</v>
      </c>
      <c r="R192" s="11" t="str">
        <f aca="false">IF(COUNTIF($A$2:A192,A192)&gt;1,"Duplicate - Remove","Unique")</f>
        <v>Unique</v>
      </c>
      <c r="S192" s="11" t="str">
        <f aca="false">TRIM(IF(Raw_Data!G192="","Region missing; ","")&amp;IF(Raw_Data!H192="","Spend imputed; ","")&amp;IF(Raw_Data!L192="","Revenue imputed; ","")&amp;IF(Raw_Data!J192&lt;0,"Clicks corrected; ",""))</f>
        <v/>
      </c>
    </row>
    <row r="193" customFormat="false" ht="15" hidden="false" customHeight="true" outlineLevel="0" collapsed="false">
      <c r="A193" s="11" t="n">
        <f aca="false">Raw_Data!A193</f>
        <v>1166</v>
      </c>
      <c r="B193" s="11" t="str">
        <f aca="false">PROPER(TRIM(Raw_Data!B193))</f>
        <v>Back To College Offer</v>
      </c>
      <c r="C193" s="11" t="str">
        <f aca="false">IFERROR(INDEX(Lookup_Tables!$B$2:$B$26,MATCH(UPPER(TRIM(Raw_Data!C193)),Lookup_Tables!$C$2:$C$26,0)),"Unknown")</f>
        <v>Facebook</v>
      </c>
      <c r="D193" s="12" t="n">
        <f aca="false">IFERROR(IF(ISNUMBER(SEARCH("/",Raw_Data!D193)),DATE(VALUE(RIGHT(Raw_Data!D193,4)),VALUE(MID(Raw_Data!D193,FIND("/",Raw_Data!D193)+1,FIND("/",Raw_Data!D193,FIND("/",Raw_Data!D193)+1)-FIND("/",Raw_Data!D193)-1)),VALUE(LEFT(Raw_Data!D193,FIND("/",Raw_Data!D193)-1))),IF(ISNUMBER(VALUE(LEFT(Raw_Data!D193,4))),DATE(VALUE(LEFT(Raw_Data!D193,4)),VALUE(MID(Raw_Data!D193,6,2)),VALUE(MID(Raw_Data!D193,9,2))),DATEVALUE(Raw_Data!D193))),"")</f>
        <v>45592</v>
      </c>
      <c r="E193" s="12" t="n">
        <f aca="false">IFERROR(IF(ISNUMBER(SEARCH("/",Raw_Data!E193)),DATE(VALUE(RIGHT(Raw_Data!E193,4)),VALUE(MID(Raw_Data!E193,FIND("/",Raw_Data!E193)+1,FIND("/",Raw_Data!E193,FIND("/",Raw_Data!E193)+1)-FIND("/",Raw_Data!E193)-1)),VALUE(LEFT(Raw_Data!E193,FIND("/",Raw_Data!E193)-1))),IF(ISNUMBER(VALUE(LEFT(Raw_Data!E193,4))),DATE(VALUE(LEFT(Raw_Data!E193,4)),VALUE(MID(Raw_Data!E193,6,2)),VALUE(MID(Raw_Data!E193,9,2))),DATEVALUE(Raw_Data!E193))),"")</f>
        <v>45600</v>
      </c>
      <c r="F193" s="11" t="str">
        <f aca="false">Raw_Data!F193</f>
        <v>Female 45+</v>
      </c>
      <c r="G193" s="11" t="str">
        <f aca="false">IF(TRIM(Raw_Data!G193)="","Unspecified",IFERROR(INDEX(Lookup_Tables!$F$2:$F$24,MATCH(UPPER(TRIM(Raw_Data!G193)),Lookup_Tables!$G$2:$G$24,0)),"Unknown"))</f>
        <v>North</v>
      </c>
      <c r="H193" s="11" t="n">
        <f aca="false">IF(Raw_Data!H193="",ROUND(AVERAGEIFS(Raw_Data!$H$2:$H$839,Raw_Data!$C$2:$C$839,Raw_Data!C193),2),Raw_Data!H193)</f>
        <v>19277.67</v>
      </c>
      <c r="I193" s="11" t="n">
        <f aca="false">Raw_Data!I193</f>
        <v>354926</v>
      </c>
      <c r="J193" s="11" t="n">
        <f aca="false">IF(Raw_Data!J193&lt;0,ABS(Raw_Data!J193),Raw_Data!J193)</f>
        <v>3451</v>
      </c>
      <c r="K193" s="11" t="n">
        <f aca="false">Raw_Data!K193</f>
        <v>263</v>
      </c>
      <c r="L193" s="11" t="n">
        <f aca="false">IF(Raw_Data!L193="",ROUND(AVERAGEIFS(Raw_Data!$L$2:$L$839,Raw_Data!$C$2:$C$839,Raw_Data!C193),2),Raw_Data!L193)</f>
        <v>394019.15</v>
      </c>
      <c r="M193" s="13" t="n">
        <f aca="false">IFERROR(J193/I193,0)</f>
        <v>0.00972315355877</v>
      </c>
      <c r="N193" s="14" t="n">
        <f aca="false">IFERROR(H193/J193,0)</f>
        <v>5.58611127209504</v>
      </c>
      <c r="O193" s="14" t="n">
        <f aca="false">IFERROR(H193/K193,0)</f>
        <v>73.2991254752852</v>
      </c>
      <c r="P193" s="15" t="n">
        <f aca="false">IFERROR(L193/H193,0)</f>
        <v>20.4391479883202</v>
      </c>
      <c r="Q193" s="13" t="n">
        <f aca="false">IFERROR(K193/J193,0)</f>
        <v>0.0762097942625326</v>
      </c>
      <c r="R193" s="11" t="str">
        <f aca="false">IF(COUNTIF($A$2:A193,A193)&gt;1,"Duplicate - Remove","Unique")</f>
        <v>Unique</v>
      </c>
      <c r="S193" s="11" t="str">
        <f aca="false">TRIM(IF(Raw_Data!G193="","Region missing; ","")&amp;IF(Raw_Data!H193="","Spend imputed; ","")&amp;IF(Raw_Data!L193="","Revenue imputed; ","")&amp;IF(Raw_Data!J193&lt;0,"Clicks corrected; ",""))</f>
        <v/>
      </c>
    </row>
    <row r="194" customFormat="false" ht="15" hidden="false" customHeight="true" outlineLevel="0" collapsed="false">
      <c r="A194" s="11" t="n">
        <f aca="false">Raw_Data!A194</f>
        <v>1201</v>
      </c>
      <c r="B194" s="11" t="str">
        <f aca="false">PROPER(TRIM(Raw_Data!B194))</f>
        <v>Wedding Season Special</v>
      </c>
      <c r="C194" s="11" t="str">
        <f aca="false">IFERROR(INDEX(Lookup_Tables!$B$2:$B$26,MATCH(UPPER(TRIM(Raw_Data!C194)),Lookup_Tables!$C$2:$C$26,0)),"Unknown")</f>
        <v>Instagram</v>
      </c>
      <c r="D194" s="12" t="n">
        <f aca="false">IFERROR(IF(ISNUMBER(SEARCH("/",Raw_Data!D194)),DATE(VALUE(RIGHT(Raw_Data!D194,4)),VALUE(MID(Raw_Data!D194,FIND("/",Raw_Data!D194)+1,FIND("/",Raw_Data!D194,FIND("/",Raw_Data!D194)+1)-FIND("/",Raw_Data!D194)-1)),VALUE(LEFT(Raw_Data!D194,FIND("/",Raw_Data!D194)-1))),IF(ISNUMBER(VALUE(LEFT(Raw_Data!D194,4))),DATE(VALUE(LEFT(Raw_Data!D194,4)),VALUE(MID(Raw_Data!D194,6,2)),VALUE(MID(Raw_Data!D194,9,2))),DATEVALUE(Raw_Data!D194))),"")</f>
        <v>45388</v>
      </c>
      <c r="E194" s="12" t="n">
        <f aca="false">IFERROR(IF(ISNUMBER(SEARCH("/",Raw_Data!E194)),DATE(VALUE(RIGHT(Raw_Data!E194,4)),VALUE(MID(Raw_Data!E194,FIND("/",Raw_Data!E194)+1,FIND("/",Raw_Data!E194,FIND("/",Raw_Data!E194)+1)-FIND("/",Raw_Data!E194)-1)),VALUE(LEFT(Raw_Data!E194,FIND("/",Raw_Data!E194)-1))),IF(ISNUMBER(VALUE(LEFT(Raw_Data!E194,4))),DATE(VALUE(LEFT(Raw_Data!E194,4)),VALUE(MID(Raw_Data!E194,6,2)),VALUE(MID(Raw_Data!E194,9,2))),DATEVALUE(Raw_Data!E194))),"")</f>
        <v>45396</v>
      </c>
      <c r="F194" s="11" t="str">
        <f aca="false">Raw_Data!F194</f>
        <v>Male 18-24</v>
      </c>
      <c r="G194" s="11" t="str">
        <f aca="false">IF(TRIM(Raw_Data!G194)="","Unspecified",IFERROR(INDEX(Lookup_Tables!$F$2:$F$24,MATCH(UPPER(TRIM(Raw_Data!G194)),Lookup_Tables!$G$2:$G$24,0)),"Unknown"))</f>
        <v>West</v>
      </c>
      <c r="H194" s="11" t="n">
        <f aca="false">IF(Raw_Data!H194="",ROUND(AVERAGEIFS(Raw_Data!$H$2:$H$839,Raw_Data!$C$2:$C$839,Raw_Data!C194),2),Raw_Data!H194)</f>
        <v>19210.65</v>
      </c>
      <c r="I194" s="11" t="n">
        <f aca="false">Raw_Data!I194</f>
        <v>684165</v>
      </c>
      <c r="J194" s="11" t="n">
        <f aca="false">IF(Raw_Data!J194&lt;0,ABS(Raw_Data!J194),Raw_Data!J194)</f>
        <v>7332</v>
      </c>
      <c r="K194" s="11" t="n">
        <f aca="false">Raw_Data!K194</f>
        <v>246</v>
      </c>
      <c r="L194" s="11" t="n">
        <f aca="false">IF(Raw_Data!L194="",ROUND(AVERAGEIFS(Raw_Data!$L$2:$L$839,Raw_Data!$C$2:$C$839,Raw_Data!C194),2),Raw_Data!L194)</f>
        <v>356175.17</v>
      </c>
      <c r="M194" s="13" t="n">
        <f aca="false">IFERROR(J194/I194,0)</f>
        <v>0.0107167130736007</v>
      </c>
      <c r="N194" s="14" t="n">
        <f aca="false">IFERROR(H194/J194,0)</f>
        <v>2.62011047463175</v>
      </c>
      <c r="O194" s="14" t="n">
        <f aca="false">IFERROR(H194/K194,0)</f>
        <v>78.0920731707317</v>
      </c>
      <c r="P194" s="15" t="n">
        <f aca="false">IFERROR(L194/H194,0)</f>
        <v>18.5405059172907</v>
      </c>
      <c r="Q194" s="13" t="n">
        <f aca="false">IFERROR(K194/J194,0)</f>
        <v>0.0335515548281506</v>
      </c>
      <c r="R194" s="11" t="str">
        <f aca="false">IF(COUNTIF($A$2:A194,A194)&gt;1,"Duplicate - Remove","Unique")</f>
        <v>Unique</v>
      </c>
      <c r="S194" s="11" t="str">
        <f aca="false">TRIM(IF(Raw_Data!G194="","Region missing; ","")&amp;IF(Raw_Data!H194="","Spend imputed; ","")&amp;IF(Raw_Data!L194="","Revenue imputed; ","")&amp;IF(Raw_Data!J194&lt;0,"Clicks corrected; ",""))</f>
        <v/>
      </c>
    </row>
    <row r="195" customFormat="false" ht="15" hidden="false" customHeight="true" outlineLevel="0" collapsed="false">
      <c r="A195" s="11" t="n">
        <f aca="false">Raw_Data!A195</f>
        <v>1211</v>
      </c>
      <c r="B195" s="11" t="str">
        <f aca="false">PROPER(TRIM(Raw_Data!B195))</f>
        <v>Wedding Season Special</v>
      </c>
      <c r="C195" s="11" t="str">
        <f aca="false">IFERROR(INDEX(Lookup_Tables!$B$2:$B$26,MATCH(UPPER(TRIM(Raw_Data!C195)),Lookup_Tables!$C$2:$C$26,0)),"Unknown")</f>
        <v>Google Ads</v>
      </c>
      <c r="D195" s="12" t="n">
        <f aca="false">IFERROR(IF(ISNUMBER(SEARCH("/",Raw_Data!D195)),DATE(VALUE(RIGHT(Raw_Data!D195,4)),VALUE(MID(Raw_Data!D195,FIND("/",Raw_Data!D195)+1,FIND("/",Raw_Data!D195,FIND("/",Raw_Data!D195)+1)-FIND("/",Raw_Data!D195)-1)),VALUE(LEFT(Raw_Data!D195,FIND("/",Raw_Data!D195)-1))),IF(ISNUMBER(VALUE(LEFT(Raw_Data!D195,4))),DATE(VALUE(LEFT(Raw_Data!D195,4)),VALUE(MID(Raw_Data!D195,6,2)),VALUE(MID(Raw_Data!D195,9,2))),DATEVALUE(Raw_Data!D195))),"")</f>
        <v>45443</v>
      </c>
      <c r="E195" s="12" t="n">
        <f aca="false">IFERROR(IF(ISNUMBER(SEARCH("/",Raw_Data!E195)),DATE(VALUE(RIGHT(Raw_Data!E195,4)),VALUE(MID(Raw_Data!E195,FIND("/",Raw_Data!E195)+1,FIND("/",Raw_Data!E195,FIND("/",Raw_Data!E195)+1)-FIND("/",Raw_Data!E195)-1)),VALUE(LEFT(Raw_Data!E195,FIND("/",Raw_Data!E195)-1))),IF(ISNUMBER(VALUE(LEFT(Raw_Data!E195,4))),DATE(VALUE(LEFT(Raw_Data!E195,4)),VALUE(MID(Raw_Data!E195,6,2)),VALUE(MID(Raw_Data!E195,9,2))),DATEVALUE(Raw_Data!E195))),"")</f>
        <v>45468</v>
      </c>
      <c r="F195" s="11" t="str">
        <f aca="false">Raw_Data!F195</f>
        <v>Female 18-24</v>
      </c>
      <c r="G195" s="11" t="str">
        <f aca="false">IF(TRIM(Raw_Data!G195)="","Unspecified",IFERROR(INDEX(Lookup_Tables!$F$2:$F$24,MATCH(UPPER(TRIM(Raw_Data!G195)),Lookup_Tables!$G$2:$G$24,0)),"Unknown"))</f>
        <v>Central</v>
      </c>
      <c r="H195" s="11" t="n">
        <f aca="false">IF(Raw_Data!H195="",ROUND(AVERAGEIFS(Raw_Data!$H$2:$H$839,Raw_Data!$C$2:$C$839,Raw_Data!C195),2),Raw_Data!H195)</f>
        <v>32421.89</v>
      </c>
      <c r="I195" s="11" t="n">
        <f aca="false">Raw_Data!I195</f>
        <v>553073</v>
      </c>
      <c r="J195" s="11" t="n">
        <f aca="false">IF(Raw_Data!J195&lt;0,ABS(Raw_Data!J195),Raw_Data!J195)</f>
        <v>4357</v>
      </c>
      <c r="K195" s="11" t="n">
        <f aca="false">Raw_Data!K195</f>
        <v>339</v>
      </c>
      <c r="L195" s="11" t="n">
        <f aca="false">IF(Raw_Data!L195="",ROUND(AVERAGEIFS(Raw_Data!$L$2:$L$839,Raw_Data!$C$2:$C$839,Raw_Data!C195),2),Raw_Data!L195)</f>
        <v>498774.72</v>
      </c>
      <c r="M195" s="13" t="n">
        <f aca="false">IFERROR(J195/I195,0)</f>
        <v>0.00787780274936582</v>
      </c>
      <c r="N195" s="14" t="n">
        <f aca="false">IFERROR(H195/J195,0)</f>
        <v>7.44133348634381</v>
      </c>
      <c r="O195" s="14" t="n">
        <f aca="false">IFERROR(H195/K195,0)</f>
        <v>95.6397935103245</v>
      </c>
      <c r="P195" s="15" t="n">
        <f aca="false">IFERROR(L195/H195,0)</f>
        <v>15.3838878609483</v>
      </c>
      <c r="Q195" s="13" t="n">
        <f aca="false">IFERROR(K195/J195,0)</f>
        <v>0.0778058296993344</v>
      </c>
      <c r="R195" s="11" t="str">
        <f aca="false">IF(COUNTIF($A$2:A195,A195)&gt;1,"Duplicate - Remove","Unique")</f>
        <v>Unique</v>
      </c>
      <c r="S195" s="11" t="str">
        <f aca="false">TRIM(IF(Raw_Data!G195="","Region missing; ","")&amp;IF(Raw_Data!H195="","Spend imputed; ","")&amp;IF(Raw_Data!L195="","Revenue imputed; ","")&amp;IF(Raw_Data!J195&lt;0,"Clicks corrected; ",""))</f>
        <v/>
      </c>
    </row>
    <row r="196" customFormat="false" ht="15" hidden="false" customHeight="true" outlineLevel="0" collapsed="false">
      <c r="A196" s="11" t="n">
        <f aca="false">Raw_Data!A196</f>
        <v>1772</v>
      </c>
      <c r="B196" s="11" t="str">
        <f aca="false">PROPER(TRIM(Raw_Data!B196))</f>
        <v>Festive Gift Bundle</v>
      </c>
      <c r="C196" s="11" t="str">
        <f aca="false">IFERROR(INDEX(Lookup_Tables!$B$2:$B$26,MATCH(UPPER(TRIM(Raw_Data!C196)),Lookup_Tables!$C$2:$C$26,0)),"Unknown")</f>
        <v>YouTube</v>
      </c>
      <c r="D196" s="12" t="n">
        <f aca="false">IFERROR(IF(ISNUMBER(SEARCH("/",Raw_Data!D196)),DATE(VALUE(RIGHT(Raw_Data!D196,4)),VALUE(MID(Raw_Data!D196,FIND("/",Raw_Data!D196)+1,FIND("/",Raw_Data!D196,FIND("/",Raw_Data!D196)+1)-FIND("/",Raw_Data!D196)-1)),VALUE(LEFT(Raw_Data!D196,FIND("/",Raw_Data!D196)-1))),IF(ISNUMBER(VALUE(LEFT(Raw_Data!D196,4))),DATE(VALUE(LEFT(Raw_Data!D196,4)),VALUE(MID(Raw_Data!D196,6,2)),VALUE(MID(Raw_Data!D196,9,2))),DATEVALUE(Raw_Data!D196))),"")</f>
        <v>45601</v>
      </c>
      <c r="E196" s="12" t="n">
        <f aca="false">IFERROR(IF(ISNUMBER(SEARCH("/",Raw_Data!E196)),DATE(VALUE(RIGHT(Raw_Data!E196,4)),VALUE(MID(Raw_Data!E196,FIND("/",Raw_Data!E196)+1,FIND("/",Raw_Data!E196,FIND("/",Raw_Data!E196)+1)-FIND("/",Raw_Data!E196)-1)),VALUE(LEFT(Raw_Data!E196,FIND("/",Raw_Data!E196)-1))),IF(ISNUMBER(VALUE(LEFT(Raw_Data!E196,4))),DATE(VALUE(LEFT(Raw_Data!E196,4)),VALUE(MID(Raw_Data!E196,6,2)),VALUE(MID(Raw_Data!E196,9,2))),DATEVALUE(Raw_Data!E196))),"")</f>
        <v>45619</v>
      </c>
      <c r="F196" s="11" t="str">
        <f aca="false">Raw_Data!F196</f>
        <v>Female 25-34</v>
      </c>
      <c r="G196" s="11" t="str">
        <f aca="false">IF(TRIM(Raw_Data!G196)="","Unspecified",IFERROR(INDEX(Lookup_Tables!$F$2:$F$24,MATCH(UPPER(TRIM(Raw_Data!G196)),Lookup_Tables!$G$2:$G$24,0)),"Unknown"))</f>
        <v>Central</v>
      </c>
      <c r="H196" s="11" t="n">
        <f aca="false">IF(Raw_Data!H196="",ROUND(AVERAGEIFS(Raw_Data!$H$2:$H$839,Raw_Data!$C$2:$C$839,Raw_Data!C196),2),Raw_Data!H196)</f>
        <v>43195.82</v>
      </c>
      <c r="I196" s="11" t="n">
        <f aca="false">Raw_Data!I196</f>
        <v>1051411</v>
      </c>
      <c r="J196" s="11" t="n">
        <f aca="false">IF(Raw_Data!J196&lt;0,ABS(Raw_Data!J196),Raw_Data!J196)</f>
        <v>15178</v>
      </c>
      <c r="K196" s="11" t="n">
        <f aca="false">Raw_Data!K196</f>
        <v>362</v>
      </c>
      <c r="L196" s="11" t="n">
        <f aca="false">IF(Raw_Data!L196="",ROUND(AVERAGEIFS(Raw_Data!$L$2:$L$839,Raw_Data!$C$2:$C$839,Raw_Data!C196),2),Raw_Data!L196)</f>
        <v>135120.2</v>
      </c>
      <c r="M196" s="13" t="n">
        <f aca="false">IFERROR(J196/I196,0)</f>
        <v>0.014435839077202</v>
      </c>
      <c r="N196" s="14" t="n">
        <f aca="false">IFERROR(H196/J196,0)</f>
        <v>2.84594940044802</v>
      </c>
      <c r="O196" s="14" t="n">
        <f aca="false">IFERROR(H196/K196,0)</f>
        <v>119.32546961326</v>
      </c>
      <c r="P196" s="15" t="n">
        <f aca="false">IFERROR(L196/H196,0)</f>
        <v>3.12808507860251</v>
      </c>
      <c r="Q196" s="13" t="n">
        <f aca="false">IFERROR(K196/J196,0)</f>
        <v>0.0238503096587166</v>
      </c>
      <c r="R196" s="11" t="str">
        <f aca="false">IF(COUNTIF($A$2:A196,A196)&gt;1,"Duplicate - Remove","Unique")</f>
        <v>Unique</v>
      </c>
      <c r="S196" s="11" t="str">
        <f aca="false">TRIM(IF(Raw_Data!G196="","Region missing; ","")&amp;IF(Raw_Data!H196="","Spend imputed; ","")&amp;IF(Raw_Data!L196="","Revenue imputed; ","")&amp;IF(Raw_Data!J196&lt;0,"Clicks corrected; ",""))</f>
        <v/>
      </c>
    </row>
    <row r="197" customFormat="false" ht="15" hidden="false" customHeight="true" outlineLevel="0" collapsed="false">
      <c r="A197" s="11" t="n">
        <f aca="false">Raw_Data!A197</f>
        <v>1594</v>
      </c>
      <c r="B197" s="11" t="str">
        <f aca="false">PROPER(TRIM(Raw_Data!B197))</f>
        <v>Summer Glow Launch</v>
      </c>
      <c r="C197" s="11" t="str">
        <f aca="false">IFERROR(INDEX(Lookup_Tables!$B$2:$B$26,MATCH(UPPER(TRIM(Raw_Data!C197)),Lookup_Tables!$C$2:$C$26,0)),"Unknown")</f>
        <v>Email</v>
      </c>
      <c r="D197" s="12" t="n">
        <f aca="false">IFERROR(IF(ISNUMBER(SEARCH("/",Raw_Data!D197)),DATE(VALUE(RIGHT(Raw_Data!D197,4)),VALUE(MID(Raw_Data!D197,FIND("/",Raw_Data!D197)+1,FIND("/",Raw_Data!D197,FIND("/",Raw_Data!D197)+1)-FIND("/",Raw_Data!D197)-1)),VALUE(LEFT(Raw_Data!D197,FIND("/",Raw_Data!D197)-1))),IF(ISNUMBER(VALUE(LEFT(Raw_Data!D197,4))),DATE(VALUE(LEFT(Raw_Data!D197,4)),VALUE(MID(Raw_Data!D197,6,2)),VALUE(MID(Raw_Data!D197,9,2))),DATEVALUE(Raw_Data!D197))),"")</f>
        <v>45391</v>
      </c>
      <c r="E197" s="12" t="n">
        <f aca="false">IFERROR(IF(ISNUMBER(SEARCH("/",Raw_Data!E197)),DATE(VALUE(RIGHT(Raw_Data!E197,4)),VALUE(MID(Raw_Data!E197,FIND("/",Raw_Data!E197)+1,FIND("/",Raw_Data!E197,FIND("/",Raw_Data!E197)+1)-FIND("/",Raw_Data!E197)-1)),VALUE(LEFT(Raw_Data!E197,FIND("/",Raw_Data!E197)-1))),IF(ISNUMBER(VALUE(LEFT(Raw_Data!E197,4))),DATE(VALUE(LEFT(Raw_Data!E197,4)),VALUE(MID(Raw_Data!E197,6,2)),VALUE(MID(Raw_Data!E197,9,2))),DATEVALUE(Raw_Data!E197))),"")</f>
        <v>45415</v>
      </c>
      <c r="F197" s="11" t="str">
        <f aca="false">Raw_Data!F197</f>
        <v>Female 45+</v>
      </c>
      <c r="G197" s="11" t="str">
        <f aca="false">IF(TRIM(Raw_Data!G197)="","Unspecified",IFERROR(INDEX(Lookup_Tables!$F$2:$F$24,MATCH(UPPER(TRIM(Raw_Data!G197)),Lookup_Tables!$G$2:$G$24,0)),"Unknown"))</f>
        <v>South</v>
      </c>
      <c r="H197" s="11" t="n">
        <f aca="false">IF(Raw_Data!H197="",ROUND(AVERAGEIFS(Raw_Data!$H$2:$H$839,Raw_Data!$C$2:$C$839,Raw_Data!C197),2),Raw_Data!H197)</f>
        <v>6493.4</v>
      </c>
      <c r="I197" s="11" t="n">
        <f aca="false">Raw_Data!I197</f>
        <v>166418</v>
      </c>
      <c r="J197" s="11" t="n">
        <f aca="false">IF(Raw_Data!J197&lt;0,ABS(Raw_Data!J197),Raw_Data!J197)</f>
        <v>4543</v>
      </c>
      <c r="K197" s="11" t="n">
        <f aca="false">Raw_Data!K197</f>
        <v>141</v>
      </c>
      <c r="L197" s="11" t="n">
        <f aca="false">IF(Raw_Data!L197="",ROUND(AVERAGEIFS(Raw_Data!$L$2:$L$839,Raw_Data!$C$2:$C$839,Raw_Data!C197),2),Raw_Data!L197)</f>
        <v>143173.26</v>
      </c>
      <c r="M197" s="13" t="n">
        <f aca="false">IFERROR(J197/I197,0)</f>
        <v>0.0272987297047194</v>
      </c>
      <c r="N197" s="14" t="n">
        <f aca="false">IFERROR(H197/J197,0)</f>
        <v>1.42931983270966</v>
      </c>
      <c r="O197" s="14" t="n">
        <f aca="false">IFERROR(H197/K197,0)</f>
        <v>46.0524822695035</v>
      </c>
      <c r="P197" s="15" t="n">
        <f aca="false">IFERROR(L197/H197,0)</f>
        <v>22.0490436443158</v>
      </c>
      <c r="Q197" s="13" t="n">
        <f aca="false">IFERROR(K197/J197,0)</f>
        <v>0.0310367598503192</v>
      </c>
      <c r="R197" s="11" t="str">
        <f aca="false">IF(COUNTIF($A$2:A197,A197)&gt;1,"Duplicate - Remove","Unique")</f>
        <v>Unique</v>
      </c>
      <c r="S197" s="11" t="str">
        <f aca="false">TRIM(IF(Raw_Data!G197="","Region missing; ","")&amp;IF(Raw_Data!H197="","Spend imputed; ","")&amp;IF(Raw_Data!L197="","Revenue imputed; ","")&amp;IF(Raw_Data!J197&lt;0,"Clicks corrected; ",""))</f>
        <v/>
      </c>
    </row>
    <row r="198" customFormat="false" ht="15" hidden="false" customHeight="true" outlineLevel="0" collapsed="false">
      <c r="A198" s="11" t="n">
        <f aca="false">Raw_Data!A198</f>
        <v>1212</v>
      </c>
      <c r="B198" s="11" t="str">
        <f aca="false">PROPER(TRIM(Raw_Data!B198))</f>
        <v>Back To College Offer</v>
      </c>
      <c r="C198" s="11" t="str">
        <f aca="false">IFERROR(INDEX(Lookup_Tables!$B$2:$B$26,MATCH(UPPER(TRIM(Raw_Data!C198)),Lookup_Tables!$C$2:$C$26,0)),"Unknown")</f>
        <v>Facebook</v>
      </c>
      <c r="D198" s="12" t="n">
        <f aca="false">IFERROR(IF(ISNUMBER(SEARCH("/",Raw_Data!D198)),DATE(VALUE(RIGHT(Raw_Data!D198,4)),VALUE(MID(Raw_Data!D198,FIND("/",Raw_Data!D198)+1,FIND("/",Raw_Data!D198,FIND("/",Raw_Data!D198)+1)-FIND("/",Raw_Data!D198)-1)),VALUE(LEFT(Raw_Data!D198,FIND("/",Raw_Data!D198)-1))),IF(ISNUMBER(VALUE(LEFT(Raw_Data!D198,4))),DATE(VALUE(LEFT(Raw_Data!D198,4)),VALUE(MID(Raw_Data!D198,6,2)),VALUE(MID(Raw_Data!D198,9,2))),DATEVALUE(Raw_Data!D198))),"")</f>
        <v>45304</v>
      </c>
      <c r="E198" s="12" t="n">
        <f aca="false">IFERROR(IF(ISNUMBER(SEARCH("/",Raw_Data!E198)),DATE(VALUE(RIGHT(Raw_Data!E198,4)),VALUE(MID(Raw_Data!E198,FIND("/",Raw_Data!E198)+1,FIND("/",Raw_Data!E198,FIND("/",Raw_Data!E198)+1)-FIND("/",Raw_Data!E198)-1)),VALUE(LEFT(Raw_Data!E198,FIND("/",Raw_Data!E198)-1))),IF(ISNUMBER(VALUE(LEFT(Raw_Data!E198,4))),DATE(VALUE(LEFT(Raw_Data!E198,4)),VALUE(MID(Raw_Data!E198,6,2)),VALUE(MID(Raw_Data!E198,9,2))),DATEVALUE(Raw_Data!E198))),"")</f>
        <v>45323</v>
      </c>
      <c r="F198" s="11" t="str">
        <f aca="false">Raw_Data!F198</f>
        <v>Female 35-44</v>
      </c>
      <c r="G198" s="11" t="str">
        <f aca="false">IF(TRIM(Raw_Data!G198)="","Unspecified",IFERROR(INDEX(Lookup_Tables!$F$2:$F$24,MATCH(UPPER(TRIM(Raw_Data!G198)),Lookup_Tables!$G$2:$G$24,0)),"Unknown"))</f>
        <v>West</v>
      </c>
      <c r="H198" s="11" t="n">
        <f aca="false">IF(Raw_Data!H198="",ROUND(AVERAGEIFS(Raw_Data!$H$2:$H$839,Raw_Data!$C$2:$C$839,Raw_Data!C198),2),Raw_Data!H198)</f>
        <v>20595.48</v>
      </c>
      <c r="I198" s="11" t="n">
        <f aca="false">Raw_Data!I198</f>
        <v>353995</v>
      </c>
      <c r="J198" s="11" t="n">
        <f aca="false">IF(Raw_Data!J198&lt;0,ABS(Raw_Data!J198),Raw_Data!J198)</f>
        <v>2346</v>
      </c>
      <c r="K198" s="11" t="n">
        <f aca="false">Raw_Data!K198</f>
        <v>153</v>
      </c>
      <c r="L198" s="11" t="n">
        <f aca="false">IF(Raw_Data!L198="",ROUND(AVERAGEIFS(Raw_Data!$L$2:$L$839,Raw_Data!$C$2:$C$839,Raw_Data!C198),2),Raw_Data!L198)</f>
        <v>177360.98</v>
      </c>
      <c r="M198" s="13" t="n">
        <f aca="false">IFERROR(J198/I198,0)</f>
        <v>0.00662721224876058</v>
      </c>
      <c r="N198" s="14" t="n">
        <f aca="false">IFERROR(H198/J198,0)</f>
        <v>8.77897698209719</v>
      </c>
      <c r="O198" s="14" t="n">
        <f aca="false">IFERROR(H198/K198,0)</f>
        <v>134.610980392157</v>
      </c>
      <c r="P198" s="15" t="n">
        <f aca="false">IFERROR(L198/H198,0)</f>
        <v>8.61164585627526</v>
      </c>
      <c r="Q198" s="13" t="n">
        <f aca="false">IFERROR(K198/J198,0)</f>
        <v>0.0652173913043478</v>
      </c>
      <c r="R198" s="11" t="str">
        <f aca="false">IF(COUNTIF($A$2:A198,A198)&gt;1,"Duplicate - Remove","Unique")</f>
        <v>Unique</v>
      </c>
      <c r="S198" s="11" t="str">
        <f aca="false">TRIM(IF(Raw_Data!G198="","Region missing; ","")&amp;IF(Raw_Data!H198="","Spend imputed; ","")&amp;IF(Raw_Data!L198="","Revenue imputed; ","")&amp;IF(Raw_Data!J198&lt;0,"Clicks corrected; ",""))</f>
        <v/>
      </c>
    </row>
    <row r="199" customFormat="false" ht="15" hidden="false" customHeight="true" outlineLevel="0" collapsed="false">
      <c r="A199" s="11" t="n">
        <f aca="false">Raw_Data!A199</f>
        <v>1013</v>
      </c>
      <c r="B199" s="11" t="str">
        <f aca="false">PROPER(TRIM(Raw_Data!B199))</f>
        <v>New Year Wellness</v>
      </c>
      <c r="C199" s="11" t="str">
        <f aca="false">IFERROR(INDEX(Lookup_Tables!$B$2:$B$26,MATCH(UPPER(TRIM(Raw_Data!C199)),Lookup_Tables!$C$2:$C$26,0)),"Unknown")</f>
        <v>Email</v>
      </c>
      <c r="D199" s="12" t="n">
        <f aca="false">IFERROR(IF(ISNUMBER(SEARCH("/",Raw_Data!D199)),DATE(VALUE(RIGHT(Raw_Data!D199,4)),VALUE(MID(Raw_Data!D199,FIND("/",Raw_Data!D199)+1,FIND("/",Raw_Data!D199,FIND("/",Raw_Data!D199)+1)-FIND("/",Raw_Data!D199)-1)),VALUE(LEFT(Raw_Data!D199,FIND("/",Raw_Data!D199)-1))),IF(ISNUMBER(VALUE(LEFT(Raw_Data!D199,4))),DATE(VALUE(LEFT(Raw_Data!D199,4)),VALUE(MID(Raw_Data!D199,6,2)),VALUE(MID(Raw_Data!D199,9,2))),DATEVALUE(Raw_Data!D199))),"")</f>
        <v>45321</v>
      </c>
      <c r="E199" s="12" t="n">
        <f aca="false">IFERROR(IF(ISNUMBER(SEARCH("/",Raw_Data!E199)),DATE(VALUE(RIGHT(Raw_Data!E199,4)),VALUE(MID(Raw_Data!E199,FIND("/",Raw_Data!E199)+1,FIND("/",Raw_Data!E199,FIND("/",Raw_Data!E199)+1)-FIND("/",Raw_Data!E199)-1)),VALUE(LEFT(Raw_Data!E199,FIND("/",Raw_Data!E199)-1))),IF(ISNUMBER(VALUE(LEFT(Raw_Data!E199,4))),DATE(VALUE(LEFT(Raw_Data!E199,4)),VALUE(MID(Raw_Data!E199,6,2)),VALUE(MID(Raw_Data!E199,9,2))),DATEVALUE(Raw_Data!E199))),"")</f>
        <v>45327</v>
      </c>
      <c r="F199" s="11" t="str">
        <f aca="false">Raw_Data!F199</f>
        <v>Male 35-44</v>
      </c>
      <c r="G199" s="11" t="str">
        <f aca="false">IF(TRIM(Raw_Data!G199)="","Unspecified",IFERROR(INDEX(Lookup_Tables!$F$2:$F$24,MATCH(UPPER(TRIM(Raw_Data!G199)),Lookup_Tables!$G$2:$G$24,0)),"Unknown"))</f>
        <v>Central</v>
      </c>
      <c r="H199" s="11" t="n">
        <f aca="false">IF(Raw_Data!H199="",ROUND(AVERAGEIFS(Raw_Data!$H$2:$H$839,Raw_Data!$C$2:$C$839,Raw_Data!C199),2),Raw_Data!H199)</f>
        <v>4337.52</v>
      </c>
      <c r="I199" s="11" t="n">
        <f aca="false">Raw_Data!I199</f>
        <v>164759</v>
      </c>
      <c r="J199" s="11" t="n">
        <f aca="false">IF(Raw_Data!J199&lt;0,ABS(Raw_Data!J199),Raw_Data!J199)</f>
        <v>3449</v>
      </c>
      <c r="K199" s="11" t="n">
        <f aca="false">Raw_Data!K199</f>
        <v>48</v>
      </c>
      <c r="L199" s="11" t="n">
        <f aca="false">IF(Raw_Data!L199="",ROUND(AVERAGEIFS(Raw_Data!$L$2:$L$839,Raw_Data!$C$2:$C$839,Raw_Data!C199),2),Raw_Data!L199)</f>
        <v>52144.86</v>
      </c>
      <c r="M199" s="13" t="n">
        <f aca="false">IFERROR(J199/I199,0)</f>
        <v>0.0209336060549044</v>
      </c>
      <c r="N199" s="14" t="n">
        <f aca="false">IFERROR(H199/J199,0)</f>
        <v>1.2576167004929</v>
      </c>
      <c r="O199" s="14" t="n">
        <f aca="false">IFERROR(H199/K199,0)</f>
        <v>90.365</v>
      </c>
      <c r="P199" s="15" t="n">
        <f aca="false">IFERROR(L199/H199,0)</f>
        <v>12.0218143086372</v>
      </c>
      <c r="Q199" s="13" t="n">
        <f aca="false">IFERROR(K199/J199,0)</f>
        <v>0.0139170774137431</v>
      </c>
      <c r="R199" s="11" t="str">
        <f aca="false">IF(COUNTIF($A$2:A199,A199)&gt;1,"Duplicate - Remove","Unique")</f>
        <v>Unique</v>
      </c>
      <c r="S199" s="11" t="str">
        <f aca="false">TRIM(IF(Raw_Data!G199="","Region missing; ","")&amp;IF(Raw_Data!H199="","Spend imputed; ","")&amp;IF(Raw_Data!L199="","Revenue imputed; ","")&amp;IF(Raw_Data!J199&lt;0,"Clicks corrected; ",""))</f>
        <v/>
      </c>
    </row>
    <row r="200" customFormat="false" ht="15" hidden="false" customHeight="true" outlineLevel="0" collapsed="false">
      <c r="A200" s="11" t="n">
        <f aca="false">Raw_Data!A200</f>
        <v>1007</v>
      </c>
      <c r="B200" s="11" t="str">
        <f aca="false">PROPER(TRIM(Raw_Data!B200))</f>
        <v>Hair Care Revamp</v>
      </c>
      <c r="C200" s="11" t="str">
        <f aca="false">IFERROR(INDEX(Lookup_Tables!$B$2:$B$26,MATCH(UPPER(TRIM(Raw_Data!C200)),Lookup_Tables!$C$2:$C$26,0)),"Unknown")</f>
        <v>YouTube</v>
      </c>
      <c r="D200" s="12" t="n">
        <f aca="false">IFERROR(IF(ISNUMBER(SEARCH("/",Raw_Data!D200)),DATE(VALUE(RIGHT(Raw_Data!D200,4)),VALUE(MID(Raw_Data!D200,FIND("/",Raw_Data!D200)+1,FIND("/",Raw_Data!D200,FIND("/",Raw_Data!D200)+1)-FIND("/",Raw_Data!D200)-1)),VALUE(LEFT(Raw_Data!D200,FIND("/",Raw_Data!D200)-1))),IF(ISNUMBER(VALUE(LEFT(Raw_Data!D200,4))),DATE(VALUE(LEFT(Raw_Data!D200,4)),VALUE(MID(Raw_Data!D200,6,2)),VALUE(MID(Raw_Data!D200,9,2))),DATEVALUE(Raw_Data!D200))),"")</f>
        <v>45483</v>
      </c>
      <c r="E200" s="12" t="n">
        <f aca="false">IFERROR(IF(ISNUMBER(SEARCH("/",Raw_Data!E200)),DATE(VALUE(RIGHT(Raw_Data!E200,4)),VALUE(MID(Raw_Data!E200,FIND("/",Raw_Data!E200)+1,FIND("/",Raw_Data!E200,FIND("/",Raw_Data!E200)+1)-FIND("/",Raw_Data!E200)-1)),VALUE(LEFT(Raw_Data!E200,FIND("/",Raw_Data!E200)-1))),IF(ISNUMBER(VALUE(LEFT(Raw_Data!E200,4))),DATE(VALUE(LEFT(Raw_Data!E200,4)),VALUE(MID(Raw_Data!E200,6,2)),VALUE(MID(Raw_Data!E200,9,2))),DATEVALUE(Raw_Data!E200))),"")</f>
        <v>45512</v>
      </c>
      <c r="F200" s="11" t="str">
        <f aca="false">Raw_Data!F200</f>
        <v>Female 35-44</v>
      </c>
      <c r="G200" s="11" t="str">
        <f aca="false">IF(TRIM(Raw_Data!G200)="","Unspecified",IFERROR(INDEX(Lookup_Tables!$F$2:$F$24,MATCH(UPPER(TRIM(Raw_Data!G200)),Lookup_Tables!$G$2:$G$24,0)),"Unknown"))</f>
        <v>East</v>
      </c>
      <c r="H200" s="11" t="n">
        <f aca="false">IF(Raw_Data!H200="",ROUND(AVERAGEIFS(Raw_Data!$H$2:$H$839,Raw_Data!$C$2:$C$839,Raw_Data!C200),2),Raw_Data!H200)</f>
        <v>55453.43</v>
      </c>
      <c r="I200" s="11" t="n">
        <f aca="false">Raw_Data!I200</f>
        <v>1911239</v>
      </c>
      <c r="J200" s="11" t="n">
        <f aca="false">IF(Raw_Data!J200&lt;0,ABS(Raw_Data!J200),Raw_Data!J200)</f>
        <v>39965</v>
      </c>
      <c r="K200" s="11" t="n">
        <f aca="false">Raw_Data!K200</f>
        <v>401</v>
      </c>
      <c r="L200" s="11" t="n">
        <f aca="false">IF(Raw_Data!L200="",ROUND(AVERAGEIFS(Raw_Data!$L$2:$L$839,Raw_Data!$C$2:$C$839,Raw_Data!C200),2),Raw_Data!L200)</f>
        <v>1458147.45</v>
      </c>
      <c r="M200" s="13" t="n">
        <f aca="false">IFERROR(J200/I200,0)</f>
        <v>0.020910519301877</v>
      </c>
      <c r="N200" s="14" t="n">
        <f aca="false">IFERROR(H200/J200,0)</f>
        <v>1.38754985612411</v>
      </c>
      <c r="O200" s="14" t="n">
        <f aca="false">IFERROR(H200/K200,0)</f>
        <v>138.287855361596</v>
      </c>
      <c r="P200" s="15" t="n">
        <f aca="false">IFERROR(L200/H200,0)</f>
        <v>26.2949911303954</v>
      </c>
      <c r="Q200" s="13" t="n">
        <f aca="false">IFERROR(K200/J200,0)</f>
        <v>0.0100337795571125</v>
      </c>
      <c r="R200" s="11" t="str">
        <f aca="false">IF(COUNTIF($A$2:A200,A200)&gt;1,"Duplicate - Remove","Unique")</f>
        <v>Unique</v>
      </c>
      <c r="S200" s="11" t="str">
        <f aca="false">TRIM(IF(Raw_Data!G200="","Region missing; ","")&amp;IF(Raw_Data!H200="","Spend imputed; ","")&amp;IF(Raw_Data!L200="","Revenue imputed; ","")&amp;IF(Raw_Data!J200&lt;0,"Clicks corrected; ",""))</f>
        <v>Revenue imputed;</v>
      </c>
    </row>
    <row r="201" customFormat="false" ht="15" hidden="false" customHeight="true" outlineLevel="0" collapsed="false">
      <c r="A201" s="11" t="n">
        <f aca="false">Raw_Data!A201</f>
        <v>1573</v>
      </c>
      <c r="B201" s="11" t="str">
        <f aca="false">PROPER(TRIM(Raw_Data!B201))</f>
        <v>Back To College Offer</v>
      </c>
      <c r="C201" s="11" t="str">
        <f aca="false">IFERROR(INDEX(Lookup_Tables!$B$2:$B$26,MATCH(UPPER(TRIM(Raw_Data!C201)),Lookup_Tables!$C$2:$C$26,0)),"Unknown")</f>
        <v>Google Ads</v>
      </c>
      <c r="D201" s="12" t="n">
        <f aca="false">IFERROR(IF(ISNUMBER(SEARCH("/",Raw_Data!D201)),DATE(VALUE(RIGHT(Raw_Data!D201,4)),VALUE(MID(Raw_Data!D201,FIND("/",Raw_Data!D201)+1,FIND("/",Raw_Data!D201,FIND("/",Raw_Data!D201)+1)-FIND("/",Raw_Data!D201)-1)),VALUE(LEFT(Raw_Data!D201,FIND("/",Raw_Data!D201)-1))),IF(ISNUMBER(VALUE(LEFT(Raw_Data!D201,4))),DATE(VALUE(LEFT(Raw_Data!D201,4)),VALUE(MID(Raw_Data!D201,6,2)),VALUE(MID(Raw_Data!D201,9,2))),DATEVALUE(Raw_Data!D201))),"")</f>
        <v>45411</v>
      </c>
      <c r="E201" s="12" t="n">
        <f aca="false">IFERROR(IF(ISNUMBER(SEARCH("/",Raw_Data!E201)),DATE(VALUE(RIGHT(Raw_Data!E201,4)),VALUE(MID(Raw_Data!E201,FIND("/",Raw_Data!E201)+1,FIND("/",Raw_Data!E201,FIND("/",Raw_Data!E201)+1)-FIND("/",Raw_Data!E201)-1)),VALUE(LEFT(Raw_Data!E201,FIND("/",Raw_Data!E201)-1))),IF(ISNUMBER(VALUE(LEFT(Raw_Data!E201,4))),DATE(VALUE(LEFT(Raw_Data!E201,4)),VALUE(MID(Raw_Data!E201,6,2)),VALUE(MID(Raw_Data!E201,9,2))),DATEVALUE(Raw_Data!E201))),"")</f>
        <v>45419</v>
      </c>
      <c r="F201" s="11" t="str">
        <f aca="false">Raw_Data!F201</f>
        <v>Female 18-24</v>
      </c>
      <c r="G201" s="11" t="str">
        <f aca="false">IF(TRIM(Raw_Data!G201)="","Unspecified",IFERROR(INDEX(Lookup_Tables!$F$2:$F$24,MATCH(UPPER(TRIM(Raw_Data!G201)),Lookup_Tables!$G$2:$G$24,0)),"Unknown"))</f>
        <v>South</v>
      </c>
      <c r="H201" s="11" t="n">
        <f aca="false">IF(Raw_Data!H201="",ROUND(AVERAGEIFS(Raw_Data!$H$2:$H$839,Raw_Data!$C$2:$C$839,Raw_Data!C201),2),Raw_Data!H201)</f>
        <v>12695.12</v>
      </c>
      <c r="I201" s="11" t="n">
        <f aca="false">Raw_Data!I201</f>
        <v>407653</v>
      </c>
      <c r="J201" s="11" t="n">
        <f aca="false">IF(Raw_Data!J201&lt;0,ABS(Raw_Data!J201),Raw_Data!J201)</f>
        <v>12562</v>
      </c>
      <c r="K201" s="11" t="n">
        <f aca="false">Raw_Data!K201</f>
        <v>635</v>
      </c>
      <c r="L201" s="11" t="n">
        <f aca="false">IF(Raw_Data!L201="",ROUND(AVERAGEIFS(Raw_Data!$L$2:$L$839,Raw_Data!$C$2:$C$839,Raw_Data!C201),2),Raw_Data!L201)</f>
        <v>260880.61</v>
      </c>
      <c r="M201" s="13" t="n">
        <f aca="false">IFERROR(J201/I201,0)</f>
        <v>0.0308154239021913</v>
      </c>
      <c r="N201" s="14" t="n">
        <f aca="false">IFERROR(H201/J201,0)</f>
        <v>1.01059703868811</v>
      </c>
      <c r="O201" s="14" t="n">
        <f aca="false">IFERROR(H201/K201,0)</f>
        <v>19.9923149606299</v>
      </c>
      <c r="P201" s="15" t="n">
        <f aca="false">IFERROR(L201/H201,0)</f>
        <v>20.5496765686342</v>
      </c>
      <c r="Q201" s="13" t="n">
        <f aca="false">IFERROR(K201/J201,0)</f>
        <v>0.0505492755930584</v>
      </c>
      <c r="R201" s="11" t="str">
        <f aca="false">IF(COUNTIF($A$2:A201,A201)&gt;1,"Duplicate - Remove","Unique")</f>
        <v>Unique</v>
      </c>
      <c r="S201" s="11" t="str">
        <f aca="false">TRIM(IF(Raw_Data!G201="","Region missing; ","")&amp;IF(Raw_Data!H201="","Spend imputed; ","")&amp;IF(Raw_Data!L201="","Revenue imputed; ","")&amp;IF(Raw_Data!J201&lt;0,"Clicks corrected; ",""))</f>
        <v/>
      </c>
    </row>
    <row r="202" customFormat="false" ht="15" hidden="false" customHeight="true" outlineLevel="0" collapsed="false">
      <c r="A202" s="11" t="n">
        <f aca="false">Raw_Data!A202</f>
        <v>1157</v>
      </c>
      <c r="B202" s="11" t="str">
        <f aca="false">PROPER(TRIM(Raw_Data!B202))</f>
        <v>Monsoon Skincare Push</v>
      </c>
      <c r="C202" s="11" t="str">
        <f aca="false">IFERROR(INDEX(Lookup_Tables!$B$2:$B$26,MATCH(UPPER(TRIM(Raw_Data!C202)),Lookup_Tables!$C$2:$C$26,0)),"Unknown")</f>
        <v>Facebook</v>
      </c>
      <c r="D202" s="12" t="n">
        <f aca="false">IFERROR(IF(ISNUMBER(SEARCH("/",Raw_Data!D202)),DATE(VALUE(RIGHT(Raw_Data!D202,4)),VALUE(MID(Raw_Data!D202,FIND("/",Raw_Data!D202)+1,FIND("/",Raw_Data!D202,FIND("/",Raw_Data!D202)+1)-FIND("/",Raw_Data!D202)-1)),VALUE(LEFT(Raw_Data!D202,FIND("/",Raw_Data!D202)-1))),IF(ISNUMBER(VALUE(LEFT(Raw_Data!D202,4))),DATE(VALUE(LEFT(Raw_Data!D202,4)),VALUE(MID(Raw_Data!D202,6,2)),VALUE(MID(Raw_Data!D202,9,2))),DATEVALUE(Raw_Data!D202))),"")</f>
        <v>45493</v>
      </c>
      <c r="E202" s="12" t="n">
        <f aca="false">IFERROR(IF(ISNUMBER(SEARCH("/",Raw_Data!E202)),DATE(VALUE(RIGHT(Raw_Data!E202,4)),VALUE(MID(Raw_Data!E202,FIND("/",Raw_Data!E202)+1,FIND("/",Raw_Data!E202,FIND("/",Raw_Data!E202)+1)-FIND("/",Raw_Data!E202)-1)),VALUE(LEFT(Raw_Data!E202,FIND("/",Raw_Data!E202)-1))),IF(ISNUMBER(VALUE(LEFT(Raw_Data!E202,4))),DATE(VALUE(LEFT(Raw_Data!E202,4)),VALUE(MID(Raw_Data!E202,6,2)),VALUE(MID(Raw_Data!E202,9,2))),DATEVALUE(Raw_Data!E202))),"")</f>
        <v>45520</v>
      </c>
      <c r="F202" s="11" t="str">
        <f aca="false">Raw_Data!F202</f>
        <v>Male 35-44</v>
      </c>
      <c r="G202" s="11" t="str">
        <f aca="false">IF(TRIM(Raw_Data!G202)="","Unspecified",IFERROR(INDEX(Lookup_Tables!$F$2:$F$24,MATCH(UPPER(TRIM(Raw_Data!G202)),Lookup_Tables!$G$2:$G$24,0)),"Unknown"))</f>
        <v>South</v>
      </c>
      <c r="H202" s="11" t="n">
        <f aca="false">IF(Raw_Data!H202="",ROUND(AVERAGEIFS(Raw_Data!$H$2:$H$839,Raw_Data!$C$2:$C$839,Raw_Data!C202),2),Raw_Data!H202)</f>
        <v>20355.07</v>
      </c>
      <c r="I202" s="11" t="n">
        <f aca="false">Raw_Data!I202</f>
        <v>535723</v>
      </c>
      <c r="J202" s="11" t="n">
        <f aca="false">IF(Raw_Data!J202&lt;0,ABS(Raw_Data!J202),Raw_Data!J202)</f>
        <v>6433</v>
      </c>
      <c r="K202" s="11" t="n">
        <f aca="false">Raw_Data!K202</f>
        <v>489</v>
      </c>
      <c r="L202" s="11" t="n">
        <f aca="false">IF(Raw_Data!L202="",ROUND(AVERAGEIFS(Raw_Data!$L$2:$L$839,Raw_Data!$C$2:$C$839,Raw_Data!C202),2),Raw_Data!L202)</f>
        <v>267660.1</v>
      </c>
      <c r="M202" s="13" t="n">
        <f aca="false">IFERROR(J202/I202,0)</f>
        <v>0.0120080713353729</v>
      </c>
      <c r="N202" s="14" t="n">
        <f aca="false">IFERROR(H202/J202,0)</f>
        <v>3.16416446448002</v>
      </c>
      <c r="O202" s="14" t="n">
        <f aca="false">IFERROR(H202/K202,0)</f>
        <v>41.6259100204499</v>
      </c>
      <c r="P202" s="15" t="n">
        <f aca="false">IFERROR(L202/H202,0)</f>
        <v>13.1495543862045</v>
      </c>
      <c r="Q202" s="13" t="n">
        <f aca="false">IFERROR(K202/J202,0)</f>
        <v>0.0760143012591326</v>
      </c>
      <c r="R202" s="11" t="str">
        <f aca="false">IF(COUNTIF($A$2:A202,A202)&gt;1,"Duplicate - Remove","Unique")</f>
        <v>Unique</v>
      </c>
      <c r="S202" s="11" t="str">
        <f aca="false">TRIM(IF(Raw_Data!G202="","Region missing; ","")&amp;IF(Raw_Data!H202="","Spend imputed; ","")&amp;IF(Raw_Data!L202="","Revenue imputed; ","")&amp;IF(Raw_Data!J202&lt;0,"Clicks corrected; ",""))</f>
        <v/>
      </c>
    </row>
    <row r="203" customFormat="false" ht="15" hidden="false" customHeight="true" outlineLevel="0" collapsed="false">
      <c r="A203" s="11" t="n">
        <f aca="false">Raw_Data!A203</f>
        <v>1682</v>
      </c>
      <c r="B203" s="11" t="str">
        <f aca="false">PROPER(TRIM(Raw_Data!B203))</f>
        <v>Back To College Offer</v>
      </c>
      <c r="C203" s="11" t="str">
        <f aca="false">IFERROR(INDEX(Lookup_Tables!$B$2:$B$26,MATCH(UPPER(TRIM(Raw_Data!C203)),Lookup_Tables!$C$2:$C$26,0)),"Unknown")</f>
        <v>Facebook</v>
      </c>
      <c r="D203" s="12" t="n">
        <f aca="false">IFERROR(IF(ISNUMBER(SEARCH("/",Raw_Data!D203)),DATE(VALUE(RIGHT(Raw_Data!D203,4)),VALUE(MID(Raw_Data!D203,FIND("/",Raw_Data!D203)+1,FIND("/",Raw_Data!D203,FIND("/",Raw_Data!D203)+1)-FIND("/",Raw_Data!D203)-1)),VALUE(LEFT(Raw_Data!D203,FIND("/",Raw_Data!D203)-1))),IF(ISNUMBER(VALUE(LEFT(Raw_Data!D203,4))),DATE(VALUE(LEFT(Raw_Data!D203,4)),VALUE(MID(Raw_Data!D203,6,2)),VALUE(MID(Raw_Data!D203,9,2))),DATEVALUE(Raw_Data!D203))),"")</f>
        <v>45566</v>
      </c>
      <c r="E203" s="12" t="n">
        <f aca="false">IFERROR(IF(ISNUMBER(SEARCH("/",Raw_Data!E203)),DATE(VALUE(RIGHT(Raw_Data!E203,4)),VALUE(MID(Raw_Data!E203,FIND("/",Raw_Data!E203)+1,FIND("/",Raw_Data!E203,FIND("/",Raw_Data!E203)+1)-FIND("/",Raw_Data!E203)-1)),VALUE(LEFT(Raw_Data!E203,FIND("/",Raw_Data!E203)-1))),IF(ISNUMBER(VALUE(LEFT(Raw_Data!E203,4))),DATE(VALUE(LEFT(Raw_Data!E203,4)),VALUE(MID(Raw_Data!E203,6,2)),VALUE(MID(Raw_Data!E203,9,2))),DATEVALUE(Raw_Data!E203))),"")</f>
        <v>45581</v>
      </c>
      <c r="F203" s="11" t="str">
        <f aca="false">Raw_Data!F203</f>
        <v>Male 45+</v>
      </c>
      <c r="G203" s="11" t="str">
        <f aca="false">IF(TRIM(Raw_Data!G203)="","Unspecified",IFERROR(INDEX(Lookup_Tables!$F$2:$F$24,MATCH(UPPER(TRIM(Raw_Data!G203)),Lookup_Tables!$G$2:$G$24,0)),"Unknown"))</f>
        <v>Central</v>
      </c>
      <c r="H203" s="11" t="n">
        <f aca="false">IF(Raw_Data!H203="",ROUND(AVERAGEIFS(Raw_Data!$H$2:$H$839,Raw_Data!$C$2:$C$839,Raw_Data!C203),2),Raw_Data!H203)</f>
        <v>41519.16</v>
      </c>
      <c r="I203" s="11" t="n">
        <f aca="false">Raw_Data!I203</f>
        <v>1249821</v>
      </c>
      <c r="J203" s="11" t="n">
        <f aca="false">IF(Raw_Data!J203&lt;0,ABS(Raw_Data!J203),Raw_Data!J203)</f>
        <v>33249</v>
      </c>
      <c r="K203" s="11" t="n">
        <f aca="false">Raw_Data!K203</f>
        <v>2002</v>
      </c>
      <c r="L203" s="11" t="n">
        <f aca="false">IF(Raw_Data!L203="",ROUND(AVERAGEIFS(Raw_Data!$L$2:$L$839,Raw_Data!$C$2:$C$839,Raw_Data!C203),2),Raw_Data!L203)</f>
        <v>2572971.69</v>
      </c>
      <c r="M203" s="13" t="n">
        <f aca="false">IFERROR(J203/I203,0)</f>
        <v>0.0266030095509677</v>
      </c>
      <c r="N203" s="14" t="n">
        <f aca="false">IFERROR(H203/J203,0)</f>
        <v>1.24873409726608</v>
      </c>
      <c r="O203" s="14" t="n">
        <f aca="false">IFERROR(H203/K203,0)</f>
        <v>20.7388411588412</v>
      </c>
      <c r="P203" s="15" t="n">
        <f aca="false">IFERROR(L203/H203,0)</f>
        <v>61.9707067773047</v>
      </c>
      <c r="Q203" s="13" t="n">
        <f aca="false">IFERROR(K203/J203,0)</f>
        <v>0.0602123372131493</v>
      </c>
      <c r="R203" s="11" t="str">
        <f aca="false">IF(COUNTIF($A$2:A203,A203)&gt;1,"Duplicate - Remove","Unique")</f>
        <v>Unique</v>
      </c>
      <c r="S203" s="11" t="str">
        <f aca="false">TRIM(IF(Raw_Data!G203="","Region missing; ","")&amp;IF(Raw_Data!H203="","Spend imputed; ","")&amp;IF(Raw_Data!L203="","Revenue imputed; ","")&amp;IF(Raw_Data!J203&lt;0,"Clicks corrected; ",""))</f>
        <v/>
      </c>
    </row>
    <row r="204" customFormat="false" ht="15" hidden="false" customHeight="true" outlineLevel="0" collapsed="false">
      <c r="A204" s="11" t="n">
        <f aca="false">Raw_Data!A204</f>
        <v>1546</v>
      </c>
      <c r="B204" s="11" t="str">
        <f aca="false">PROPER(TRIM(Raw_Data!B204))</f>
        <v>Back To College Offer</v>
      </c>
      <c r="C204" s="11" t="str">
        <f aca="false">IFERROR(INDEX(Lookup_Tables!$B$2:$B$26,MATCH(UPPER(TRIM(Raw_Data!C204)),Lookup_Tables!$C$2:$C$26,0)),"Unknown")</f>
        <v>Facebook</v>
      </c>
      <c r="D204" s="12" t="n">
        <f aca="false">IFERROR(IF(ISNUMBER(SEARCH("/",Raw_Data!D204)),DATE(VALUE(RIGHT(Raw_Data!D204,4)),VALUE(MID(Raw_Data!D204,FIND("/",Raw_Data!D204)+1,FIND("/",Raw_Data!D204,FIND("/",Raw_Data!D204)+1)-FIND("/",Raw_Data!D204)-1)),VALUE(LEFT(Raw_Data!D204,FIND("/",Raw_Data!D204)-1))),IF(ISNUMBER(VALUE(LEFT(Raw_Data!D204,4))),DATE(VALUE(LEFT(Raw_Data!D204,4)),VALUE(MID(Raw_Data!D204,6,2)),VALUE(MID(Raw_Data!D204,9,2))),DATEVALUE(Raw_Data!D204))),"")</f>
        <v>45317</v>
      </c>
      <c r="E204" s="12" t="n">
        <f aca="false">IFERROR(IF(ISNUMBER(SEARCH("/",Raw_Data!E204)),DATE(VALUE(RIGHT(Raw_Data!E204,4)),VALUE(MID(Raw_Data!E204,FIND("/",Raw_Data!E204)+1,FIND("/",Raw_Data!E204,FIND("/",Raw_Data!E204)+1)-FIND("/",Raw_Data!E204)-1)),VALUE(LEFT(Raw_Data!E204,FIND("/",Raw_Data!E204)-1))),IF(ISNUMBER(VALUE(LEFT(Raw_Data!E204,4))),DATE(VALUE(LEFT(Raw_Data!E204,4)),VALUE(MID(Raw_Data!E204,6,2)),VALUE(MID(Raw_Data!E204,9,2))),DATEVALUE(Raw_Data!E204))),"")</f>
        <v>45330</v>
      </c>
      <c r="F204" s="11" t="str">
        <f aca="false">Raw_Data!F204</f>
        <v>Female 18-24</v>
      </c>
      <c r="G204" s="11" t="str">
        <f aca="false">IF(TRIM(Raw_Data!G204)="","Unspecified",IFERROR(INDEX(Lookup_Tables!$F$2:$F$24,MATCH(UPPER(TRIM(Raw_Data!G204)),Lookup_Tables!$G$2:$G$24,0)),"Unknown"))</f>
        <v>East</v>
      </c>
      <c r="H204" s="11" t="n">
        <f aca="false">IF(Raw_Data!H204="",ROUND(AVERAGEIFS(Raw_Data!$H$2:$H$839,Raw_Data!$C$2:$C$839,Raw_Data!C204),2),Raw_Data!H204)</f>
        <v>21409.6</v>
      </c>
      <c r="I204" s="11" t="n">
        <f aca="false">Raw_Data!I204</f>
        <v>472759</v>
      </c>
      <c r="J204" s="11" t="n">
        <f aca="false">IF(Raw_Data!J204&lt;0,ABS(Raw_Data!J204),Raw_Data!J204)</f>
        <v>14546</v>
      </c>
      <c r="K204" s="11" t="n">
        <f aca="false">Raw_Data!K204</f>
        <v>822</v>
      </c>
      <c r="L204" s="11" t="n">
        <f aca="false">IF(Raw_Data!L204="",ROUND(AVERAGEIFS(Raw_Data!$L$2:$L$839,Raw_Data!$C$2:$C$839,Raw_Data!C204),2),Raw_Data!L204)</f>
        <v>1204134.48</v>
      </c>
      <c r="M204" s="13" t="n">
        <f aca="false">IFERROR(J204/I204,0)</f>
        <v>0.0307683195877815</v>
      </c>
      <c r="N204" s="14" t="n">
        <f aca="false">IFERROR(H204/J204,0)</f>
        <v>1.4718548054448</v>
      </c>
      <c r="O204" s="14" t="n">
        <f aca="false">IFERROR(H204/K204,0)</f>
        <v>26.0457420924574</v>
      </c>
      <c r="P204" s="15" t="n">
        <f aca="false">IFERROR(L204/H204,0)</f>
        <v>56.2427359689112</v>
      </c>
      <c r="Q204" s="13" t="n">
        <f aca="false">IFERROR(K204/J204,0)</f>
        <v>0.0565103808607177</v>
      </c>
      <c r="R204" s="11" t="str">
        <f aca="false">IF(COUNTIF($A$2:A204,A204)&gt;1,"Duplicate - Remove","Unique")</f>
        <v>Unique</v>
      </c>
      <c r="S204" s="11" t="str">
        <f aca="false">TRIM(IF(Raw_Data!G204="","Region missing; ","")&amp;IF(Raw_Data!H204="","Spend imputed; ","")&amp;IF(Raw_Data!L204="","Revenue imputed; ","")&amp;IF(Raw_Data!J204&lt;0,"Clicks corrected; ",""))</f>
        <v/>
      </c>
    </row>
    <row r="205" customFormat="false" ht="15" hidden="false" customHeight="true" outlineLevel="0" collapsed="false">
      <c r="A205" s="11" t="n">
        <f aca="false">Raw_Data!A205</f>
        <v>1409</v>
      </c>
      <c r="B205" s="11" t="str">
        <f aca="false">PROPER(TRIM(Raw_Data!B205))</f>
        <v>Ayurvedic Range Launch</v>
      </c>
      <c r="C205" s="11" t="str">
        <f aca="false">IFERROR(INDEX(Lookup_Tables!$B$2:$B$26,MATCH(UPPER(TRIM(Raw_Data!C205)),Lookup_Tables!$C$2:$C$26,0)),"Unknown")</f>
        <v>Instagram</v>
      </c>
      <c r="D205" s="12" t="n">
        <f aca="false">IFERROR(IF(ISNUMBER(SEARCH("/",Raw_Data!D205)),DATE(VALUE(RIGHT(Raw_Data!D205,4)),VALUE(MID(Raw_Data!D205,FIND("/",Raw_Data!D205)+1,FIND("/",Raw_Data!D205,FIND("/",Raw_Data!D205)+1)-FIND("/",Raw_Data!D205)-1)),VALUE(LEFT(Raw_Data!D205,FIND("/",Raw_Data!D205)-1))),IF(ISNUMBER(VALUE(LEFT(Raw_Data!D205,4))),DATE(VALUE(LEFT(Raw_Data!D205,4)),VALUE(MID(Raw_Data!D205,6,2)),VALUE(MID(Raw_Data!D205,9,2))),DATEVALUE(Raw_Data!D205))),"")</f>
        <v>45411</v>
      </c>
      <c r="E205" s="12" t="n">
        <f aca="false">IFERROR(IF(ISNUMBER(SEARCH("/",Raw_Data!E205)),DATE(VALUE(RIGHT(Raw_Data!E205,4)),VALUE(MID(Raw_Data!E205,FIND("/",Raw_Data!E205)+1,FIND("/",Raw_Data!E205,FIND("/",Raw_Data!E205)+1)-FIND("/",Raw_Data!E205)-1)),VALUE(LEFT(Raw_Data!E205,FIND("/",Raw_Data!E205)-1))),IF(ISNUMBER(VALUE(LEFT(Raw_Data!E205,4))),DATE(VALUE(LEFT(Raw_Data!E205,4)),VALUE(MID(Raw_Data!E205,6,2)),VALUE(MID(Raw_Data!E205,9,2))),DATEVALUE(Raw_Data!E205))),"")</f>
        <v>45431</v>
      </c>
      <c r="F205" s="11" t="str">
        <f aca="false">Raw_Data!F205</f>
        <v>Male 18-24</v>
      </c>
      <c r="G205" s="11" t="str">
        <f aca="false">IF(TRIM(Raw_Data!G205)="","Unspecified",IFERROR(INDEX(Lookup_Tables!$F$2:$F$24,MATCH(UPPER(TRIM(Raw_Data!G205)),Lookup_Tables!$G$2:$G$24,0)),"Unknown"))</f>
        <v>North</v>
      </c>
      <c r="H205" s="11" t="n">
        <f aca="false">IF(Raw_Data!H205="",ROUND(AVERAGEIFS(Raw_Data!$H$2:$H$839,Raw_Data!$C$2:$C$839,Raw_Data!C205),2),Raw_Data!H205)</f>
        <v>9913.39</v>
      </c>
      <c r="I205" s="11" t="n">
        <f aca="false">Raw_Data!I205</f>
        <v>270843</v>
      </c>
      <c r="J205" s="11" t="n">
        <f aca="false">IF(Raw_Data!J205&lt;0,ABS(Raw_Data!J205),Raw_Data!J205)</f>
        <v>7074</v>
      </c>
      <c r="K205" s="11" t="n">
        <f aca="false">Raw_Data!K205</f>
        <v>370</v>
      </c>
      <c r="L205" s="11" t="n">
        <f aca="false">IF(Raw_Data!L205="",ROUND(AVERAGEIFS(Raw_Data!$L$2:$L$839,Raw_Data!$C$2:$C$839,Raw_Data!C205),2),Raw_Data!L205)</f>
        <v>133328.14</v>
      </c>
      <c r="M205" s="13" t="n">
        <f aca="false">IFERROR(J205/I205,0)</f>
        <v>0.0261184523875456</v>
      </c>
      <c r="N205" s="14" t="n">
        <f aca="false">IFERROR(H205/J205,0)</f>
        <v>1.4013839411931</v>
      </c>
      <c r="O205" s="14" t="n">
        <f aca="false">IFERROR(H205/K205,0)</f>
        <v>26.7929459459459</v>
      </c>
      <c r="P205" s="15" t="n">
        <f aca="false">IFERROR(L205/H205,0)</f>
        <v>13.4492983732104</v>
      </c>
      <c r="Q205" s="13" t="n">
        <f aca="false">IFERROR(K205/J205,0)</f>
        <v>0.0523042126095561</v>
      </c>
      <c r="R205" s="11" t="str">
        <f aca="false">IF(COUNTIF($A$2:A205,A205)&gt;1,"Duplicate - Remove","Unique")</f>
        <v>Unique</v>
      </c>
      <c r="S205" s="11" t="str">
        <f aca="false">TRIM(IF(Raw_Data!G205="","Region missing; ","")&amp;IF(Raw_Data!H205="","Spend imputed; ","")&amp;IF(Raw_Data!L205="","Revenue imputed; ","")&amp;IF(Raw_Data!J205&lt;0,"Clicks corrected; ",""))</f>
        <v/>
      </c>
    </row>
    <row r="206" customFormat="false" ht="15" hidden="false" customHeight="true" outlineLevel="0" collapsed="false">
      <c r="A206" s="11" t="n">
        <f aca="false">Raw_Data!A206</f>
        <v>1020</v>
      </c>
      <c r="B206" s="11" t="str">
        <f aca="false">PROPER(TRIM(Raw_Data!B206))</f>
        <v>Men'S Grooming Drive</v>
      </c>
      <c r="C206" s="11" t="str">
        <f aca="false">IFERROR(INDEX(Lookup_Tables!$B$2:$B$26,MATCH(UPPER(TRIM(Raw_Data!C206)),Lookup_Tables!$C$2:$C$26,0)),"Unknown")</f>
        <v>Email</v>
      </c>
      <c r="D206" s="12" t="n">
        <f aca="false">IFERROR(IF(ISNUMBER(SEARCH("/",Raw_Data!D206)),DATE(VALUE(RIGHT(Raw_Data!D206,4)),VALUE(MID(Raw_Data!D206,FIND("/",Raw_Data!D206)+1,FIND("/",Raw_Data!D206,FIND("/",Raw_Data!D206)+1)-FIND("/",Raw_Data!D206)-1)),VALUE(LEFT(Raw_Data!D206,FIND("/",Raw_Data!D206)-1))),IF(ISNUMBER(VALUE(LEFT(Raw_Data!D206,4))),DATE(VALUE(LEFT(Raw_Data!D206,4)),VALUE(MID(Raw_Data!D206,6,2)),VALUE(MID(Raw_Data!D206,9,2))),DATEVALUE(Raw_Data!D206))),"")</f>
        <v>45460</v>
      </c>
      <c r="E206" s="12" t="n">
        <f aca="false">IFERROR(IF(ISNUMBER(SEARCH("/",Raw_Data!E206)),DATE(VALUE(RIGHT(Raw_Data!E206,4)),VALUE(MID(Raw_Data!E206,FIND("/",Raw_Data!E206)+1,FIND("/",Raw_Data!E206,FIND("/",Raw_Data!E206)+1)-FIND("/",Raw_Data!E206)-1)),VALUE(LEFT(Raw_Data!E206,FIND("/",Raw_Data!E206)-1))),IF(ISNUMBER(VALUE(LEFT(Raw_Data!E206,4))),DATE(VALUE(LEFT(Raw_Data!E206,4)),VALUE(MID(Raw_Data!E206,6,2)),VALUE(MID(Raw_Data!E206,9,2))),DATEVALUE(Raw_Data!E206))),"")</f>
        <v>45473</v>
      </c>
      <c r="F206" s="11" t="str">
        <f aca="false">Raw_Data!F206</f>
        <v>Female 45+</v>
      </c>
      <c r="G206" s="11" t="str">
        <f aca="false">IF(TRIM(Raw_Data!G206)="","Unspecified",IFERROR(INDEX(Lookup_Tables!$F$2:$F$24,MATCH(UPPER(TRIM(Raw_Data!G206)),Lookup_Tables!$G$2:$G$24,0)),"Unknown"))</f>
        <v>South</v>
      </c>
      <c r="H206" s="11" t="n">
        <f aca="false">IF(Raw_Data!H206="",ROUND(AVERAGEIFS(Raw_Data!$H$2:$H$839,Raw_Data!$C$2:$C$839,Raw_Data!C206),2),Raw_Data!H206)</f>
        <v>7768.22</v>
      </c>
      <c r="I206" s="11" t="n">
        <f aca="false">Raw_Data!I206</f>
        <v>170730</v>
      </c>
      <c r="J206" s="11" t="n">
        <f aca="false">IF(Raw_Data!J206&lt;0,ABS(Raw_Data!J206),Raw_Data!J206)</f>
        <v>4139</v>
      </c>
      <c r="K206" s="11" t="n">
        <f aca="false">Raw_Data!K206</f>
        <v>157</v>
      </c>
      <c r="L206" s="11" t="n">
        <f aca="false">IF(Raw_Data!L206="",ROUND(AVERAGEIFS(Raw_Data!$L$2:$L$839,Raw_Data!$C$2:$C$839,Raw_Data!C206),2),Raw_Data!L206)</f>
        <v>278308.73</v>
      </c>
      <c r="M206" s="13" t="n">
        <f aca="false">IFERROR(J206/I206,0)</f>
        <v>0.0242429567152814</v>
      </c>
      <c r="N206" s="14" t="n">
        <f aca="false">IFERROR(H206/J206,0)</f>
        <v>1.87683498429572</v>
      </c>
      <c r="O206" s="14" t="n">
        <f aca="false">IFERROR(H206/K206,0)</f>
        <v>49.4791082802548</v>
      </c>
      <c r="P206" s="15" t="n">
        <f aca="false">IFERROR(L206/H206,0)</f>
        <v>35.8265767447369</v>
      </c>
      <c r="Q206" s="13" t="n">
        <f aca="false">IFERROR(K206/J206,0)</f>
        <v>0.0379318676008698</v>
      </c>
      <c r="R206" s="11" t="str">
        <f aca="false">IF(COUNTIF($A$2:A206,A206)&gt;1,"Duplicate - Remove","Unique")</f>
        <v>Unique</v>
      </c>
      <c r="S206" s="11" t="str">
        <f aca="false">TRIM(IF(Raw_Data!G206="","Region missing; ","")&amp;IF(Raw_Data!H206="","Spend imputed; ","")&amp;IF(Raw_Data!L206="","Revenue imputed; ","")&amp;IF(Raw_Data!J206&lt;0,"Clicks corrected; ",""))</f>
        <v/>
      </c>
    </row>
    <row r="207" customFormat="false" ht="15" hidden="false" customHeight="true" outlineLevel="0" collapsed="false">
      <c r="A207" s="11" t="n">
        <f aca="false">Raw_Data!A207</f>
        <v>1500</v>
      </c>
      <c r="B207" s="11" t="str">
        <f aca="false">PROPER(TRIM(Raw_Data!B207))</f>
        <v>Clearance Sale Push</v>
      </c>
      <c r="C207" s="11" t="str">
        <f aca="false">IFERROR(INDEX(Lookup_Tables!$B$2:$B$26,MATCH(UPPER(TRIM(Raw_Data!C207)),Lookup_Tables!$C$2:$C$26,0)),"Unknown")</f>
        <v>Facebook</v>
      </c>
      <c r="D207" s="12" t="n">
        <f aca="false">IFERROR(IF(ISNUMBER(SEARCH("/",Raw_Data!D207)),DATE(VALUE(RIGHT(Raw_Data!D207,4)),VALUE(MID(Raw_Data!D207,FIND("/",Raw_Data!D207)+1,FIND("/",Raw_Data!D207,FIND("/",Raw_Data!D207)+1)-FIND("/",Raw_Data!D207)-1)),VALUE(LEFT(Raw_Data!D207,FIND("/",Raw_Data!D207)-1))),IF(ISNUMBER(VALUE(LEFT(Raw_Data!D207,4))),DATE(VALUE(LEFT(Raw_Data!D207,4)),VALUE(MID(Raw_Data!D207,6,2)),VALUE(MID(Raw_Data!D207,9,2))),DATEVALUE(Raw_Data!D207))),"")</f>
        <v>45536</v>
      </c>
      <c r="E207" s="12" t="n">
        <f aca="false">IFERROR(IF(ISNUMBER(SEARCH("/",Raw_Data!E207)),DATE(VALUE(RIGHT(Raw_Data!E207,4)),VALUE(MID(Raw_Data!E207,FIND("/",Raw_Data!E207)+1,FIND("/",Raw_Data!E207,FIND("/",Raw_Data!E207)+1)-FIND("/",Raw_Data!E207)-1)),VALUE(LEFT(Raw_Data!E207,FIND("/",Raw_Data!E207)-1))),IF(ISNUMBER(VALUE(LEFT(Raw_Data!E207,4))),DATE(VALUE(LEFT(Raw_Data!E207,4)),VALUE(MID(Raw_Data!E207,6,2)),VALUE(MID(Raw_Data!E207,9,2))),DATEVALUE(Raw_Data!E207))),"")</f>
        <v>45560</v>
      </c>
      <c r="F207" s="11" t="str">
        <f aca="false">Raw_Data!F207</f>
        <v>Female 25-34</v>
      </c>
      <c r="G207" s="11" t="str">
        <f aca="false">IF(TRIM(Raw_Data!G207)="","Unspecified",IFERROR(INDEX(Lookup_Tables!$F$2:$F$24,MATCH(UPPER(TRIM(Raw_Data!G207)),Lookup_Tables!$G$2:$G$24,0)),"Unknown"))</f>
        <v>East</v>
      </c>
      <c r="H207" s="11" t="n">
        <f aca="false">IF(Raw_Data!H207="",ROUND(AVERAGEIFS(Raw_Data!$H$2:$H$839,Raw_Data!$C$2:$C$839,Raw_Data!C207),2),Raw_Data!H207)</f>
        <v>7328.17</v>
      </c>
      <c r="I207" s="11" t="n">
        <f aca="false">Raw_Data!I207</f>
        <v>176836</v>
      </c>
      <c r="J207" s="11" t="n">
        <f aca="false">IF(Raw_Data!J207&lt;0,ABS(Raw_Data!J207),Raw_Data!J207)</f>
        <v>1303</v>
      </c>
      <c r="K207" s="11" t="n">
        <f aca="false">Raw_Data!K207</f>
        <v>20</v>
      </c>
      <c r="L207" s="11" t="n">
        <f aca="false">IF(Raw_Data!L207="",ROUND(AVERAGEIFS(Raw_Data!$L$2:$L$839,Raw_Data!$C$2:$C$839,Raw_Data!C207),2),Raw_Data!L207)</f>
        <v>23506.31</v>
      </c>
      <c r="M207" s="13" t="n">
        <f aca="false">IFERROR(J207/I207,0)</f>
        <v>0.00736840914745866</v>
      </c>
      <c r="N207" s="14" t="n">
        <f aca="false">IFERROR(H207/J207,0)</f>
        <v>5.62407521105142</v>
      </c>
      <c r="O207" s="14" t="n">
        <f aca="false">IFERROR(H207/K207,0)</f>
        <v>366.4085</v>
      </c>
      <c r="P207" s="15" t="n">
        <f aca="false">IFERROR(L207/H207,0)</f>
        <v>3.20766439643185</v>
      </c>
      <c r="Q207" s="13" t="n">
        <f aca="false">IFERROR(K207/J207,0)</f>
        <v>0.0153491941673062</v>
      </c>
      <c r="R207" s="11" t="str">
        <f aca="false">IF(COUNTIF($A$2:A207,A207)&gt;1,"Duplicate - Remove","Unique")</f>
        <v>Unique</v>
      </c>
      <c r="S207" s="11" t="str">
        <f aca="false">TRIM(IF(Raw_Data!G207="","Region missing; ","")&amp;IF(Raw_Data!H207="","Spend imputed; ","")&amp;IF(Raw_Data!L207="","Revenue imputed; ","")&amp;IF(Raw_Data!J207&lt;0,"Clicks corrected; ",""))</f>
        <v/>
      </c>
    </row>
    <row r="208" customFormat="false" ht="15" hidden="false" customHeight="true" outlineLevel="0" collapsed="false">
      <c r="A208" s="11" t="n">
        <f aca="false">Raw_Data!A208</f>
        <v>1719</v>
      </c>
      <c r="B208" s="11" t="str">
        <f aca="false">PROPER(TRIM(Raw_Data!B208))</f>
        <v>Sunscreen Season Campaign</v>
      </c>
      <c r="C208" s="11" t="str">
        <f aca="false">IFERROR(INDEX(Lookup_Tables!$B$2:$B$26,MATCH(UPPER(TRIM(Raw_Data!C208)),Lookup_Tables!$C$2:$C$26,0)),"Unknown")</f>
        <v>Google Ads</v>
      </c>
      <c r="D208" s="12" t="n">
        <f aca="false">IFERROR(IF(ISNUMBER(SEARCH("/",Raw_Data!D208)),DATE(VALUE(RIGHT(Raw_Data!D208,4)),VALUE(MID(Raw_Data!D208,FIND("/",Raw_Data!D208)+1,FIND("/",Raw_Data!D208,FIND("/",Raw_Data!D208)+1)-FIND("/",Raw_Data!D208)-1)),VALUE(LEFT(Raw_Data!D208,FIND("/",Raw_Data!D208)-1))),IF(ISNUMBER(VALUE(LEFT(Raw_Data!D208,4))),DATE(VALUE(LEFT(Raw_Data!D208,4)),VALUE(MID(Raw_Data!D208,6,2)),VALUE(MID(Raw_Data!D208,9,2))),DATEVALUE(Raw_Data!D208))),"")</f>
        <v>45523</v>
      </c>
      <c r="E208" s="12" t="n">
        <f aca="false">IFERROR(IF(ISNUMBER(SEARCH("/",Raw_Data!E208)),DATE(VALUE(RIGHT(Raw_Data!E208,4)),VALUE(MID(Raw_Data!E208,FIND("/",Raw_Data!E208)+1,FIND("/",Raw_Data!E208,FIND("/",Raw_Data!E208)+1)-FIND("/",Raw_Data!E208)-1)),VALUE(LEFT(Raw_Data!E208,FIND("/",Raw_Data!E208)-1))),IF(ISNUMBER(VALUE(LEFT(Raw_Data!E208,4))),DATE(VALUE(LEFT(Raw_Data!E208,4)),VALUE(MID(Raw_Data!E208,6,2)),VALUE(MID(Raw_Data!E208,9,2))),DATEVALUE(Raw_Data!E208))),"")</f>
        <v>45532</v>
      </c>
      <c r="F208" s="11" t="str">
        <f aca="false">Raw_Data!F208</f>
        <v>Male 45+</v>
      </c>
      <c r="G208" s="11" t="str">
        <f aca="false">IF(TRIM(Raw_Data!G208)="","Unspecified",IFERROR(INDEX(Lookup_Tables!$F$2:$F$24,MATCH(UPPER(TRIM(Raw_Data!G208)),Lookup_Tables!$G$2:$G$24,0)),"Unknown"))</f>
        <v>West</v>
      </c>
      <c r="H208" s="11" t="n">
        <f aca="false">IF(Raw_Data!H208="",ROUND(AVERAGEIFS(Raw_Data!$H$2:$H$839,Raw_Data!$C$2:$C$839,Raw_Data!C208),2),Raw_Data!H208)</f>
        <v>61650.14</v>
      </c>
      <c r="I208" s="11" t="n">
        <f aca="false">Raw_Data!I208</f>
        <v>1519004</v>
      </c>
      <c r="J208" s="11" t="n">
        <f aca="false">IF(Raw_Data!J208&lt;0,ABS(Raw_Data!J208),Raw_Data!J208)</f>
        <v>50869</v>
      </c>
      <c r="K208" s="11" t="n">
        <f aca="false">Raw_Data!K208</f>
        <v>3618</v>
      </c>
      <c r="L208" s="11" t="n">
        <f aca="false">IF(Raw_Data!L208="",ROUND(AVERAGEIFS(Raw_Data!$L$2:$L$839,Raw_Data!$C$2:$C$839,Raw_Data!C208),2),Raw_Data!L208)</f>
        <v>5401618.62</v>
      </c>
      <c r="M208" s="13" t="n">
        <f aca="false">IFERROR(J208/I208,0)</f>
        <v>0.0334883910773112</v>
      </c>
      <c r="N208" s="14" t="n">
        <f aca="false">IFERROR(H208/J208,0)</f>
        <v>1.211939295052</v>
      </c>
      <c r="O208" s="14" t="n">
        <f aca="false">IFERROR(H208/K208,0)</f>
        <v>17.0398396904367</v>
      </c>
      <c r="P208" s="15" t="n">
        <f aca="false">IFERROR(L208/H208,0)</f>
        <v>87.6172968950273</v>
      </c>
      <c r="Q208" s="13" t="n">
        <f aca="false">IFERROR(K208/J208,0)</f>
        <v>0.0711238671882679</v>
      </c>
      <c r="R208" s="11" t="str">
        <f aca="false">IF(COUNTIF($A$2:A208,A208)&gt;1,"Duplicate - Remove","Unique")</f>
        <v>Unique</v>
      </c>
      <c r="S208" s="11" t="str">
        <f aca="false">TRIM(IF(Raw_Data!G208="","Region missing; ","")&amp;IF(Raw_Data!H208="","Spend imputed; ","")&amp;IF(Raw_Data!L208="","Revenue imputed; ","")&amp;IF(Raw_Data!J208&lt;0,"Clicks corrected; ",""))</f>
        <v/>
      </c>
    </row>
    <row r="209" customFormat="false" ht="15" hidden="false" customHeight="true" outlineLevel="0" collapsed="false">
      <c r="A209" s="11" t="n">
        <f aca="false">Raw_Data!A209</f>
        <v>1733</v>
      </c>
      <c r="B209" s="11" t="str">
        <f aca="false">PROPER(TRIM(Raw_Data!B209))</f>
        <v>Monsoon Skincare Push</v>
      </c>
      <c r="C209" s="11" t="str">
        <f aca="false">IFERROR(INDEX(Lookup_Tables!$B$2:$B$26,MATCH(UPPER(TRIM(Raw_Data!C209)),Lookup_Tables!$C$2:$C$26,0)),"Unknown")</f>
        <v>Google Ads</v>
      </c>
      <c r="D209" s="12" t="n">
        <f aca="false">IFERROR(IF(ISNUMBER(SEARCH("/",Raw_Data!D209)),DATE(VALUE(RIGHT(Raw_Data!D209,4)),VALUE(MID(Raw_Data!D209,FIND("/",Raw_Data!D209)+1,FIND("/",Raw_Data!D209,FIND("/",Raw_Data!D209)+1)-FIND("/",Raw_Data!D209)-1)),VALUE(LEFT(Raw_Data!D209,FIND("/",Raw_Data!D209)-1))),IF(ISNUMBER(VALUE(LEFT(Raw_Data!D209,4))),DATE(VALUE(LEFT(Raw_Data!D209,4)),VALUE(MID(Raw_Data!D209,6,2)),VALUE(MID(Raw_Data!D209,9,2))),DATEVALUE(Raw_Data!D209))),"")</f>
        <v>45396</v>
      </c>
      <c r="E209" s="12" t="n">
        <f aca="false">IFERROR(IF(ISNUMBER(SEARCH("/",Raw_Data!E209)),DATE(VALUE(RIGHT(Raw_Data!E209,4)),VALUE(MID(Raw_Data!E209,FIND("/",Raw_Data!E209)+1,FIND("/",Raw_Data!E209,FIND("/",Raw_Data!E209)+1)-FIND("/",Raw_Data!E209)-1)),VALUE(LEFT(Raw_Data!E209,FIND("/",Raw_Data!E209)-1))),IF(ISNUMBER(VALUE(LEFT(Raw_Data!E209,4))),DATE(VALUE(LEFT(Raw_Data!E209,4)),VALUE(MID(Raw_Data!E209,6,2)),VALUE(MID(Raw_Data!E209,9,2))),DATEVALUE(Raw_Data!E209))),"")</f>
        <v>45406</v>
      </c>
      <c r="F209" s="11" t="str">
        <f aca="false">Raw_Data!F209</f>
        <v>Female 45+</v>
      </c>
      <c r="G209" s="11" t="str">
        <f aca="false">IF(TRIM(Raw_Data!G209)="","Unspecified",IFERROR(INDEX(Lookup_Tables!$F$2:$F$24,MATCH(UPPER(TRIM(Raw_Data!G209)),Lookup_Tables!$G$2:$G$24,0)),"Unknown"))</f>
        <v>West</v>
      </c>
      <c r="H209" s="11" t="n">
        <f aca="false">IF(Raw_Data!H209="",ROUND(AVERAGEIFS(Raw_Data!$H$2:$H$839,Raw_Data!$C$2:$C$839,Raw_Data!C209),2),Raw_Data!H209)</f>
        <v>12916.21</v>
      </c>
      <c r="I209" s="11" t="n">
        <f aca="false">Raw_Data!I209</f>
        <v>453564</v>
      </c>
      <c r="J209" s="11" t="n">
        <f aca="false">IF(Raw_Data!J209&lt;0,ABS(Raw_Data!J209),Raw_Data!J209)</f>
        <v>12375</v>
      </c>
      <c r="K209" s="11" t="n">
        <f aca="false">Raw_Data!K209</f>
        <v>881</v>
      </c>
      <c r="L209" s="11" t="n">
        <f aca="false">IF(Raw_Data!L209="",ROUND(AVERAGEIFS(Raw_Data!$L$2:$L$839,Raw_Data!$C$2:$C$839,Raw_Data!C209),2),Raw_Data!L209)</f>
        <v>564022.21</v>
      </c>
      <c r="M209" s="13" t="n">
        <f aca="false">IFERROR(J209/I209,0)</f>
        <v>0.0272839114215414</v>
      </c>
      <c r="N209" s="14" t="n">
        <f aca="false">IFERROR(H209/J209,0)</f>
        <v>1.04373414141414</v>
      </c>
      <c r="O209" s="14" t="n">
        <f aca="false">IFERROR(H209/K209,0)</f>
        <v>14.6608513053348</v>
      </c>
      <c r="P209" s="15" t="n">
        <f aca="false">IFERROR(L209/H209,0)</f>
        <v>43.6677794802036</v>
      </c>
      <c r="Q209" s="13" t="n">
        <f aca="false">IFERROR(K209/J209,0)</f>
        <v>0.0711919191919192</v>
      </c>
      <c r="R209" s="11" t="str">
        <f aca="false">IF(COUNTIF($A$2:A209,A209)&gt;1,"Duplicate - Remove","Unique")</f>
        <v>Unique</v>
      </c>
      <c r="S209" s="11" t="str">
        <f aca="false">TRIM(IF(Raw_Data!G209="","Region missing; ","")&amp;IF(Raw_Data!H209="","Spend imputed; ","")&amp;IF(Raw_Data!L209="","Revenue imputed; ","")&amp;IF(Raw_Data!J209&lt;0,"Clicks corrected; ",""))</f>
        <v/>
      </c>
    </row>
    <row r="210" customFormat="false" ht="15" hidden="false" customHeight="true" outlineLevel="0" collapsed="false">
      <c r="A210" s="11" t="n">
        <f aca="false">Raw_Data!A210</f>
        <v>1748</v>
      </c>
      <c r="B210" s="11" t="str">
        <f aca="false">PROPER(TRIM(Raw_Data!B210))</f>
        <v>Anti-Ageing Serum Push</v>
      </c>
      <c r="C210" s="11" t="str">
        <f aca="false">IFERROR(INDEX(Lookup_Tables!$B$2:$B$26,MATCH(UPPER(TRIM(Raw_Data!C210)),Lookup_Tables!$C$2:$C$26,0)),"Unknown")</f>
        <v>Google Ads</v>
      </c>
      <c r="D210" s="12" t="n">
        <f aca="false">IFERROR(IF(ISNUMBER(SEARCH("/",Raw_Data!D210)),DATE(VALUE(RIGHT(Raw_Data!D210,4)),VALUE(MID(Raw_Data!D210,FIND("/",Raw_Data!D210)+1,FIND("/",Raw_Data!D210,FIND("/",Raw_Data!D210)+1)-FIND("/",Raw_Data!D210)-1)),VALUE(LEFT(Raw_Data!D210,FIND("/",Raw_Data!D210)-1))),IF(ISNUMBER(VALUE(LEFT(Raw_Data!D210,4))),DATE(VALUE(LEFT(Raw_Data!D210,4)),VALUE(MID(Raw_Data!D210,6,2)),VALUE(MID(Raw_Data!D210,9,2))),DATEVALUE(Raw_Data!D210))),"")</f>
        <v>45381</v>
      </c>
      <c r="E210" s="12" t="n">
        <f aca="false">IFERROR(IF(ISNUMBER(SEARCH("/",Raw_Data!E210)),DATE(VALUE(RIGHT(Raw_Data!E210,4)),VALUE(MID(Raw_Data!E210,FIND("/",Raw_Data!E210)+1,FIND("/",Raw_Data!E210,FIND("/",Raw_Data!E210)+1)-FIND("/",Raw_Data!E210)-1)),VALUE(LEFT(Raw_Data!E210,FIND("/",Raw_Data!E210)-1))),IF(ISNUMBER(VALUE(LEFT(Raw_Data!E210,4))),DATE(VALUE(LEFT(Raw_Data!E210,4)),VALUE(MID(Raw_Data!E210,6,2)),VALUE(MID(Raw_Data!E210,9,2))),DATEVALUE(Raw_Data!E210))),"")</f>
        <v>45400</v>
      </c>
      <c r="F210" s="11" t="str">
        <f aca="false">Raw_Data!F210</f>
        <v>Male 45+</v>
      </c>
      <c r="G210" s="11" t="str">
        <f aca="false">IF(TRIM(Raw_Data!G210)="","Unspecified",IFERROR(INDEX(Lookup_Tables!$F$2:$F$24,MATCH(UPPER(TRIM(Raw_Data!G210)),Lookup_Tables!$G$2:$G$24,0)),"Unknown"))</f>
        <v>North</v>
      </c>
      <c r="H210" s="11" t="n">
        <f aca="false">IF(Raw_Data!H210="",ROUND(AVERAGEIFS(Raw_Data!$H$2:$H$839,Raw_Data!$C$2:$C$839,Raw_Data!C210),2),Raw_Data!H210)</f>
        <v>69748.85</v>
      </c>
      <c r="I210" s="11" t="n">
        <f aca="false">Raw_Data!I210</f>
        <v>1115661</v>
      </c>
      <c r="J210" s="11" t="n">
        <f aca="false">IF(Raw_Data!J210&lt;0,ABS(Raw_Data!J210),Raw_Data!J210)</f>
        <v>25697</v>
      </c>
      <c r="K210" s="11" t="n">
        <f aca="false">Raw_Data!K210</f>
        <v>1024</v>
      </c>
      <c r="L210" s="11" t="n">
        <f aca="false">IF(Raw_Data!L210="",ROUND(AVERAGEIFS(Raw_Data!$L$2:$L$839,Raw_Data!$C$2:$C$839,Raw_Data!C210),2),Raw_Data!L210)</f>
        <v>1378171.57</v>
      </c>
      <c r="M210" s="13" t="n">
        <f aca="false">IFERROR(J210/I210,0)</f>
        <v>0.0230329822410212</v>
      </c>
      <c r="N210" s="14" t="n">
        <f aca="false">IFERROR(H210/J210,0)</f>
        <v>2.71427987702845</v>
      </c>
      <c r="O210" s="14" t="n">
        <f aca="false">IFERROR(H210/K210,0)</f>
        <v>68.114111328125</v>
      </c>
      <c r="P210" s="15" t="n">
        <f aca="false">IFERROR(L210/H210,0)</f>
        <v>19.7590579629628</v>
      </c>
      <c r="Q210" s="13" t="n">
        <f aca="false">IFERROR(K210/J210,0)</f>
        <v>0.039849009612017</v>
      </c>
      <c r="R210" s="11" t="str">
        <f aca="false">IF(COUNTIF($A$2:A210,A210)&gt;1,"Duplicate - Remove","Unique")</f>
        <v>Unique</v>
      </c>
      <c r="S210" s="11" t="str">
        <f aca="false">TRIM(IF(Raw_Data!G210="","Region missing; ","")&amp;IF(Raw_Data!H210="","Spend imputed; ","")&amp;IF(Raw_Data!L210="","Revenue imputed; ","")&amp;IF(Raw_Data!J210&lt;0,"Clicks corrected; ",""))</f>
        <v/>
      </c>
    </row>
    <row r="211" customFormat="false" ht="15" hidden="false" customHeight="true" outlineLevel="0" collapsed="false">
      <c r="A211" s="11" t="n">
        <f aca="false">Raw_Data!A211</f>
        <v>1030</v>
      </c>
      <c r="B211" s="11" t="str">
        <f aca="false">PROPER(TRIM(Raw_Data!B211))</f>
        <v>Summer Glow Launch</v>
      </c>
      <c r="C211" s="11" t="str">
        <f aca="false">IFERROR(INDEX(Lookup_Tables!$B$2:$B$26,MATCH(UPPER(TRIM(Raw_Data!C211)),Lookup_Tables!$C$2:$C$26,0)),"Unknown")</f>
        <v>Instagram</v>
      </c>
      <c r="D211" s="12" t="n">
        <f aca="false">IFERROR(IF(ISNUMBER(SEARCH("/",Raw_Data!D211)),DATE(VALUE(RIGHT(Raw_Data!D211,4)),VALUE(MID(Raw_Data!D211,FIND("/",Raw_Data!D211)+1,FIND("/",Raw_Data!D211,FIND("/",Raw_Data!D211)+1)-FIND("/",Raw_Data!D211)-1)),VALUE(LEFT(Raw_Data!D211,FIND("/",Raw_Data!D211)-1))),IF(ISNUMBER(VALUE(LEFT(Raw_Data!D211,4))),DATE(VALUE(LEFT(Raw_Data!D211,4)),VALUE(MID(Raw_Data!D211,6,2)),VALUE(MID(Raw_Data!D211,9,2))),DATEVALUE(Raw_Data!D211))),"")</f>
        <v>45307</v>
      </c>
      <c r="E211" s="12" t="n">
        <f aca="false">IFERROR(IF(ISNUMBER(SEARCH("/",Raw_Data!E211)),DATE(VALUE(RIGHT(Raw_Data!E211,4)),VALUE(MID(Raw_Data!E211,FIND("/",Raw_Data!E211)+1,FIND("/",Raw_Data!E211,FIND("/",Raw_Data!E211)+1)-FIND("/",Raw_Data!E211)-1)),VALUE(LEFT(Raw_Data!E211,FIND("/",Raw_Data!E211)-1))),IF(ISNUMBER(VALUE(LEFT(Raw_Data!E211,4))),DATE(VALUE(LEFT(Raw_Data!E211,4)),VALUE(MID(Raw_Data!E211,6,2)),VALUE(MID(Raw_Data!E211,9,2))),DATEVALUE(Raw_Data!E211))),"")</f>
        <v>45319</v>
      </c>
      <c r="F211" s="11" t="str">
        <f aca="false">Raw_Data!F211</f>
        <v>Female 18-24</v>
      </c>
      <c r="G211" s="11" t="str">
        <f aca="false">IF(TRIM(Raw_Data!G211)="","Unspecified",IFERROR(INDEX(Lookup_Tables!$F$2:$F$24,MATCH(UPPER(TRIM(Raw_Data!G211)),Lookup_Tables!$G$2:$G$24,0)),"Unknown"))</f>
        <v>East</v>
      </c>
      <c r="H211" s="11" t="n">
        <f aca="false">IF(Raw_Data!H211="",ROUND(AVERAGEIFS(Raw_Data!$H$2:$H$839,Raw_Data!$C$2:$C$839,Raw_Data!C211),2),Raw_Data!H211)</f>
        <v>51639.9</v>
      </c>
      <c r="I211" s="11" t="n">
        <f aca="false">Raw_Data!I211</f>
        <v>1576741</v>
      </c>
      <c r="J211" s="11" t="n">
        <f aca="false">IF(Raw_Data!J211&lt;0,ABS(Raw_Data!J211),Raw_Data!J211)</f>
        <v>19167</v>
      </c>
      <c r="K211" s="11" t="n">
        <f aca="false">Raw_Data!K211</f>
        <v>827</v>
      </c>
      <c r="L211" s="11" t="n">
        <f aca="false">IF(Raw_Data!L211="",ROUND(AVERAGEIFS(Raw_Data!$L$2:$L$839,Raw_Data!$C$2:$C$839,Raw_Data!C211),2),Raw_Data!L211)</f>
        <v>426620.1</v>
      </c>
      <c r="M211" s="13" t="n">
        <f aca="false">IFERROR(J211/I211,0)</f>
        <v>0.0121560865100863</v>
      </c>
      <c r="N211" s="14" t="n">
        <f aca="false">IFERROR(H211/J211,0)</f>
        <v>2.69420879636876</v>
      </c>
      <c r="O211" s="14" t="n">
        <f aca="false">IFERROR(H211/K211,0)</f>
        <v>62.4424425634825</v>
      </c>
      <c r="P211" s="15" t="n">
        <f aca="false">IFERROR(L211/H211,0)</f>
        <v>8.26144318637333</v>
      </c>
      <c r="Q211" s="13" t="n">
        <f aca="false">IFERROR(K211/J211,0)</f>
        <v>0.0431470757030313</v>
      </c>
      <c r="R211" s="11" t="str">
        <f aca="false">IF(COUNTIF($A$2:A211,A211)&gt;1,"Duplicate - Remove","Unique")</f>
        <v>Unique</v>
      </c>
      <c r="S211" s="11" t="str">
        <f aca="false">TRIM(IF(Raw_Data!G211="","Region missing; ","")&amp;IF(Raw_Data!H211="","Spend imputed; ","")&amp;IF(Raw_Data!L211="","Revenue imputed; ","")&amp;IF(Raw_Data!J211&lt;0,"Clicks corrected; ",""))</f>
        <v/>
      </c>
    </row>
    <row r="212" customFormat="false" ht="15" hidden="false" customHeight="true" outlineLevel="0" collapsed="false">
      <c r="A212" s="11" t="n">
        <f aca="false">Raw_Data!A212</f>
        <v>1015</v>
      </c>
      <c r="B212" s="11" t="str">
        <f aca="false">PROPER(TRIM(Raw_Data!B212))</f>
        <v>Wedding Season Special</v>
      </c>
      <c r="C212" s="11" t="str">
        <f aca="false">IFERROR(INDEX(Lookup_Tables!$B$2:$B$26,MATCH(UPPER(TRIM(Raw_Data!C212)),Lookup_Tables!$C$2:$C$26,0)),"Unknown")</f>
        <v>Email</v>
      </c>
      <c r="D212" s="12" t="n">
        <f aca="false">IFERROR(IF(ISNUMBER(SEARCH("/",Raw_Data!D212)),DATE(VALUE(RIGHT(Raw_Data!D212,4)),VALUE(MID(Raw_Data!D212,FIND("/",Raw_Data!D212)+1,FIND("/",Raw_Data!D212,FIND("/",Raw_Data!D212)+1)-FIND("/",Raw_Data!D212)-1)),VALUE(LEFT(Raw_Data!D212,FIND("/",Raw_Data!D212)-1))),IF(ISNUMBER(VALUE(LEFT(Raw_Data!D212,4))),DATE(VALUE(LEFT(Raw_Data!D212,4)),VALUE(MID(Raw_Data!D212,6,2)),VALUE(MID(Raw_Data!D212,9,2))),DATEVALUE(Raw_Data!D212))),"")</f>
        <v>45329</v>
      </c>
      <c r="E212" s="12" t="n">
        <f aca="false">IFERROR(IF(ISNUMBER(SEARCH("/",Raw_Data!E212)),DATE(VALUE(RIGHT(Raw_Data!E212,4)),VALUE(MID(Raw_Data!E212,FIND("/",Raw_Data!E212)+1,FIND("/",Raw_Data!E212,FIND("/",Raw_Data!E212)+1)-FIND("/",Raw_Data!E212)-1)),VALUE(LEFT(Raw_Data!E212,FIND("/",Raw_Data!E212)-1))),IF(ISNUMBER(VALUE(LEFT(Raw_Data!E212,4))),DATE(VALUE(LEFT(Raw_Data!E212,4)),VALUE(MID(Raw_Data!E212,6,2)),VALUE(MID(Raw_Data!E212,9,2))),DATEVALUE(Raw_Data!E212))),"")</f>
        <v>45351</v>
      </c>
      <c r="F212" s="11" t="str">
        <f aca="false">Raw_Data!F212</f>
        <v>Female 25-34</v>
      </c>
      <c r="G212" s="11" t="str">
        <f aca="false">IF(TRIM(Raw_Data!G212)="","Unspecified",IFERROR(INDEX(Lookup_Tables!$F$2:$F$24,MATCH(UPPER(TRIM(Raw_Data!G212)),Lookup_Tables!$G$2:$G$24,0)),"Unknown"))</f>
        <v>West</v>
      </c>
      <c r="H212" s="11" t="n">
        <f aca="false">IF(Raw_Data!H212="",ROUND(AVERAGEIFS(Raw_Data!$H$2:$H$839,Raw_Data!$C$2:$C$839,Raw_Data!C212),2),Raw_Data!H212)</f>
        <v>4541.19</v>
      </c>
      <c r="I212" s="11" t="n">
        <f aca="false">Raw_Data!I212</f>
        <v>83155</v>
      </c>
      <c r="J212" s="11" t="n">
        <f aca="false">IF(Raw_Data!J212&lt;0,ABS(Raw_Data!J212),Raw_Data!J212)</f>
        <v>1286</v>
      </c>
      <c r="K212" s="11" t="n">
        <f aca="false">Raw_Data!K212</f>
        <v>19</v>
      </c>
      <c r="L212" s="11" t="n">
        <f aca="false">IF(Raw_Data!L212="",ROUND(AVERAGEIFS(Raw_Data!$L$2:$L$839,Raw_Data!$C$2:$C$839,Raw_Data!C212),2),Raw_Data!L212)</f>
        <v>13380.04</v>
      </c>
      <c r="M212" s="13" t="n">
        <f aca="false">IFERROR(J212/I212,0)</f>
        <v>0.0154650953039505</v>
      </c>
      <c r="N212" s="14" t="n">
        <f aca="false">IFERROR(H212/J212,0)</f>
        <v>3.53125194401244</v>
      </c>
      <c r="O212" s="14" t="n">
        <f aca="false">IFERROR(H212/K212,0)</f>
        <v>239.01</v>
      </c>
      <c r="P212" s="15" t="n">
        <f aca="false">IFERROR(L212/H212,0)</f>
        <v>2.94637308723044</v>
      </c>
      <c r="Q212" s="13" t="n">
        <f aca="false">IFERROR(K212/J212,0)</f>
        <v>0.0147744945567652</v>
      </c>
      <c r="R212" s="11" t="str">
        <f aca="false">IF(COUNTIF($A$2:A212,A212)&gt;1,"Duplicate - Remove","Unique")</f>
        <v>Unique</v>
      </c>
      <c r="S212" s="11" t="str">
        <f aca="false">TRIM(IF(Raw_Data!G212="","Region missing; ","")&amp;IF(Raw_Data!H212="","Spend imputed; ","")&amp;IF(Raw_Data!L212="","Revenue imputed; ","")&amp;IF(Raw_Data!J212&lt;0,"Clicks corrected; ",""))</f>
        <v/>
      </c>
    </row>
    <row r="213" customFormat="false" ht="15" hidden="false" customHeight="true" outlineLevel="0" collapsed="false">
      <c r="A213" s="11" t="n">
        <f aca="false">Raw_Data!A213</f>
        <v>1017</v>
      </c>
      <c r="B213" s="11" t="str">
        <f aca="false">PROPER(TRIM(Raw_Data!B213))</f>
        <v>Men'S Grooming Drive</v>
      </c>
      <c r="C213" s="11" t="str">
        <f aca="false">IFERROR(INDEX(Lookup_Tables!$B$2:$B$26,MATCH(UPPER(TRIM(Raw_Data!C213)),Lookup_Tables!$C$2:$C$26,0)),"Unknown")</f>
        <v>YouTube</v>
      </c>
      <c r="D213" s="12" t="n">
        <f aca="false">IFERROR(IF(ISNUMBER(SEARCH("/",Raw_Data!D213)),DATE(VALUE(RIGHT(Raw_Data!D213,4)),VALUE(MID(Raw_Data!D213,FIND("/",Raw_Data!D213)+1,FIND("/",Raw_Data!D213,FIND("/",Raw_Data!D213)+1)-FIND("/",Raw_Data!D213)-1)),VALUE(LEFT(Raw_Data!D213,FIND("/",Raw_Data!D213)-1))),IF(ISNUMBER(VALUE(LEFT(Raw_Data!D213,4))),DATE(VALUE(LEFT(Raw_Data!D213,4)),VALUE(MID(Raw_Data!D213,6,2)),VALUE(MID(Raw_Data!D213,9,2))),DATEVALUE(Raw_Data!D213))),"")</f>
        <v>45293</v>
      </c>
      <c r="E213" s="12" t="n">
        <f aca="false">IFERROR(IF(ISNUMBER(SEARCH("/",Raw_Data!E213)),DATE(VALUE(RIGHT(Raw_Data!E213,4)),VALUE(MID(Raw_Data!E213,FIND("/",Raw_Data!E213)+1,FIND("/",Raw_Data!E213,FIND("/",Raw_Data!E213)+1)-FIND("/",Raw_Data!E213)-1)),VALUE(LEFT(Raw_Data!E213,FIND("/",Raw_Data!E213)-1))),IF(ISNUMBER(VALUE(LEFT(Raw_Data!E213,4))),DATE(VALUE(LEFT(Raw_Data!E213,4)),VALUE(MID(Raw_Data!E213,6,2)),VALUE(MID(Raw_Data!E213,9,2))),DATEVALUE(Raw_Data!E213))),"")</f>
        <v>45308</v>
      </c>
      <c r="F213" s="11" t="str">
        <f aca="false">Raw_Data!F213</f>
        <v>Female 18-24</v>
      </c>
      <c r="G213" s="11" t="str">
        <f aca="false">IF(TRIM(Raw_Data!G213)="","Unspecified",IFERROR(INDEX(Lookup_Tables!$F$2:$F$24,MATCH(UPPER(TRIM(Raw_Data!G213)),Lookup_Tables!$G$2:$G$24,0)),"Unknown"))</f>
        <v>North</v>
      </c>
      <c r="H213" s="11" t="n">
        <f aca="false">IF(Raw_Data!H213="",ROUND(AVERAGEIFS(Raw_Data!$H$2:$H$839,Raw_Data!$C$2:$C$839,Raw_Data!C213),2),Raw_Data!H213)</f>
        <v>62783.5</v>
      </c>
      <c r="I213" s="11" t="n">
        <f aca="false">Raw_Data!I213</f>
        <v>1352914</v>
      </c>
      <c r="J213" s="11" t="n">
        <f aca="false">IF(Raw_Data!J213&lt;0,ABS(Raw_Data!J213),Raw_Data!J213)</f>
        <v>36849</v>
      </c>
      <c r="K213" s="11" t="n">
        <f aca="false">Raw_Data!K213</f>
        <v>1791</v>
      </c>
      <c r="L213" s="11" t="n">
        <f aca="false">IF(Raw_Data!L213="",ROUND(AVERAGEIFS(Raw_Data!$L$2:$L$839,Raw_Data!$C$2:$C$839,Raw_Data!C213),2),Raw_Data!L213)</f>
        <v>1074726.4</v>
      </c>
      <c r="M213" s="13" t="n">
        <f aca="false">IFERROR(J213/I213,0)</f>
        <v>0.0272367644950086</v>
      </c>
      <c r="N213" s="14" t="n">
        <f aca="false">IFERROR(H213/J213,0)</f>
        <v>1.7038047165459</v>
      </c>
      <c r="O213" s="14" t="n">
        <f aca="false">IFERROR(H213/K213,0)</f>
        <v>35.0549972082635</v>
      </c>
      <c r="P213" s="15" t="n">
        <f aca="false">IFERROR(L213/H213,0)</f>
        <v>17.1179752642016</v>
      </c>
      <c r="Q213" s="13" t="n">
        <f aca="false">IFERROR(K213/J213,0)</f>
        <v>0.0486037612961003</v>
      </c>
      <c r="R213" s="11" t="str">
        <f aca="false">IF(COUNTIF($A$2:A213,A213)&gt;1,"Duplicate - Remove","Unique")</f>
        <v>Unique</v>
      </c>
      <c r="S213" s="11" t="str">
        <f aca="false">TRIM(IF(Raw_Data!G213="","Region missing; ","")&amp;IF(Raw_Data!H213="","Spend imputed; ","")&amp;IF(Raw_Data!L213="","Revenue imputed; ","")&amp;IF(Raw_Data!J213&lt;0,"Clicks corrected; ",""))</f>
        <v>Revenue imputed;</v>
      </c>
    </row>
    <row r="214" customFormat="false" ht="15" hidden="false" customHeight="true" outlineLevel="0" collapsed="false">
      <c r="A214" s="11" t="n">
        <f aca="false">Raw_Data!A214</f>
        <v>1580</v>
      </c>
      <c r="B214" s="11" t="str">
        <f aca="false">PROPER(TRIM(Raw_Data!B214))</f>
        <v>Festive Gift Bundle</v>
      </c>
      <c r="C214" s="11" t="str">
        <f aca="false">IFERROR(INDEX(Lookup_Tables!$B$2:$B$26,MATCH(UPPER(TRIM(Raw_Data!C214)),Lookup_Tables!$C$2:$C$26,0)),"Unknown")</f>
        <v>Email</v>
      </c>
      <c r="D214" s="12" t="n">
        <f aca="false">IFERROR(IF(ISNUMBER(SEARCH("/",Raw_Data!D214)),DATE(VALUE(RIGHT(Raw_Data!D214,4)),VALUE(MID(Raw_Data!D214,FIND("/",Raw_Data!D214)+1,FIND("/",Raw_Data!D214,FIND("/",Raw_Data!D214)+1)-FIND("/",Raw_Data!D214)-1)),VALUE(LEFT(Raw_Data!D214,FIND("/",Raw_Data!D214)-1))),IF(ISNUMBER(VALUE(LEFT(Raw_Data!D214,4))),DATE(VALUE(LEFT(Raw_Data!D214,4)),VALUE(MID(Raw_Data!D214,6,2)),VALUE(MID(Raw_Data!D214,9,2))),DATEVALUE(Raw_Data!D214))),"")</f>
        <v>45555</v>
      </c>
      <c r="E214" s="12" t="n">
        <f aca="false">IFERROR(IF(ISNUMBER(SEARCH("/",Raw_Data!E214)),DATE(VALUE(RIGHT(Raw_Data!E214,4)),VALUE(MID(Raw_Data!E214,FIND("/",Raw_Data!E214)+1,FIND("/",Raw_Data!E214,FIND("/",Raw_Data!E214)+1)-FIND("/",Raw_Data!E214)-1)),VALUE(LEFT(Raw_Data!E214,FIND("/",Raw_Data!E214)-1))),IF(ISNUMBER(VALUE(LEFT(Raw_Data!E214,4))),DATE(VALUE(LEFT(Raw_Data!E214,4)),VALUE(MID(Raw_Data!E214,6,2)),VALUE(MID(Raw_Data!E214,9,2))),DATEVALUE(Raw_Data!E214))),"")</f>
        <v>45576</v>
      </c>
      <c r="F214" s="11" t="str">
        <f aca="false">Raw_Data!F214</f>
        <v>Female 35-44</v>
      </c>
      <c r="G214" s="11" t="str">
        <f aca="false">IF(TRIM(Raw_Data!G214)="","Unspecified",IFERROR(INDEX(Lookup_Tables!$F$2:$F$24,MATCH(UPPER(TRIM(Raw_Data!G214)),Lookup_Tables!$G$2:$G$24,0)),"Unknown"))</f>
        <v>North</v>
      </c>
      <c r="H214" s="11" t="n">
        <f aca="false">IF(Raw_Data!H214="",ROUND(AVERAGEIFS(Raw_Data!$H$2:$H$839,Raw_Data!$C$2:$C$839,Raw_Data!C214),2),Raw_Data!H214)</f>
        <v>7329.82</v>
      </c>
      <c r="I214" s="11" t="n">
        <f aca="false">Raw_Data!I214</f>
        <v>174883</v>
      </c>
      <c r="J214" s="11" t="n">
        <f aca="false">IF(Raw_Data!J214&lt;0,ABS(Raw_Data!J214),Raw_Data!J214)</f>
        <v>2985</v>
      </c>
      <c r="K214" s="11" t="n">
        <f aca="false">Raw_Data!K214</f>
        <v>146</v>
      </c>
      <c r="L214" s="11" t="n">
        <f aca="false">IF(Raw_Data!L214="",ROUND(AVERAGEIFS(Raw_Data!$L$2:$L$839,Raw_Data!$C$2:$C$839,Raw_Data!C214),2),Raw_Data!L214)</f>
        <v>201826.91</v>
      </c>
      <c r="M214" s="13" t="n">
        <f aca="false">IFERROR(J214/I214,0)</f>
        <v>0.017068554404945</v>
      </c>
      <c r="N214" s="14" t="n">
        <f aca="false">IFERROR(H214/J214,0)</f>
        <v>2.45555108877722</v>
      </c>
      <c r="O214" s="14" t="n">
        <f aca="false">IFERROR(H214/K214,0)</f>
        <v>50.2042465753425</v>
      </c>
      <c r="P214" s="15" t="n">
        <f aca="false">IFERROR(L214/H214,0)</f>
        <v>27.5350431524922</v>
      </c>
      <c r="Q214" s="13" t="n">
        <f aca="false">IFERROR(K214/J214,0)</f>
        <v>0.0489112227805695</v>
      </c>
      <c r="R214" s="11" t="str">
        <f aca="false">IF(COUNTIF($A$2:A214,A214)&gt;1,"Duplicate - Remove","Unique")</f>
        <v>Unique</v>
      </c>
      <c r="S214" s="11" t="str">
        <f aca="false">TRIM(IF(Raw_Data!G214="","Region missing; ","")&amp;IF(Raw_Data!H214="","Spend imputed; ","")&amp;IF(Raw_Data!L214="","Revenue imputed; ","")&amp;IF(Raw_Data!J214&lt;0,"Clicks corrected; ",""))</f>
        <v/>
      </c>
    </row>
    <row r="215" customFormat="false" ht="15" hidden="false" customHeight="true" outlineLevel="0" collapsed="false">
      <c r="A215" s="11" t="n">
        <f aca="false">Raw_Data!A215</f>
        <v>1776</v>
      </c>
      <c r="B215" s="11" t="str">
        <f aca="false">PROPER(TRIM(Raw_Data!B215))</f>
        <v>Influencer Collab - Skincare</v>
      </c>
      <c r="C215" s="11" t="str">
        <f aca="false">IFERROR(INDEX(Lookup_Tables!$B$2:$B$26,MATCH(UPPER(TRIM(Raw_Data!C215)),Lookup_Tables!$C$2:$C$26,0)),"Unknown")</f>
        <v>Email</v>
      </c>
      <c r="D215" s="12" t="n">
        <f aca="false">IFERROR(IF(ISNUMBER(SEARCH("/",Raw_Data!D215)),DATE(VALUE(RIGHT(Raw_Data!D215,4)),VALUE(MID(Raw_Data!D215,FIND("/",Raw_Data!D215)+1,FIND("/",Raw_Data!D215,FIND("/",Raw_Data!D215)+1)-FIND("/",Raw_Data!D215)-1)),VALUE(LEFT(Raw_Data!D215,FIND("/",Raw_Data!D215)-1))),IF(ISNUMBER(VALUE(LEFT(Raw_Data!D215,4))),DATE(VALUE(LEFT(Raw_Data!D215,4)),VALUE(MID(Raw_Data!D215,6,2)),VALUE(MID(Raw_Data!D215,9,2))),DATEVALUE(Raw_Data!D215))),"")</f>
        <v>45485</v>
      </c>
      <c r="E215" s="12" t="n">
        <f aca="false">IFERROR(IF(ISNUMBER(SEARCH("/",Raw_Data!E215)),DATE(VALUE(RIGHT(Raw_Data!E215,4)),VALUE(MID(Raw_Data!E215,FIND("/",Raw_Data!E215)+1,FIND("/",Raw_Data!E215,FIND("/",Raw_Data!E215)+1)-FIND("/",Raw_Data!E215)-1)),VALUE(LEFT(Raw_Data!E215,FIND("/",Raw_Data!E215)-1))),IF(ISNUMBER(VALUE(LEFT(Raw_Data!E215,4))),DATE(VALUE(LEFT(Raw_Data!E215,4)),VALUE(MID(Raw_Data!E215,6,2)),VALUE(MID(Raw_Data!E215,9,2))),DATEVALUE(Raw_Data!E215))),"")</f>
        <v>45500</v>
      </c>
      <c r="F215" s="11" t="str">
        <f aca="false">Raw_Data!F215</f>
        <v>Female 35-44</v>
      </c>
      <c r="G215" s="11" t="str">
        <f aca="false">IF(TRIM(Raw_Data!G215)="","Unspecified",IFERROR(INDEX(Lookup_Tables!$F$2:$F$24,MATCH(UPPER(TRIM(Raw_Data!G215)),Lookup_Tables!$G$2:$G$24,0)),"Unknown"))</f>
        <v>Central</v>
      </c>
      <c r="H215" s="11" t="n">
        <f aca="false">IF(Raw_Data!H215="",ROUND(AVERAGEIFS(Raw_Data!$H$2:$H$839,Raw_Data!$C$2:$C$839,Raw_Data!C215),2),Raw_Data!H215)</f>
        <v>5999.9</v>
      </c>
      <c r="I215" s="11" t="n">
        <f aca="false">Raw_Data!I215</f>
        <v>199714</v>
      </c>
      <c r="J215" s="11" t="n">
        <f aca="false">IF(Raw_Data!J215&lt;0,ABS(Raw_Data!J215),Raw_Data!J215)</f>
        <v>4804</v>
      </c>
      <c r="K215" s="11" t="n">
        <f aca="false">Raw_Data!K215</f>
        <v>96</v>
      </c>
      <c r="L215" s="11" t="n">
        <f aca="false">IF(Raw_Data!L215="",ROUND(AVERAGEIFS(Raw_Data!$L$2:$L$839,Raw_Data!$C$2:$C$839,Raw_Data!C215),2),Raw_Data!L215)</f>
        <v>139685.54</v>
      </c>
      <c r="M215" s="13" t="n">
        <f aca="false">IFERROR(J215/I215,0)</f>
        <v>0.024054397788838</v>
      </c>
      <c r="N215" s="14" t="n">
        <f aca="false">IFERROR(H215/J215,0)</f>
        <v>1.24893838467943</v>
      </c>
      <c r="O215" s="14" t="n">
        <f aca="false">IFERROR(H215/K215,0)</f>
        <v>62.4989583333333</v>
      </c>
      <c r="P215" s="15" t="n">
        <f aca="false">IFERROR(L215/H215,0)</f>
        <v>23.2813113551893</v>
      </c>
      <c r="Q215" s="13" t="n">
        <f aca="false">IFERROR(K215/J215,0)</f>
        <v>0.0199833472106578</v>
      </c>
      <c r="R215" s="11" t="str">
        <f aca="false">IF(COUNTIF($A$2:A215,A215)&gt;1,"Duplicate - Remove","Unique")</f>
        <v>Unique</v>
      </c>
      <c r="S215" s="11" t="str">
        <f aca="false">TRIM(IF(Raw_Data!G215="","Region missing; ","")&amp;IF(Raw_Data!H215="","Spend imputed; ","")&amp;IF(Raw_Data!L215="","Revenue imputed; ","")&amp;IF(Raw_Data!J215&lt;0,"Clicks corrected; ",""))</f>
        <v/>
      </c>
    </row>
    <row r="216" customFormat="false" ht="15" hidden="false" customHeight="true" outlineLevel="0" collapsed="false">
      <c r="A216" s="11" t="n">
        <f aca="false">Raw_Data!A216</f>
        <v>1761</v>
      </c>
      <c r="B216" s="11" t="str">
        <f aca="false">PROPER(TRIM(Raw_Data!B216))</f>
        <v>Back To College Offer</v>
      </c>
      <c r="C216" s="11" t="str">
        <f aca="false">IFERROR(INDEX(Lookup_Tables!$B$2:$B$26,MATCH(UPPER(TRIM(Raw_Data!C216)),Lookup_Tables!$C$2:$C$26,0)),"Unknown")</f>
        <v>Instagram</v>
      </c>
      <c r="D216" s="12" t="n">
        <f aca="false">IFERROR(IF(ISNUMBER(SEARCH("/",Raw_Data!D216)),DATE(VALUE(RIGHT(Raw_Data!D216,4)),VALUE(MID(Raw_Data!D216,FIND("/",Raw_Data!D216)+1,FIND("/",Raw_Data!D216,FIND("/",Raw_Data!D216)+1)-FIND("/",Raw_Data!D216)-1)),VALUE(LEFT(Raw_Data!D216,FIND("/",Raw_Data!D216)-1))),IF(ISNUMBER(VALUE(LEFT(Raw_Data!D216,4))),DATE(VALUE(LEFT(Raw_Data!D216,4)),VALUE(MID(Raw_Data!D216,6,2)),VALUE(MID(Raw_Data!D216,9,2))),DATEVALUE(Raw_Data!D216))),"")</f>
        <v>45508</v>
      </c>
      <c r="E216" s="12" t="n">
        <f aca="false">IFERROR(IF(ISNUMBER(SEARCH("/",Raw_Data!E216)),DATE(VALUE(RIGHT(Raw_Data!E216,4)),VALUE(MID(Raw_Data!E216,FIND("/",Raw_Data!E216)+1,FIND("/",Raw_Data!E216,FIND("/",Raw_Data!E216)+1)-FIND("/",Raw_Data!E216)-1)),VALUE(LEFT(Raw_Data!E216,FIND("/",Raw_Data!E216)-1))),IF(ISNUMBER(VALUE(LEFT(Raw_Data!E216,4))),DATE(VALUE(LEFT(Raw_Data!E216,4)),VALUE(MID(Raw_Data!E216,6,2)),VALUE(MID(Raw_Data!E216,9,2))),DATEVALUE(Raw_Data!E216))),"")</f>
        <v>45519</v>
      </c>
      <c r="F216" s="11" t="str">
        <f aca="false">Raw_Data!F216</f>
        <v>Female 25-34</v>
      </c>
      <c r="G216" s="11" t="str">
        <f aca="false">IF(TRIM(Raw_Data!G216)="","Unspecified",IFERROR(INDEX(Lookup_Tables!$F$2:$F$24,MATCH(UPPER(TRIM(Raw_Data!G216)),Lookup_Tables!$G$2:$G$24,0)),"Unknown"))</f>
        <v>Central</v>
      </c>
      <c r="H216" s="11" t="n">
        <f aca="false">IF(Raw_Data!H216="",ROUND(AVERAGEIFS(Raw_Data!$H$2:$H$839,Raw_Data!$C$2:$C$839,Raw_Data!C216),2),Raw_Data!H216)</f>
        <v>54348.2</v>
      </c>
      <c r="I216" s="11" t="n">
        <f aca="false">Raw_Data!I216</f>
        <v>1585020</v>
      </c>
      <c r="J216" s="11" t="n">
        <f aca="false">IF(Raw_Data!J216&lt;0,ABS(Raw_Data!J216),Raw_Data!J216)</f>
        <v>8393</v>
      </c>
      <c r="K216" s="11" t="n">
        <f aca="false">Raw_Data!K216</f>
        <v>282</v>
      </c>
      <c r="L216" s="11" t="n">
        <f aca="false">IF(Raw_Data!L216="",ROUND(AVERAGEIFS(Raw_Data!$L$2:$L$839,Raw_Data!$C$2:$C$839,Raw_Data!C216),2),Raw_Data!L216)</f>
        <v>354000.81</v>
      </c>
      <c r="M216" s="13" t="n">
        <f aca="false">IFERROR(J216/I216,0)</f>
        <v>0.00529520132238079</v>
      </c>
      <c r="N216" s="14" t="n">
        <f aca="false">IFERROR(H216/J216,0)</f>
        <v>6.47541999285119</v>
      </c>
      <c r="O216" s="14" t="n">
        <f aca="false">IFERROR(H216/K216,0)</f>
        <v>192.724113475177</v>
      </c>
      <c r="P216" s="15" t="n">
        <f aca="false">IFERROR(L216/H216,0)</f>
        <v>6.51357009063778</v>
      </c>
      <c r="Q216" s="13" t="n">
        <f aca="false">IFERROR(K216/J216,0)</f>
        <v>0.0335994280948409</v>
      </c>
      <c r="R216" s="11" t="str">
        <f aca="false">IF(COUNTIF($A$2:A216,A216)&gt;1,"Duplicate - Remove","Unique")</f>
        <v>Unique</v>
      </c>
      <c r="S216" s="11" t="str">
        <f aca="false">TRIM(IF(Raw_Data!G216="","Region missing; ","")&amp;IF(Raw_Data!H216="","Spend imputed; ","")&amp;IF(Raw_Data!L216="","Revenue imputed; ","")&amp;IF(Raw_Data!J216&lt;0,"Clicks corrected; ",""))</f>
        <v/>
      </c>
    </row>
    <row r="217" customFormat="false" ht="15" hidden="false" customHeight="true" outlineLevel="0" collapsed="false">
      <c r="A217" s="11" t="n">
        <f aca="false">Raw_Data!A217</f>
        <v>1436</v>
      </c>
      <c r="B217" s="11" t="str">
        <f aca="false">PROPER(TRIM(Raw_Data!B217))</f>
        <v>Festive Gift Bundle</v>
      </c>
      <c r="C217" s="11" t="str">
        <f aca="false">IFERROR(INDEX(Lookup_Tables!$B$2:$B$26,MATCH(UPPER(TRIM(Raw_Data!C217)),Lookup_Tables!$C$2:$C$26,0)),"Unknown")</f>
        <v>YouTube</v>
      </c>
      <c r="D217" s="12" t="n">
        <f aca="false">IFERROR(IF(ISNUMBER(SEARCH("/",Raw_Data!D217)),DATE(VALUE(RIGHT(Raw_Data!D217,4)),VALUE(MID(Raw_Data!D217,FIND("/",Raw_Data!D217)+1,FIND("/",Raw_Data!D217,FIND("/",Raw_Data!D217)+1)-FIND("/",Raw_Data!D217)-1)),VALUE(LEFT(Raw_Data!D217,FIND("/",Raw_Data!D217)-1))),IF(ISNUMBER(VALUE(LEFT(Raw_Data!D217,4))),DATE(VALUE(LEFT(Raw_Data!D217,4)),VALUE(MID(Raw_Data!D217,6,2)),VALUE(MID(Raw_Data!D217,9,2))),DATEVALUE(Raw_Data!D217))),"")</f>
        <v>45431</v>
      </c>
      <c r="E217" s="12" t="n">
        <f aca="false">IFERROR(IF(ISNUMBER(SEARCH("/",Raw_Data!E217)),DATE(VALUE(RIGHT(Raw_Data!E217,4)),VALUE(MID(Raw_Data!E217,FIND("/",Raw_Data!E217)+1,FIND("/",Raw_Data!E217,FIND("/",Raw_Data!E217)+1)-FIND("/",Raw_Data!E217)-1)),VALUE(LEFT(Raw_Data!E217,FIND("/",Raw_Data!E217)-1))),IF(ISNUMBER(VALUE(LEFT(Raw_Data!E217,4))),DATE(VALUE(LEFT(Raw_Data!E217,4)),VALUE(MID(Raw_Data!E217,6,2)),VALUE(MID(Raw_Data!E217,9,2))),DATEVALUE(Raw_Data!E217))),"")</f>
        <v>45440</v>
      </c>
      <c r="F217" s="11" t="str">
        <f aca="false">Raw_Data!F217</f>
        <v>Female 18-24</v>
      </c>
      <c r="G217" s="11" t="str">
        <f aca="false">IF(TRIM(Raw_Data!G217)="","Unspecified",IFERROR(INDEX(Lookup_Tables!$F$2:$F$24,MATCH(UPPER(TRIM(Raw_Data!G217)),Lookup_Tables!$G$2:$G$24,0)),"Unknown"))</f>
        <v>West</v>
      </c>
      <c r="H217" s="11" t="n">
        <f aca="false">IF(Raw_Data!H217="",ROUND(AVERAGEIFS(Raw_Data!$H$2:$H$839,Raw_Data!$C$2:$C$839,Raw_Data!C217),2),Raw_Data!H217)</f>
        <v>41856.52</v>
      </c>
      <c r="I217" s="11" t="n">
        <f aca="false">Raw_Data!I217</f>
        <v>854576</v>
      </c>
      <c r="J217" s="11" t="n">
        <f aca="false">IF(Raw_Data!J217&lt;0,ABS(Raw_Data!J217),Raw_Data!J217)</f>
        <v>5155</v>
      </c>
      <c r="K217" s="11" t="n">
        <f aca="false">Raw_Data!K217</f>
        <v>295</v>
      </c>
      <c r="L217" s="11" t="n">
        <f aca="false">IF(Raw_Data!L217="",ROUND(AVERAGEIFS(Raw_Data!$L$2:$L$839,Raw_Data!$C$2:$C$839,Raw_Data!C217),2),Raw_Data!L217)</f>
        <v>195715.22</v>
      </c>
      <c r="M217" s="13" t="n">
        <f aca="false">IFERROR(J217/I217,0)</f>
        <v>0.00603223118833199</v>
      </c>
      <c r="N217" s="14" t="n">
        <f aca="false">IFERROR(H217/J217,0)</f>
        <v>8.11959650824442</v>
      </c>
      <c r="O217" s="14" t="n">
        <f aca="false">IFERROR(H217/K217,0)</f>
        <v>141.886508474576</v>
      </c>
      <c r="P217" s="15" t="n">
        <f aca="false">IFERROR(L217/H217,0)</f>
        <v>4.67585981825532</v>
      </c>
      <c r="Q217" s="13" t="n">
        <f aca="false">IFERROR(K217/J217,0)</f>
        <v>0.0572259941804074</v>
      </c>
      <c r="R217" s="11" t="str">
        <f aca="false">IF(COUNTIF($A$2:A217,A217)&gt;1,"Duplicate - Remove","Unique")</f>
        <v>Unique</v>
      </c>
      <c r="S217" s="11" t="str">
        <f aca="false">TRIM(IF(Raw_Data!G217="","Region missing; ","")&amp;IF(Raw_Data!H217="","Spend imputed; ","")&amp;IF(Raw_Data!L217="","Revenue imputed; ","")&amp;IF(Raw_Data!J217&lt;0,"Clicks corrected; ",""))</f>
        <v/>
      </c>
    </row>
    <row r="218" customFormat="false" ht="15" hidden="false" customHeight="true" outlineLevel="0" collapsed="false">
      <c r="A218" s="11" t="n">
        <f aca="false">Raw_Data!A218</f>
        <v>1132</v>
      </c>
      <c r="B218" s="11" t="str">
        <f aca="false">PROPER(TRIM(Raw_Data!B218))</f>
        <v>Summer Glow Launch</v>
      </c>
      <c r="C218" s="11" t="str">
        <f aca="false">IFERROR(INDEX(Lookup_Tables!$B$2:$B$26,MATCH(UPPER(TRIM(Raw_Data!C218)),Lookup_Tables!$C$2:$C$26,0)),"Unknown")</f>
        <v>Email</v>
      </c>
      <c r="D218" s="12" t="n">
        <f aca="false">IFERROR(IF(ISNUMBER(SEARCH("/",Raw_Data!D218)),DATE(VALUE(RIGHT(Raw_Data!D218,4)),VALUE(MID(Raw_Data!D218,FIND("/",Raw_Data!D218)+1,FIND("/",Raw_Data!D218,FIND("/",Raw_Data!D218)+1)-FIND("/",Raw_Data!D218)-1)),VALUE(LEFT(Raw_Data!D218,FIND("/",Raw_Data!D218)-1))),IF(ISNUMBER(VALUE(LEFT(Raw_Data!D218,4))),DATE(VALUE(LEFT(Raw_Data!D218,4)),VALUE(MID(Raw_Data!D218,6,2)),VALUE(MID(Raw_Data!D218,9,2))),DATEVALUE(Raw_Data!D218))),"")</f>
        <v>45520</v>
      </c>
      <c r="E218" s="12" t="n">
        <f aca="false">IFERROR(IF(ISNUMBER(SEARCH("/",Raw_Data!E218)),DATE(VALUE(RIGHT(Raw_Data!E218,4)),VALUE(MID(Raw_Data!E218,FIND("/",Raw_Data!E218)+1,FIND("/",Raw_Data!E218,FIND("/",Raw_Data!E218)+1)-FIND("/",Raw_Data!E218)-1)),VALUE(LEFT(Raw_Data!E218,FIND("/",Raw_Data!E218)-1))),IF(ISNUMBER(VALUE(LEFT(Raw_Data!E218,4))),DATE(VALUE(LEFT(Raw_Data!E218,4)),VALUE(MID(Raw_Data!E218,6,2)),VALUE(MID(Raw_Data!E218,9,2))),DATEVALUE(Raw_Data!E218))),"")</f>
        <v>45536</v>
      </c>
      <c r="F218" s="11" t="str">
        <f aca="false">Raw_Data!F218</f>
        <v>Male 18-24</v>
      </c>
      <c r="G218" s="11" t="str">
        <f aca="false">IF(TRIM(Raw_Data!G218)="","Unspecified",IFERROR(INDEX(Lookup_Tables!$F$2:$F$24,MATCH(UPPER(TRIM(Raw_Data!G218)),Lookup_Tables!$G$2:$G$24,0)),"Unknown"))</f>
        <v>Central</v>
      </c>
      <c r="H218" s="11" t="n">
        <f aca="false">IF(Raw_Data!H218="",ROUND(AVERAGEIFS(Raw_Data!$H$2:$H$839,Raw_Data!$C$2:$C$839,Raw_Data!C218),2),Raw_Data!H218)</f>
        <v>4241.44</v>
      </c>
      <c r="I218" s="11" t="n">
        <f aca="false">Raw_Data!I218</f>
        <v>135678</v>
      </c>
      <c r="J218" s="11" t="n">
        <f aca="false">IF(Raw_Data!J218&lt;0,ABS(Raw_Data!J218),Raw_Data!J218)</f>
        <v>3488</v>
      </c>
      <c r="K218" s="11" t="n">
        <f aca="false">Raw_Data!K218</f>
        <v>71</v>
      </c>
      <c r="L218" s="11" t="n">
        <f aca="false">IF(Raw_Data!L218="",ROUND(AVERAGEIFS(Raw_Data!$L$2:$L$839,Raw_Data!$C$2:$C$839,Raw_Data!C218),2),Raw_Data!L218)</f>
        <v>127563.5</v>
      </c>
      <c r="M218" s="13" t="n">
        <f aca="false">IFERROR(J218/I218,0)</f>
        <v>0.025707926119194</v>
      </c>
      <c r="N218" s="14" t="n">
        <f aca="false">IFERROR(H218/J218,0)</f>
        <v>1.21600917431193</v>
      </c>
      <c r="O218" s="14" t="n">
        <f aca="false">IFERROR(H218/K218,0)</f>
        <v>59.7385915492958</v>
      </c>
      <c r="P218" s="15" t="n">
        <f aca="false">IFERROR(L218/H218,0)</f>
        <v>30.0755168056132</v>
      </c>
      <c r="Q218" s="13" t="n">
        <f aca="false">IFERROR(K218/J218,0)</f>
        <v>0.020355504587156</v>
      </c>
      <c r="R218" s="11" t="str">
        <f aca="false">IF(COUNTIF($A$2:A218,A218)&gt;1,"Duplicate - Remove","Unique")</f>
        <v>Unique</v>
      </c>
      <c r="S218" s="11" t="str">
        <f aca="false">TRIM(IF(Raw_Data!G218="","Region missing; ","")&amp;IF(Raw_Data!H218="","Spend imputed; ","")&amp;IF(Raw_Data!L218="","Revenue imputed; ","")&amp;IF(Raw_Data!J218&lt;0,"Clicks corrected; ",""))</f>
        <v/>
      </c>
    </row>
    <row r="219" customFormat="false" ht="15" hidden="false" customHeight="true" outlineLevel="0" collapsed="false">
      <c r="A219" s="11" t="n">
        <f aca="false">Raw_Data!A219</f>
        <v>1171</v>
      </c>
      <c r="B219" s="11" t="str">
        <f aca="false">PROPER(TRIM(Raw_Data!B219))</f>
        <v>Baby Care Trust Campaign</v>
      </c>
      <c r="C219" s="11" t="str">
        <f aca="false">IFERROR(INDEX(Lookup_Tables!$B$2:$B$26,MATCH(UPPER(TRIM(Raw_Data!C219)),Lookup_Tables!$C$2:$C$26,0)),"Unknown")</f>
        <v>Email</v>
      </c>
      <c r="D219" s="12" t="n">
        <f aca="false">IFERROR(IF(ISNUMBER(SEARCH("/",Raw_Data!D219)),DATE(VALUE(RIGHT(Raw_Data!D219,4)),VALUE(MID(Raw_Data!D219,FIND("/",Raw_Data!D219)+1,FIND("/",Raw_Data!D219,FIND("/",Raw_Data!D219)+1)-FIND("/",Raw_Data!D219)-1)),VALUE(LEFT(Raw_Data!D219,FIND("/",Raw_Data!D219)-1))),IF(ISNUMBER(VALUE(LEFT(Raw_Data!D219,4))),DATE(VALUE(LEFT(Raw_Data!D219,4)),VALUE(MID(Raw_Data!D219,6,2)),VALUE(MID(Raw_Data!D219,9,2))),DATEVALUE(Raw_Data!D219))),"")</f>
        <v>45501</v>
      </c>
      <c r="E219" s="12" t="n">
        <f aca="false">IFERROR(IF(ISNUMBER(SEARCH("/",Raw_Data!E219)),DATE(VALUE(RIGHT(Raw_Data!E219,4)),VALUE(MID(Raw_Data!E219,FIND("/",Raw_Data!E219)+1,FIND("/",Raw_Data!E219,FIND("/",Raw_Data!E219)+1)-FIND("/",Raw_Data!E219)-1)),VALUE(LEFT(Raw_Data!E219,FIND("/",Raw_Data!E219)-1))),IF(ISNUMBER(VALUE(LEFT(Raw_Data!E219,4))),DATE(VALUE(LEFT(Raw_Data!E219,4)),VALUE(MID(Raw_Data!E219,6,2)),VALUE(MID(Raw_Data!E219,9,2))),DATEVALUE(Raw_Data!E219))),"")</f>
        <v>45528</v>
      </c>
      <c r="F219" s="11" t="str">
        <f aca="false">Raw_Data!F219</f>
        <v>Male 18-24</v>
      </c>
      <c r="G219" s="11" t="str">
        <f aca="false">IF(TRIM(Raw_Data!G219)="","Unspecified",IFERROR(INDEX(Lookup_Tables!$F$2:$F$24,MATCH(UPPER(TRIM(Raw_Data!G219)),Lookup_Tables!$G$2:$G$24,0)),"Unknown"))</f>
        <v>North</v>
      </c>
      <c r="H219" s="11" t="n">
        <f aca="false">IF(Raw_Data!H219="",ROUND(AVERAGEIFS(Raw_Data!$H$2:$H$839,Raw_Data!$C$2:$C$839,Raw_Data!C219),2),Raw_Data!H219)</f>
        <v>6054.27</v>
      </c>
      <c r="I219" s="11" t="n">
        <f aca="false">Raw_Data!I219</f>
        <v>201300</v>
      </c>
      <c r="J219" s="11" t="n">
        <f aca="false">IF(Raw_Data!J219&lt;0,ABS(Raw_Data!J219),Raw_Data!J219)</f>
        <v>2608</v>
      </c>
      <c r="K219" s="11" t="n">
        <f aca="false">Raw_Data!K219</f>
        <v>77</v>
      </c>
      <c r="L219" s="11" t="n">
        <f aca="false">IF(Raw_Data!L219="",ROUND(AVERAGEIFS(Raw_Data!$L$2:$L$839,Raw_Data!$C$2:$C$839,Raw_Data!C219),2),Raw_Data!L219)</f>
        <v>53472.27</v>
      </c>
      <c r="M219" s="13" t="n">
        <f aca="false">IFERROR(J219/I219,0)</f>
        <v>0.0129557873820169</v>
      </c>
      <c r="N219" s="14" t="n">
        <f aca="false">IFERROR(H219/J219,0)</f>
        <v>2.32142254601227</v>
      </c>
      <c r="O219" s="14" t="n">
        <f aca="false">IFERROR(H219/K219,0)</f>
        <v>78.6268831168831</v>
      </c>
      <c r="P219" s="15" t="n">
        <f aca="false">IFERROR(L219/H219,0)</f>
        <v>8.83215812971671</v>
      </c>
      <c r="Q219" s="13" t="n">
        <f aca="false">IFERROR(K219/J219,0)</f>
        <v>0.0295245398773006</v>
      </c>
      <c r="R219" s="11" t="str">
        <f aca="false">IF(COUNTIF($A$2:A219,A219)&gt;1,"Duplicate - Remove","Unique")</f>
        <v>Unique</v>
      </c>
      <c r="S219" s="11" t="str">
        <f aca="false">TRIM(IF(Raw_Data!G219="","Region missing; ","")&amp;IF(Raw_Data!H219="","Spend imputed; ","")&amp;IF(Raw_Data!L219="","Revenue imputed; ","")&amp;IF(Raw_Data!J219&lt;0,"Clicks corrected; ",""))</f>
        <v/>
      </c>
    </row>
    <row r="220" customFormat="false" ht="15" hidden="false" customHeight="true" outlineLevel="0" collapsed="false">
      <c r="A220" s="11" t="n">
        <f aca="false">Raw_Data!A220</f>
        <v>1281</v>
      </c>
      <c r="B220" s="11" t="str">
        <f aca="false">PROPER(TRIM(Raw_Data!B220))</f>
        <v>Herbal Range Awareness</v>
      </c>
      <c r="C220" s="11" t="str">
        <f aca="false">IFERROR(INDEX(Lookup_Tables!$B$2:$B$26,MATCH(UPPER(TRIM(Raw_Data!C220)),Lookup_Tables!$C$2:$C$26,0)),"Unknown")</f>
        <v>YouTube</v>
      </c>
      <c r="D220" s="12" t="n">
        <f aca="false">IFERROR(IF(ISNUMBER(SEARCH("/",Raw_Data!D220)),DATE(VALUE(RIGHT(Raw_Data!D220,4)),VALUE(MID(Raw_Data!D220,FIND("/",Raw_Data!D220)+1,FIND("/",Raw_Data!D220,FIND("/",Raw_Data!D220)+1)-FIND("/",Raw_Data!D220)-1)),VALUE(LEFT(Raw_Data!D220,FIND("/",Raw_Data!D220)-1))),IF(ISNUMBER(VALUE(LEFT(Raw_Data!D220,4))),DATE(VALUE(LEFT(Raw_Data!D220,4)),VALUE(MID(Raw_Data!D220,6,2)),VALUE(MID(Raw_Data!D220,9,2))),DATEVALUE(Raw_Data!D220))),"")</f>
        <v>45604</v>
      </c>
      <c r="E220" s="12" t="n">
        <f aca="false">IFERROR(IF(ISNUMBER(SEARCH("/",Raw_Data!E220)),DATE(VALUE(RIGHT(Raw_Data!E220,4)),VALUE(MID(Raw_Data!E220,FIND("/",Raw_Data!E220)+1,FIND("/",Raw_Data!E220,FIND("/",Raw_Data!E220)+1)-FIND("/",Raw_Data!E220)-1)),VALUE(LEFT(Raw_Data!E220,FIND("/",Raw_Data!E220)-1))),IF(ISNUMBER(VALUE(LEFT(Raw_Data!E220,4))),DATE(VALUE(LEFT(Raw_Data!E220,4)),VALUE(MID(Raw_Data!E220,6,2)),VALUE(MID(Raw_Data!E220,9,2))),DATEVALUE(Raw_Data!E220))),"")</f>
        <v>45630</v>
      </c>
      <c r="F220" s="11" t="str">
        <f aca="false">Raw_Data!F220</f>
        <v>Male 25-34</v>
      </c>
      <c r="G220" s="11" t="str">
        <f aca="false">IF(TRIM(Raw_Data!G220)="","Unspecified",IFERROR(INDEX(Lookup_Tables!$F$2:$F$24,MATCH(UPPER(TRIM(Raw_Data!G220)),Lookup_Tables!$G$2:$G$24,0)),"Unknown"))</f>
        <v>West</v>
      </c>
      <c r="H220" s="11" t="n">
        <f aca="false">IF(Raw_Data!H220="",ROUND(AVERAGEIFS(Raw_Data!$H$2:$H$839,Raw_Data!$C$2:$C$839,Raw_Data!C220),2),Raw_Data!H220)</f>
        <v>67488.51</v>
      </c>
      <c r="I220" s="11" t="n">
        <f aca="false">Raw_Data!I220</f>
        <v>1977890</v>
      </c>
      <c r="J220" s="11" t="n">
        <f aca="false">IF(Raw_Data!J220&lt;0,ABS(Raw_Data!J220),Raw_Data!J220)</f>
        <v>43247</v>
      </c>
      <c r="K220" s="11" t="n">
        <f aca="false">Raw_Data!K220</f>
        <v>3357</v>
      </c>
      <c r="L220" s="11" t="n">
        <f aca="false">IF(Raw_Data!L220="",ROUND(AVERAGEIFS(Raw_Data!$L$2:$L$839,Raw_Data!$C$2:$C$839,Raw_Data!C220),2),Raw_Data!L220)</f>
        <v>4822449.58</v>
      </c>
      <c r="M220" s="13" t="n">
        <f aca="false">IFERROR(J220/I220,0)</f>
        <v>0.0218652200071794</v>
      </c>
      <c r="N220" s="14" t="n">
        <f aca="false">IFERROR(H220/J220,0)</f>
        <v>1.5605362221657</v>
      </c>
      <c r="O220" s="14" t="n">
        <f aca="false">IFERROR(H220/K220,0)</f>
        <v>20.1038159070599</v>
      </c>
      <c r="P220" s="15" t="n">
        <f aca="false">IFERROR(L220/H220,0)</f>
        <v>71.4558608569074</v>
      </c>
      <c r="Q220" s="13" t="n">
        <f aca="false">IFERROR(K220/J220,0)</f>
        <v>0.0776238814253012</v>
      </c>
      <c r="R220" s="11" t="str">
        <f aca="false">IF(COUNTIF($A$2:A220,A220)&gt;1,"Duplicate - Remove","Unique")</f>
        <v>Unique</v>
      </c>
      <c r="S220" s="11" t="str">
        <f aca="false">TRIM(IF(Raw_Data!G220="","Region missing; ","")&amp;IF(Raw_Data!H220="","Spend imputed; ","")&amp;IF(Raw_Data!L220="","Revenue imputed; ","")&amp;IF(Raw_Data!J220&lt;0,"Clicks corrected; ",""))</f>
        <v/>
      </c>
    </row>
    <row r="221" customFormat="false" ht="15" hidden="false" customHeight="true" outlineLevel="0" collapsed="false">
      <c r="A221" s="11" t="n">
        <f aca="false">Raw_Data!A221</f>
        <v>1001</v>
      </c>
      <c r="B221" s="11" t="str">
        <f aca="false">PROPER(TRIM(Raw_Data!B221))</f>
        <v>Clearance Sale Push</v>
      </c>
      <c r="C221" s="11" t="str">
        <f aca="false">IFERROR(INDEX(Lookup_Tables!$B$2:$B$26,MATCH(UPPER(TRIM(Raw_Data!C221)),Lookup_Tables!$C$2:$C$26,0)),"Unknown")</f>
        <v>Instagram</v>
      </c>
      <c r="D221" s="12" t="n">
        <f aca="false">IFERROR(IF(ISNUMBER(SEARCH("/",Raw_Data!D221)),DATE(VALUE(RIGHT(Raw_Data!D221,4)),VALUE(MID(Raw_Data!D221,FIND("/",Raw_Data!D221)+1,FIND("/",Raw_Data!D221,FIND("/",Raw_Data!D221)+1)-FIND("/",Raw_Data!D221)-1)),VALUE(LEFT(Raw_Data!D221,FIND("/",Raw_Data!D221)-1))),IF(ISNUMBER(VALUE(LEFT(Raw_Data!D221,4))),DATE(VALUE(LEFT(Raw_Data!D221,4)),VALUE(MID(Raw_Data!D221,6,2)),VALUE(MID(Raw_Data!D221,9,2))),DATEVALUE(Raw_Data!D221))),"")</f>
        <v>45308</v>
      </c>
      <c r="E221" s="12" t="n">
        <f aca="false">IFERROR(IF(ISNUMBER(SEARCH("/",Raw_Data!E221)),DATE(VALUE(RIGHT(Raw_Data!E221,4)),VALUE(MID(Raw_Data!E221,FIND("/",Raw_Data!E221)+1,FIND("/",Raw_Data!E221,FIND("/",Raw_Data!E221)+1)-FIND("/",Raw_Data!E221)-1)),VALUE(LEFT(Raw_Data!E221,FIND("/",Raw_Data!E221)-1))),IF(ISNUMBER(VALUE(LEFT(Raw_Data!E221,4))),DATE(VALUE(LEFT(Raw_Data!E221,4)),VALUE(MID(Raw_Data!E221,6,2)),VALUE(MID(Raw_Data!E221,9,2))),DATEVALUE(Raw_Data!E221))),"")</f>
        <v>45313</v>
      </c>
      <c r="F221" s="11" t="str">
        <f aca="false">Raw_Data!F221</f>
        <v>Female 45+</v>
      </c>
      <c r="G221" s="11" t="str">
        <f aca="false">IF(TRIM(Raw_Data!G221)="","Unspecified",IFERROR(INDEX(Lookup_Tables!$F$2:$F$24,MATCH(UPPER(TRIM(Raw_Data!G221)),Lookup_Tables!$G$2:$G$24,0)),"Unknown"))</f>
        <v>North</v>
      </c>
      <c r="H221" s="11" t="n">
        <f aca="false">IF(Raw_Data!H221="",ROUND(AVERAGEIFS(Raw_Data!$H$2:$H$839,Raw_Data!$C$2:$C$839,Raw_Data!C221),2),Raw_Data!H221)</f>
        <v>19369.17</v>
      </c>
      <c r="I221" s="11" t="n">
        <f aca="false">Raw_Data!I221</f>
        <v>535245</v>
      </c>
      <c r="J221" s="11" t="n">
        <f aca="false">IF(Raw_Data!J221&lt;0,ABS(Raw_Data!J221),Raw_Data!J221)</f>
        <v>3102</v>
      </c>
      <c r="K221" s="11" t="n">
        <f aca="false">Raw_Data!K221</f>
        <v>74</v>
      </c>
      <c r="L221" s="11" t="n">
        <f aca="false">IF(Raw_Data!L221="",ROUND(AVERAGEIFS(Raw_Data!$L$2:$L$839,Raw_Data!$C$2:$C$839,Raw_Data!C221),2),Raw_Data!L221)</f>
        <v>95632.6</v>
      </c>
      <c r="M221" s="13" t="n">
        <f aca="false">IFERROR(J221/I221,0)</f>
        <v>0.00579547683770983</v>
      </c>
      <c r="N221" s="14" t="n">
        <f aca="false">IFERROR(H221/J221,0)</f>
        <v>6.24409090909091</v>
      </c>
      <c r="O221" s="14" t="n">
        <f aca="false">IFERROR(H221/K221,0)</f>
        <v>261.745540540541</v>
      </c>
      <c r="P221" s="15" t="n">
        <f aca="false">IFERROR(L221/H221,0)</f>
        <v>4.93736179712399</v>
      </c>
      <c r="Q221" s="13" t="n">
        <f aca="false">IFERROR(K221/J221,0)</f>
        <v>0.0238555770470664</v>
      </c>
      <c r="R221" s="11" t="str">
        <f aca="false">IF(COUNTIF($A$2:A221,A221)&gt;1,"Duplicate - Remove","Unique")</f>
        <v>Unique</v>
      </c>
      <c r="S221" s="11" t="str">
        <f aca="false">TRIM(IF(Raw_Data!G221="","Region missing; ","")&amp;IF(Raw_Data!H221="","Spend imputed; ","")&amp;IF(Raw_Data!L221="","Revenue imputed; ","")&amp;IF(Raw_Data!J221&lt;0,"Clicks corrected; ",""))</f>
        <v/>
      </c>
    </row>
    <row r="222" customFormat="false" ht="15" hidden="false" customHeight="true" outlineLevel="0" collapsed="false">
      <c r="A222" s="11" t="n">
        <f aca="false">Raw_Data!A222</f>
        <v>1058</v>
      </c>
      <c r="B222" s="11" t="str">
        <f aca="false">PROPER(TRIM(Raw_Data!B222))</f>
        <v>New Year Wellness</v>
      </c>
      <c r="C222" s="11" t="str">
        <f aca="false">IFERROR(INDEX(Lookup_Tables!$B$2:$B$26,MATCH(UPPER(TRIM(Raw_Data!C222)),Lookup_Tables!$C$2:$C$26,0)),"Unknown")</f>
        <v>Instagram</v>
      </c>
      <c r="D222" s="12" t="n">
        <f aca="false">IFERROR(IF(ISNUMBER(SEARCH("/",Raw_Data!D222)),DATE(VALUE(RIGHT(Raw_Data!D222,4)),VALUE(MID(Raw_Data!D222,FIND("/",Raw_Data!D222)+1,FIND("/",Raw_Data!D222,FIND("/",Raw_Data!D222)+1)-FIND("/",Raw_Data!D222)-1)),VALUE(LEFT(Raw_Data!D222,FIND("/",Raw_Data!D222)-1))),IF(ISNUMBER(VALUE(LEFT(Raw_Data!D222,4))),DATE(VALUE(LEFT(Raw_Data!D222,4)),VALUE(MID(Raw_Data!D222,6,2)),VALUE(MID(Raw_Data!D222,9,2))),DATEVALUE(Raw_Data!D222))),"")</f>
        <v>45433</v>
      </c>
      <c r="E222" s="12" t="n">
        <f aca="false">IFERROR(IF(ISNUMBER(SEARCH("/",Raw_Data!E222)),DATE(VALUE(RIGHT(Raw_Data!E222,4)),VALUE(MID(Raw_Data!E222,FIND("/",Raw_Data!E222)+1,FIND("/",Raw_Data!E222,FIND("/",Raw_Data!E222)+1)-FIND("/",Raw_Data!E222)-1)),VALUE(LEFT(Raw_Data!E222,FIND("/",Raw_Data!E222)-1))),IF(ISNUMBER(VALUE(LEFT(Raw_Data!E222,4))),DATE(VALUE(LEFT(Raw_Data!E222,4)),VALUE(MID(Raw_Data!E222,6,2)),VALUE(MID(Raw_Data!E222,9,2))),DATEVALUE(Raw_Data!E222))),"")</f>
        <v>45442</v>
      </c>
      <c r="F222" s="11" t="str">
        <f aca="false">Raw_Data!F222</f>
        <v>Female 18-24</v>
      </c>
      <c r="G222" s="11" t="str">
        <f aca="false">IF(TRIM(Raw_Data!G222)="","Unspecified",IFERROR(INDEX(Lookup_Tables!$F$2:$F$24,MATCH(UPPER(TRIM(Raw_Data!G222)),Lookup_Tables!$G$2:$G$24,0)),"Unknown"))</f>
        <v>South</v>
      </c>
      <c r="H222" s="11" t="n">
        <f aca="false">IF(Raw_Data!H222="",ROUND(AVERAGEIFS(Raw_Data!$H$2:$H$839,Raw_Data!$C$2:$C$839,Raw_Data!C222),2),Raw_Data!H222)</f>
        <v>36091.2</v>
      </c>
      <c r="I222" s="11" t="n">
        <f aca="false">Raw_Data!I222</f>
        <v>1261851</v>
      </c>
      <c r="J222" s="11" t="n">
        <f aca="false">IF(Raw_Data!J222&lt;0,ABS(Raw_Data!J222),Raw_Data!J222)</f>
        <v>10470</v>
      </c>
      <c r="K222" s="11" t="n">
        <f aca="false">Raw_Data!K222</f>
        <v>739</v>
      </c>
      <c r="L222" s="11" t="n">
        <f aca="false">IF(Raw_Data!L222="",ROUND(AVERAGEIFS(Raw_Data!$L$2:$L$839,Raw_Data!$C$2:$C$839,Raw_Data!C222),2),Raw_Data!L222)</f>
        <v>399883.75</v>
      </c>
      <c r="M222" s="13" t="n">
        <f aca="false">IFERROR(J222/I222,0)</f>
        <v>0.0082973346298414</v>
      </c>
      <c r="N222" s="14" t="n">
        <f aca="false">IFERROR(H222/J222,0)</f>
        <v>3.44710601719198</v>
      </c>
      <c r="O222" s="14" t="n">
        <f aca="false">IFERROR(H222/K222,0)</f>
        <v>48.8378890392422</v>
      </c>
      <c r="P222" s="15" t="n">
        <f aca="false">IFERROR(L222/H222,0)</f>
        <v>11.07981308463</v>
      </c>
      <c r="Q222" s="13" t="n">
        <f aca="false">IFERROR(K222/J222,0)</f>
        <v>0.0705826170009551</v>
      </c>
      <c r="R222" s="11" t="str">
        <f aca="false">IF(COUNTIF($A$2:A222,A222)&gt;1,"Duplicate - Remove","Unique")</f>
        <v>Unique</v>
      </c>
      <c r="S222" s="11" t="str">
        <f aca="false">TRIM(IF(Raw_Data!G222="","Region missing; ","")&amp;IF(Raw_Data!H222="","Spend imputed; ","")&amp;IF(Raw_Data!L222="","Revenue imputed; ","")&amp;IF(Raw_Data!J222&lt;0,"Clicks corrected; ",""))</f>
        <v/>
      </c>
    </row>
    <row r="223" customFormat="false" ht="15" hidden="false" customHeight="true" outlineLevel="0" collapsed="false">
      <c r="A223" s="11" t="n">
        <f aca="false">Raw_Data!A223</f>
        <v>1712</v>
      </c>
      <c r="B223" s="11" t="str">
        <f aca="false">PROPER(TRIM(Raw_Data!B223))</f>
        <v>Anti-Ageing Serum Push</v>
      </c>
      <c r="C223" s="11" t="str">
        <f aca="false">IFERROR(INDEX(Lookup_Tables!$B$2:$B$26,MATCH(UPPER(TRIM(Raw_Data!C223)),Lookup_Tables!$C$2:$C$26,0)),"Unknown")</f>
        <v>Email</v>
      </c>
      <c r="D223" s="12" t="n">
        <f aca="false">IFERROR(IF(ISNUMBER(SEARCH("/",Raw_Data!D223)),DATE(VALUE(RIGHT(Raw_Data!D223,4)),VALUE(MID(Raw_Data!D223,FIND("/",Raw_Data!D223)+1,FIND("/",Raw_Data!D223,FIND("/",Raw_Data!D223)+1)-FIND("/",Raw_Data!D223)-1)),VALUE(LEFT(Raw_Data!D223,FIND("/",Raw_Data!D223)-1))),IF(ISNUMBER(VALUE(LEFT(Raw_Data!D223,4))),DATE(VALUE(LEFT(Raw_Data!D223,4)),VALUE(MID(Raw_Data!D223,6,2)),VALUE(MID(Raw_Data!D223,9,2))),DATEVALUE(Raw_Data!D223))),"")</f>
        <v>45500</v>
      </c>
      <c r="E223" s="12" t="n">
        <f aca="false">IFERROR(IF(ISNUMBER(SEARCH("/",Raw_Data!E223)),DATE(VALUE(RIGHT(Raw_Data!E223,4)),VALUE(MID(Raw_Data!E223,FIND("/",Raw_Data!E223)+1,FIND("/",Raw_Data!E223,FIND("/",Raw_Data!E223)+1)-FIND("/",Raw_Data!E223)-1)),VALUE(LEFT(Raw_Data!E223,FIND("/",Raw_Data!E223)-1))),IF(ISNUMBER(VALUE(LEFT(Raw_Data!E223,4))),DATE(VALUE(LEFT(Raw_Data!E223,4)),VALUE(MID(Raw_Data!E223,6,2)),VALUE(MID(Raw_Data!E223,9,2))),DATEVALUE(Raw_Data!E223))),"")</f>
        <v>45527</v>
      </c>
      <c r="F223" s="11" t="str">
        <f aca="false">Raw_Data!F223</f>
        <v>Female 45+</v>
      </c>
      <c r="G223" s="11" t="str">
        <f aca="false">IF(TRIM(Raw_Data!G223)="","Unspecified",IFERROR(INDEX(Lookup_Tables!$F$2:$F$24,MATCH(UPPER(TRIM(Raw_Data!G223)),Lookup_Tables!$G$2:$G$24,0)),"Unknown"))</f>
        <v>West</v>
      </c>
      <c r="H223" s="11" t="n">
        <f aca="false">IF(Raw_Data!H223="",ROUND(AVERAGEIFS(Raw_Data!$H$2:$H$839,Raw_Data!$C$2:$C$839,Raw_Data!C223),2),Raw_Data!H223)</f>
        <v>1926.38</v>
      </c>
      <c r="I223" s="11" t="n">
        <f aca="false">Raw_Data!I223</f>
        <v>45570</v>
      </c>
      <c r="J223" s="11" t="n">
        <f aca="false">IF(Raw_Data!J223&lt;0,ABS(Raw_Data!J223),Raw_Data!J223)</f>
        <v>585</v>
      </c>
      <c r="K223" s="11" t="n">
        <f aca="false">Raw_Data!K223</f>
        <v>13</v>
      </c>
      <c r="L223" s="11" t="n">
        <f aca="false">IF(Raw_Data!L223="",ROUND(AVERAGEIFS(Raw_Data!$L$2:$L$839,Raw_Data!$C$2:$C$839,Raw_Data!C223),2),Raw_Data!L223)</f>
        <v>9858.94</v>
      </c>
      <c r="M223" s="13" t="n">
        <f aca="false">IFERROR(J223/I223,0)</f>
        <v>0.0128373930217248</v>
      </c>
      <c r="N223" s="14" t="n">
        <f aca="false">IFERROR(H223/J223,0)</f>
        <v>3.29295726495727</v>
      </c>
      <c r="O223" s="14" t="n">
        <f aca="false">IFERROR(H223/K223,0)</f>
        <v>148.183076923077</v>
      </c>
      <c r="P223" s="15" t="n">
        <f aca="false">IFERROR(L223/H223,0)</f>
        <v>5.11785836646975</v>
      </c>
      <c r="Q223" s="13" t="n">
        <f aca="false">IFERROR(K223/J223,0)</f>
        <v>0.0222222222222222</v>
      </c>
      <c r="R223" s="11" t="str">
        <f aca="false">IF(COUNTIF($A$2:A223,A223)&gt;1,"Duplicate - Remove","Unique")</f>
        <v>Unique</v>
      </c>
      <c r="S223" s="11" t="str">
        <f aca="false">TRIM(IF(Raw_Data!G223="","Region missing; ","")&amp;IF(Raw_Data!H223="","Spend imputed; ","")&amp;IF(Raw_Data!L223="","Revenue imputed; ","")&amp;IF(Raw_Data!J223&lt;0,"Clicks corrected; ",""))</f>
        <v/>
      </c>
    </row>
    <row r="224" customFormat="false" ht="15" hidden="false" customHeight="true" outlineLevel="0" collapsed="false">
      <c r="A224" s="11" t="n">
        <f aca="false">Raw_Data!A224</f>
        <v>1762</v>
      </c>
      <c r="B224" s="11" t="str">
        <f aca="false">PROPER(TRIM(Raw_Data!B224))</f>
        <v>Baby Care Trust Campaign</v>
      </c>
      <c r="C224" s="11" t="str">
        <f aca="false">IFERROR(INDEX(Lookup_Tables!$B$2:$B$26,MATCH(UPPER(TRIM(Raw_Data!C224)),Lookup_Tables!$C$2:$C$26,0)),"Unknown")</f>
        <v>YouTube</v>
      </c>
      <c r="D224" s="12" t="n">
        <f aca="false">IFERROR(IF(ISNUMBER(SEARCH("/",Raw_Data!D224)),DATE(VALUE(RIGHT(Raw_Data!D224,4)),VALUE(MID(Raw_Data!D224,FIND("/",Raw_Data!D224)+1,FIND("/",Raw_Data!D224,FIND("/",Raw_Data!D224)+1)-FIND("/",Raw_Data!D224)-1)),VALUE(LEFT(Raw_Data!D224,FIND("/",Raw_Data!D224)-1))),IF(ISNUMBER(VALUE(LEFT(Raw_Data!D224,4))),DATE(VALUE(LEFT(Raw_Data!D224,4)),VALUE(MID(Raw_Data!D224,6,2)),VALUE(MID(Raw_Data!D224,9,2))),DATEVALUE(Raw_Data!D224))),"")</f>
        <v>45404</v>
      </c>
      <c r="E224" s="12" t="n">
        <f aca="false">IFERROR(IF(ISNUMBER(SEARCH("/",Raw_Data!E224)),DATE(VALUE(RIGHT(Raw_Data!E224,4)),VALUE(MID(Raw_Data!E224,FIND("/",Raw_Data!E224)+1,FIND("/",Raw_Data!E224,FIND("/",Raw_Data!E224)+1)-FIND("/",Raw_Data!E224)-1)),VALUE(LEFT(Raw_Data!E224,FIND("/",Raw_Data!E224)-1))),IF(ISNUMBER(VALUE(LEFT(Raw_Data!E224,4))),DATE(VALUE(LEFT(Raw_Data!E224,4)),VALUE(MID(Raw_Data!E224,6,2)),VALUE(MID(Raw_Data!E224,9,2))),DATEVALUE(Raw_Data!E224))),"")</f>
        <v>45414</v>
      </c>
      <c r="F224" s="11" t="str">
        <f aca="false">Raw_Data!F224</f>
        <v>Male 35-44</v>
      </c>
      <c r="G224" s="11" t="str">
        <f aca="false">IF(TRIM(Raw_Data!G224)="","Unspecified",IFERROR(INDEX(Lookup_Tables!$F$2:$F$24,MATCH(UPPER(TRIM(Raw_Data!G224)),Lookup_Tables!$G$2:$G$24,0)),"Unknown"))</f>
        <v>East</v>
      </c>
      <c r="H224" s="11" t="n">
        <f aca="false">IF(Raw_Data!H224="",ROUND(AVERAGEIFS(Raw_Data!$H$2:$H$839,Raw_Data!$C$2:$C$839,Raw_Data!C224),2),Raw_Data!H224)</f>
        <v>30235.59</v>
      </c>
      <c r="I224" s="11" t="n">
        <f aca="false">Raw_Data!I224</f>
        <v>919386</v>
      </c>
      <c r="J224" s="11" t="n">
        <f aca="false">IF(Raw_Data!J224&lt;0,ABS(Raw_Data!J224),Raw_Data!J224)</f>
        <v>30922</v>
      </c>
      <c r="K224" s="11" t="n">
        <f aca="false">Raw_Data!K224</f>
        <v>506</v>
      </c>
      <c r="L224" s="11" t="n">
        <f aca="false">IF(Raw_Data!L224="",ROUND(AVERAGEIFS(Raw_Data!$L$2:$L$839,Raw_Data!$C$2:$C$839,Raw_Data!C224),2),Raw_Data!L224)</f>
        <v>720372.65</v>
      </c>
      <c r="M224" s="13" t="n">
        <f aca="false">IFERROR(J224/I224,0)</f>
        <v>0.0336333161479509</v>
      </c>
      <c r="N224" s="14" t="n">
        <f aca="false">IFERROR(H224/J224,0)</f>
        <v>0.977801888622987</v>
      </c>
      <c r="O224" s="14" t="n">
        <f aca="false">IFERROR(H224/K224,0)</f>
        <v>59.7541304347826</v>
      </c>
      <c r="P224" s="15" t="n">
        <f aca="false">IFERROR(L224/H224,0)</f>
        <v>23.8253214175745</v>
      </c>
      <c r="Q224" s="13" t="n">
        <f aca="false">IFERROR(K224/J224,0)</f>
        <v>0.0163637539615808</v>
      </c>
      <c r="R224" s="11" t="str">
        <f aca="false">IF(COUNTIF($A$2:A224,A224)&gt;1,"Duplicate - Remove","Unique")</f>
        <v>Unique</v>
      </c>
      <c r="S224" s="11" t="str">
        <f aca="false">TRIM(IF(Raw_Data!G224="","Region missing; ","")&amp;IF(Raw_Data!H224="","Spend imputed; ","")&amp;IF(Raw_Data!L224="","Revenue imputed; ","")&amp;IF(Raw_Data!J224&lt;0,"Clicks corrected; ",""))</f>
        <v/>
      </c>
    </row>
    <row r="225" customFormat="false" ht="15" hidden="false" customHeight="true" outlineLevel="0" collapsed="false">
      <c r="A225" s="11" t="n">
        <f aca="false">Raw_Data!A225</f>
        <v>1741</v>
      </c>
      <c r="B225" s="11" t="str">
        <f aca="false">PROPER(TRIM(Raw_Data!B225))</f>
        <v>Herbal Range Awareness</v>
      </c>
      <c r="C225" s="11" t="str">
        <f aca="false">IFERROR(INDEX(Lookup_Tables!$B$2:$B$26,MATCH(UPPER(TRIM(Raw_Data!C225)),Lookup_Tables!$C$2:$C$26,0)),"Unknown")</f>
        <v>Google Ads</v>
      </c>
      <c r="D225" s="12" t="n">
        <f aca="false">IFERROR(IF(ISNUMBER(SEARCH("/",Raw_Data!D225)),DATE(VALUE(RIGHT(Raw_Data!D225,4)),VALUE(MID(Raw_Data!D225,FIND("/",Raw_Data!D225)+1,FIND("/",Raw_Data!D225,FIND("/",Raw_Data!D225)+1)-FIND("/",Raw_Data!D225)-1)),VALUE(LEFT(Raw_Data!D225,FIND("/",Raw_Data!D225)-1))),IF(ISNUMBER(VALUE(LEFT(Raw_Data!D225,4))),DATE(VALUE(LEFT(Raw_Data!D225,4)),VALUE(MID(Raw_Data!D225,6,2)),VALUE(MID(Raw_Data!D225,9,2))),DATEVALUE(Raw_Data!D225))),"")</f>
        <v>45313</v>
      </c>
      <c r="E225" s="12" t="n">
        <f aca="false">IFERROR(IF(ISNUMBER(SEARCH("/",Raw_Data!E225)),DATE(VALUE(RIGHT(Raw_Data!E225,4)),VALUE(MID(Raw_Data!E225,FIND("/",Raw_Data!E225)+1,FIND("/",Raw_Data!E225,FIND("/",Raw_Data!E225)+1)-FIND("/",Raw_Data!E225)-1)),VALUE(LEFT(Raw_Data!E225,FIND("/",Raw_Data!E225)-1))),IF(ISNUMBER(VALUE(LEFT(Raw_Data!E225,4))),DATE(VALUE(LEFT(Raw_Data!E225,4)),VALUE(MID(Raw_Data!E225,6,2)),VALUE(MID(Raw_Data!E225,9,2))),DATEVALUE(Raw_Data!E225))),"")</f>
        <v>45328</v>
      </c>
      <c r="F225" s="11" t="str">
        <f aca="false">Raw_Data!F225</f>
        <v>Female 35-44</v>
      </c>
      <c r="G225" s="11" t="str">
        <f aca="false">IF(TRIM(Raw_Data!G225)="","Unspecified",IFERROR(INDEX(Lookup_Tables!$F$2:$F$24,MATCH(UPPER(TRIM(Raw_Data!G225)),Lookup_Tables!$G$2:$G$24,0)),"Unknown"))</f>
        <v>West</v>
      </c>
      <c r="H225" s="11" t="n">
        <f aca="false">IF(Raw_Data!H225="",ROUND(AVERAGEIFS(Raw_Data!$H$2:$H$839,Raw_Data!$C$2:$C$839,Raw_Data!C225),2),Raw_Data!H225)</f>
        <v>74280.91</v>
      </c>
      <c r="I225" s="11" t="n">
        <f aca="false">Raw_Data!I225</f>
        <v>2939136</v>
      </c>
      <c r="J225" s="11" t="n">
        <f aca="false">IF(Raw_Data!J225&lt;0,ABS(Raw_Data!J225),Raw_Data!J225)</f>
        <v>27485</v>
      </c>
      <c r="K225" s="11" t="n">
        <f aca="false">Raw_Data!K225</f>
        <v>932</v>
      </c>
      <c r="L225" s="11" t="n">
        <f aca="false">IF(Raw_Data!L225="",ROUND(AVERAGEIFS(Raw_Data!$L$2:$L$839,Raw_Data!$C$2:$C$839,Raw_Data!C225),2),Raw_Data!L225)</f>
        <v>1181227.33</v>
      </c>
      <c r="M225" s="13" t="n">
        <f aca="false">IFERROR(J225/I225,0)</f>
        <v>0.00935138761867433</v>
      </c>
      <c r="N225" s="14" t="n">
        <f aca="false">IFERROR(H225/J225,0)</f>
        <v>2.70259814444242</v>
      </c>
      <c r="O225" s="14" t="n">
        <f aca="false">IFERROR(H225/K225,0)</f>
        <v>79.7005472103004</v>
      </c>
      <c r="P225" s="15" t="n">
        <f aca="false">IFERROR(L225/H225,0)</f>
        <v>15.902165576593</v>
      </c>
      <c r="Q225" s="13" t="n">
        <f aca="false">IFERROR(K225/J225,0)</f>
        <v>0.033909405130071</v>
      </c>
      <c r="R225" s="11" t="str">
        <f aca="false">IF(COUNTIF($A$2:A225,A225)&gt;1,"Duplicate - Remove","Unique")</f>
        <v>Duplicate - Remove</v>
      </c>
      <c r="S225" s="11" t="str">
        <f aca="false">TRIM(IF(Raw_Data!G225="","Region missing; ","")&amp;IF(Raw_Data!H225="","Spend imputed; ","")&amp;IF(Raw_Data!L225="","Revenue imputed; ","")&amp;IF(Raw_Data!J225&lt;0,"Clicks corrected; ",""))</f>
        <v/>
      </c>
    </row>
    <row r="226" customFormat="false" ht="15" hidden="false" customHeight="true" outlineLevel="0" collapsed="false">
      <c r="A226" s="11" t="n">
        <f aca="false">Raw_Data!A226</f>
        <v>1368</v>
      </c>
      <c r="B226" s="11" t="str">
        <f aca="false">PROPER(TRIM(Raw_Data!B226))</f>
        <v>Anti-Ageing Serum Push</v>
      </c>
      <c r="C226" s="11" t="str">
        <f aca="false">IFERROR(INDEX(Lookup_Tables!$B$2:$B$26,MATCH(UPPER(TRIM(Raw_Data!C226)),Lookup_Tables!$C$2:$C$26,0)),"Unknown")</f>
        <v>Email</v>
      </c>
      <c r="D226" s="12" t="n">
        <f aca="false">IFERROR(IF(ISNUMBER(SEARCH("/",Raw_Data!D226)),DATE(VALUE(RIGHT(Raw_Data!D226,4)),VALUE(MID(Raw_Data!D226,FIND("/",Raw_Data!D226)+1,FIND("/",Raw_Data!D226,FIND("/",Raw_Data!D226)+1)-FIND("/",Raw_Data!D226)-1)),VALUE(LEFT(Raw_Data!D226,FIND("/",Raw_Data!D226)-1))),IF(ISNUMBER(VALUE(LEFT(Raw_Data!D226,4))),DATE(VALUE(LEFT(Raw_Data!D226,4)),VALUE(MID(Raw_Data!D226,6,2)),VALUE(MID(Raw_Data!D226,9,2))),DATEVALUE(Raw_Data!D226))),"")</f>
        <v>45481</v>
      </c>
      <c r="E226" s="12" t="n">
        <f aca="false">IFERROR(IF(ISNUMBER(SEARCH("/",Raw_Data!E226)),DATE(VALUE(RIGHT(Raw_Data!E226,4)),VALUE(MID(Raw_Data!E226,FIND("/",Raw_Data!E226)+1,FIND("/",Raw_Data!E226,FIND("/",Raw_Data!E226)+1)-FIND("/",Raw_Data!E226)-1)),VALUE(LEFT(Raw_Data!E226,FIND("/",Raw_Data!E226)-1))),IF(ISNUMBER(VALUE(LEFT(Raw_Data!E226,4))),DATE(VALUE(LEFT(Raw_Data!E226,4)),VALUE(MID(Raw_Data!E226,6,2)),VALUE(MID(Raw_Data!E226,9,2))),DATEVALUE(Raw_Data!E226))),"")</f>
        <v>45504</v>
      </c>
      <c r="F226" s="11" t="str">
        <f aca="false">Raw_Data!F226</f>
        <v>Male 18-24</v>
      </c>
      <c r="G226" s="11" t="str">
        <f aca="false">IF(TRIM(Raw_Data!G226)="","Unspecified",IFERROR(INDEX(Lookup_Tables!$F$2:$F$24,MATCH(UPPER(TRIM(Raw_Data!G226)),Lookup_Tables!$G$2:$G$24,0)),"Unknown"))</f>
        <v>East</v>
      </c>
      <c r="H226" s="11" t="n">
        <f aca="false">IF(Raw_Data!H226="",ROUND(AVERAGEIFS(Raw_Data!$H$2:$H$839,Raw_Data!$C$2:$C$839,Raw_Data!C226),2),Raw_Data!H226)</f>
        <v>5530.65</v>
      </c>
      <c r="I226" s="11" t="n">
        <f aca="false">Raw_Data!I226</f>
        <v>94814</v>
      </c>
      <c r="J226" s="11" t="n">
        <f aca="false">IF(Raw_Data!J226&lt;0,ABS(Raw_Data!J226),Raw_Data!J226)</f>
        <v>1807</v>
      </c>
      <c r="K226" s="11" t="n">
        <f aca="false">Raw_Data!K226</f>
        <v>128</v>
      </c>
      <c r="L226" s="11" t="n">
        <f aca="false">IF(Raw_Data!L226="",ROUND(AVERAGEIFS(Raw_Data!$L$2:$L$839,Raw_Data!$C$2:$C$839,Raw_Data!C226),2),Raw_Data!L226)</f>
        <v>225648.49</v>
      </c>
      <c r="M226" s="13" t="n">
        <f aca="false">IFERROR(J226/I226,0)</f>
        <v>0.0190583669078406</v>
      </c>
      <c r="N226" s="14" t="n">
        <f aca="false">IFERROR(H226/J226,0)</f>
        <v>3.06068068622025</v>
      </c>
      <c r="O226" s="14" t="n">
        <f aca="false">IFERROR(H226/K226,0)</f>
        <v>43.208203125</v>
      </c>
      <c r="P226" s="15" t="n">
        <f aca="false">IFERROR(L226/H226,0)</f>
        <v>40.7996329545352</v>
      </c>
      <c r="Q226" s="13" t="n">
        <f aca="false">IFERROR(K226/J226,0)</f>
        <v>0.0708356391809629</v>
      </c>
      <c r="R226" s="11" t="str">
        <f aca="false">IF(COUNTIF($A$2:A226,A226)&gt;1,"Duplicate - Remove","Unique")</f>
        <v>Unique</v>
      </c>
      <c r="S226" s="11" t="str">
        <f aca="false">TRIM(IF(Raw_Data!G226="","Region missing; ","")&amp;IF(Raw_Data!H226="","Spend imputed; ","")&amp;IF(Raw_Data!L226="","Revenue imputed; ","")&amp;IF(Raw_Data!J226&lt;0,"Clicks corrected; ",""))</f>
        <v/>
      </c>
    </row>
    <row r="227" customFormat="false" ht="15" hidden="false" customHeight="true" outlineLevel="0" collapsed="false">
      <c r="A227" s="11" t="n">
        <f aca="false">Raw_Data!A227</f>
        <v>1470</v>
      </c>
      <c r="B227" s="11" t="str">
        <f aca="false">PROPER(TRIM(Raw_Data!B227))</f>
        <v>Baby Care Trust Campaign</v>
      </c>
      <c r="C227" s="11" t="str">
        <f aca="false">IFERROR(INDEX(Lookup_Tables!$B$2:$B$26,MATCH(UPPER(TRIM(Raw_Data!C227)),Lookup_Tables!$C$2:$C$26,0)),"Unknown")</f>
        <v>YouTube</v>
      </c>
      <c r="D227" s="12" t="n">
        <f aca="false">IFERROR(IF(ISNUMBER(SEARCH("/",Raw_Data!D227)),DATE(VALUE(RIGHT(Raw_Data!D227,4)),VALUE(MID(Raw_Data!D227,FIND("/",Raw_Data!D227)+1,FIND("/",Raw_Data!D227,FIND("/",Raw_Data!D227)+1)-FIND("/",Raw_Data!D227)-1)),VALUE(LEFT(Raw_Data!D227,FIND("/",Raw_Data!D227)-1))),IF(ISNUMBER(VALUE(LEFT(Raw_Data!D227,4))),DATE(VALUE(LEFT(Raw_Data!D227,4)),VALUE(MID(Raw_Data!D227,6,2)),VALUE(MID(Raw_Data!D227,9,2))),DATEVALUE(Raw_Data!D227))),"")</f>
        <v>45331</v>
      </c>
      <c r="E227" s="12" t="n">
        <f aca="false">IFERROR(IF(ISNUMBER(SEARCH("/",Raw_Data!E227)),DATE(VALUE(RIGHT(Raw_Data!E227,4)),VALUE(MID(Raw_Data!E227,FIND("/",Raw_Data!E227)+1,FIND("/",Raw_Data!E227,FIND("/",Raw_Data!E227)+1)-FIND("/",Raw_Data!E227)-1)),VALUE(LEFT(Raw_Data!E227,FIND("/",Raw_Data!E227)-1))),IF(ISNUMBER(VALUE(LEFT(Raw_Data!E227,4))),DATE(VALUE(LEFT(Raw_Data!E227,4)),VALUE(MID(Raw_Data!E227,6,2)),VALUE(MID(Raw_Data!E227,9,2))),DATEVALUE(Raw_Data!E227))),"")</f>
        <v>45344</v>
      </c>
      <c r="F227" s="11" t="str">
        <f aca="false">Raw_Data!F227</f>
        <v>Male 18-24</v>
      </c>
      <c r="G227" s="11" t="str">
        <f aca="false">IF(TRIM(Raw_Data!G227)="","Unspecified",IFERROR(INDEX(Lookup_Tables!$F$2:$F$24,MATCH(UPPER(TRIM(Raw_Data!G227)),Lookup_Tables!$G$2:$G$24,0)),"Unknown"))</f>
        <v>East</v>
      </c>
      <c r="H227" s="11" t="n">
        <f aca="false">IF(Raw_Data!H227="",ROUND(AVERAGEIFS(Raw_Data!$H$2:$H$839,Raw_Data!$C$2:$C$839,Raw_Data!C227),2),Raw_Data!H227)</f>
        <v>54860.26</v>
      </c>
      <c r="I227" s="11" t="n">
        <f aca="false">Raw_Data!I227</f>
        <v>1760985</v>
      </c>
      <c r="J227" s="11" t="n">
        <f aca="false">IF(Raw_Data!J227&lt;0,ABS(Raw_Data!J227),Raw_Data!J227)</f>
        <v>30294</v>
      </c>
      <c r="K227" s="11" t="n">
        <f aca="false">Raw_Data!K227</f>
        <v>1001</v>
      </c>
      <c r="L227" s="11" t="n">
        <f aca="false">IF(Raw_Data!L227="",ROUND(AVERAGEIFS(Raw_Data!$L$2:$L$839,Raw_Data!$C$2:$C$839,Raw_Data!C227),2),Raw_Data!L227)</f>
        <v>479491.54</v>
      </c>
      <c r="M227" s="13" t="n">
        <f aca="false">IFERROR(J227/I227,0)</f>
        <v>0.0172028722561521</v>
      </c>
      <c r="N227" s="14" t="n">
        <f aca="false">IFERROR(H227/J227,0)</f>
        <v>1.81092823661451</v>
      </c>
      <c r="O227" s="14" t="n">
        <f aca="false">IFERROR(H227/K227,0)</f>
        <v>54.8054545454545</v>
      </c>
      <c r="P227" s="15" t="n">
        <f aca="false">IFERROR(L227/H227,0)</f>
        <v>8.74023455229705</v>
      </c>
      <c r="Q227" s="13" t="n">
        <f aca="false">IFERROR(K227/J227,0)</f>
        <v>0.033042846768337</v>
      </c>
      <c r="R227" s="11" t="str">
        <f aca="false">IF(COUNTIF($A$2:A227,A227)&gt;1,"Duplicate - Remove","Unique")</f>
        <v>Unique</v>
      </c>
      <c r="S227" s="11" t="str">
        <f aca="false">TRIM(IF(Raw_Data!G227="","Region missing; ","")&amp;IF(Raw_Data!H227="","Spend imputed; ","")&amp;IF(Raw_Data!L227="","Revenue imputed; ","")&amp;IF(Raw_Data!J227&lt;0,"Clicks corrected; ",""))</f>
        <v/>
      </c>
    </row>
    <row r="228" customFormat="false" ht="15" hidden="false" customHeight="true" outlineLevel="0" collapsed="false">
      <c r="A228" s="11" t="n">
        <f aca="false">Raw_Data!A228</f>
        <v>1663</v>
      </c>
      <c r="B228" s="11" t="str">
        <f aca="false">PROPER(TRIM(Raw_Data!B228))</f>
        <v>Influencer Collab - Skincare</v>
      </c>
      <c r="C228" s="11" t="str">
        <f aca="false">IFERROR(INDEX(Lookup_Tables!$B$2:$B$26,MATCH(UPPER(TRIM(Raw_Data!C228)),Lookup_Tables!$C$2:$C$26,0)),"Unknown")</f>
        <v>YouTube</v>
      </c>
      <c r="D228" s="12" t="n">
        <f aca="false">IFERROR(IF(ISNUMBER(SEARCH("/",Raw_Data!D228)),DATE(VALUE(RIGHT(Raw_Data!D228,4)),VALUE(MID(Raw_Data!D228,FIND("/",Raw_Data!D228)+1,FIND("/",Raw_Data!D228,FIND("/",Raw_Data!D228)+1)-FIND("/",Raw_Data!D228)-1)),VALUE(LEFT(Raw_Data!D228,FIND("/",Raw_Data!D228)-1))),IF(ISNUMBER(VALUE(LEFT(Raw_Data!D228,4))),DATE(VALUE(LEFT(Raw_Data!D228,4)),VALUE(MID(Raw_Data!D228,6,2)),VALUE(MID(Raw_Data!D228,9,2))),DATEVALUE(Raw_Data!D228))),"")</f>
        <v>45606</v>
      </c>
      <c r="E228" s="12" t="n">
        <f aca="false">IFERROR(IF(ISNUMBER(SEARCH("/",Raw_Data!E228)),DATE(VALUE(RIGHT(Raw_Data!E228,4)),VALUE(MID(Raw_Data!E228,FIND("/",Raw_Data!E228)+1,FIND("/",Raw_Data!E228,FIND("/",Raw_Data!E228)+1)-FIND("/",Raw_Data!E228)-1)),VALUE(LEFT(Raw_Data!E228,FIND("/",Raw_Data!E228)-1))),IF(ISNUMBER(VALUE(LEFT(Raw_Data!E228,4))),DATE(VALUE(LEFT(Raw_Data!E228,4)),VALUE(MID(Raw_Data!E228,6,2)),VALUE(MID(Raw_Data!E228,9,2))),DATEVALUE(Raw_Data!E228))),"")</f>
        <v>45614</v>
      </c>
      <c r="F228" s="11" t="str">
        <f aca="false">Raw_Data!F228</f>
        <v>Male 25-34</v>
      </c>
      <c r="G228" s="11" t="str">
        <f aca="false">IF(TRIM(Raw_Data!G228)="","Unspecified",IFERROR(INDEX(Lookup_Tables!$F$2:$F$24,MATCH(UPPER(TRIM(Raw_Data!G228)),Lookup_Tables!$G$2:$G$24,0)),"Unknown"))</f>
        <v>North</v>
      </c>
      <c r="H228" s="11" t="n">
        <f aca="false">IF(Raw_Data!H228="",ROUND(AVERAGEIFS(Raw_Data!$H$2:$H$839,Raw_Data!$C$2:$C$839,Raw_Data!C228),2),Raw_Data!H228)</f>
        <v>31966.76</v>
      </c>
      <c r="I228" s="11" t="n">
        <f aca="false">Raw_Data!I228</f>
        <v>627049</v>
      </c>
      <c r="J228" s="11" t="n">
        <f aca="false">IF(Raw_Data!J228&lt;0,ABS(Raw_Data!J228),Raw_Data!J228)</f>
        <v>15538</v>
      </c>
      <c r="K228" s="11" t="n">
        <f aca="false">Raw_Data!K228</f>
        <v>512</v>
      </c>
      <c r="L228" s="11" t="n">
        <f aca="false">IF(Raw_Data!L228="",ROUND(AVERAGEIFS(Raw_Data!$L$2:$L$839,Raw_Data!$C$2:$C$839,Raw_Data!C228),2),Raw_Data!L228)</f>
        <v>902265.49</v>
      </c>
      <c r="M228" s="13" t="n">
        <f aca="false">IFERROR(J228/I228,0)</f>
        <v>0.0247795626817043</v>
      </c>
      <c r="N228" s="14" t="n">
        <f aca="false">IFERROR(H228/J228,0)</f>
        <v>2.05732784142103</v>
      </c>
      <c r="O228" s="14" t="n">
        <f aca="false">IFERROR(H228/K228,0)</f>
        <v>62.435078125</v>
      </c>
      <c r="P228" s="15" t="n">
        <f aca="false">IFERROR(L228/H228,0)</f>
        <v>28.2251154011229</v>
      </c>
      <c r="Q228" s="13" t="n">
        <f aca="false">IFERROR(K228/J228,0)</f>
        <v>0.0329514738061527</v>
      </c>
      <c r="R228" s="11" t="str">
        <f aca="false">IF(COUNTIF($A$2:A228,A228)&gt;1,"Duplicate - Remove","Unique")</f>
        <v>Unique</v>
      </c>
      <c r="S228" s="11" t="str">
        <f aca="false">TRIM(IF(Raw_Data!G228="","Region missing; ","")&amp;IF(Raw_Data!H228="","Spend imputed; ","")&amp;IF(Raw_Data!L228="","Revenue imputed; ","")&amp;IF(Raw_Data!J228&lt;0,"Clicks corrected; ",""))</f>
        <v/>
      </c>
    </row>
    <row r="229" customFormat="false" ht="15" hidden="false" customHeight="true" outlineLevel="0" collapsed="false">
      <c r="A229" s="11" t="n">
        <f aca="false">Raw_Data!A229</f>
        <v>1324</v>
      </c>
      <c r="B229" s="11" t="str">
        <f aca="false">PROPER(TRIM(Raw_Data!B229))</f>
        <v>Summer Glow Launch</v>
      </c>
      <c r="C229" s="11" t="str">
        <f aca="false">IFERROR(INDEX(Lookup_Tables!$B$2:$B$26,MATCH(UPPER(TRIM(Raw_Data!C229)),Lookup_Tables!$C$2:$C$26,0)),"Unknown")</f>
        <v>Email</v>
      </c>
      <c r="D229" s="12" t="n">
        <f aca="false">IFERROR(IF(ISNUMBER(SEARCH("/",Raw_Data!D229)),DATE(VALUE(RIGHT(Raw_Data!D229,4)),VALUE(MID(Raw_Data!D229,FIND("/",Raw_Data!D229)+1,FIND("/",Raw_Data!D229,FIND("/",Raw_Data!D229)+1)-FIND("/",Raw_Data!D229)-1)),VALUE(LEFT(Raw_Data!D229,FIND("/",Raw_Data!D229)-1))),IF(ISNUMBER(VALUE(LEFT(Raw_Data!D229,4))),DATE(VALUE(LEFT(Raw_Data!D229,4)),VALUE(MID(Raw_Data!D229,6,2)),VALUE(MID(Raw_Data!D229,9,2))),DATEVALUE(Raw_Data!D229))),"")</f>
        <v>45577</v>
      </c>
      <c r="E229" s="12" t="n">
        <f aca="false">IFERROR(IF(ISNUMBER(SEARCH("/",Raw_Data!E229)),DATE(VALUE(RIGHT(Raw_Data!E229,4)),VALUE(MID(Raw_Data!E229,FIND("/",Raw_Data!E229)+1,FIND("/",Raw_Data!E229,FIND("/",Raw_Data!E229)+1)-FIND("/",Raw_Data!E229)-1)),VALUE(LEFT(Raw_Data!E229,FIND("/",Raw_Data!E229)-1))),IF(ISNUMBER(VALUE(LEFT(Raw_Data!E229,4))),DATE(VALUE(LEFT(Raw_Data!E229,4)),VALUE(MID(Raw_Data!E229,6,2)),VALUE(MID(Raw_Data!E229,9,2))),DATEVALUE(Raw_Data!E229))),"")</f>
        <v>45606</v>
      </c>
      <c r="F229" s="11" t="str">
        <f aca="false">Raw_Data!F229</f>
        <v>Female 25-34</v>
      </c>
      <c r="G229" s="11" t="str">
        <f aca="false">IF(TRIM(Raw_Data!G229)="","Unspecified",IFERROR(INDEX(Lookup_Tables!$F$2:$F$24,MATCH(UPPER(TRIM(Raw_Data!G229)),Lookup_Tables!$G$2:$G$24,0)),"Unknown"))</f>
        <v>North</v>
      </c>
      <c r="H229" s="11" t="n">
        <f aca="false">IF(Raw_Data!H229="",ROUND(AVERAGEIFS(Raw_Data!$H$2:$H$839,Raw_Data!$C$2:$C$839,Raw_Data!C229),2),Raw_Data!H229)</f>
        <v>4622.07</v>
      </c>
      <c r="I229" s="11" t="n">
        <f aca="false">Raw_Data!I229</f>
        <v>147271</v>
      </c>
      <c r="J229" s="11" t="n">
        <f aca="false">IF(Raw_Data!J229&lt;0,ABS(Raw_Data!J229),Raw_Data!J229)</f>
        <v>1699</v>
      </c>
      <c r="K229" s="11" t="n">
        <f aca="false">Raw_Data!K229</f>
        <v>59</v>
      </c>
      <c r="L229" s="11" t="n">
        <f aca="false">IF(Raw_Data!L229="",ROUND(AVERAGEIFS(Raw_Data!$L$2:$L$839,Raw_Data!$C$2:$C$839,Raw_Data!C229),2),Raw_Data!L229)</f>
        <v>41101.79</v>
      </c>
      <c r="M229" s="13" t="n">
        <f aca="false">IFERROR(J229/I229,0)</f>
        <v>0.0115365550583618</v>
      </c>
      <c r="N229" s="14" t="n">
        <f aca="false">IFERROR(H229/J229,0)</f>
        <v>2.72046497939965</v>
      </c>
      <c r="O229" s="14" t="n">
        <f aca="false">IFERROR(H229/K229,0)</f>
        <v>78.3401694915254</v>
      </c>
      <c r="P229" s="15" t="n">
        <f aca="false">IFERROR(L229/H229,0)</f>
        <v>8.8925070368904</v>
      </c>
      <c r="Q229" s="13" t="n">
        <f aca="false">IFERROR(K229/J229,0)</f>
        <v>0.0347263095938788</v>
      </c>
      <c r="R229" s="11" t="str">
        <f aca="false">IF(COUNTIF($A$2:A229,A229)&gt;1,"Duplicate - Remove","Unique")</f>
        <v>Unique</v>
      </c>
      <c r="S229" s="11" t="str">
        <f aca="false">TRIM(IF(Raw_Data!G229="","Region missing; ","")&amp;IF(Raw_Data!H229="","Spend imputed; ","")&amp;IF(Raw_Data!L229="","Revenue imputed; ","")&amp;IF(Raw_Data!J229&lt;0,"Clicks corrected; ",""))</f>
        <v>Spend imputed;</v>
      </c>
    </row>
    <row r="230" customFormat="false" ht="15" hidden="false" customHeight="true" outlineLevel="0" collapsed="false">
      <c r="A230" s="11" t="n">
        <f aca="false">Raw_Data!A230</f>
        <v>1655</v>
      </c>
      <c r="B230" s="11" t="str">
        <f aca="false">PROPER(TRIM(Raw_Data!B230))</f>
        <v>Sunscreen Season Campaign</v>
      </c>
      <c r="C230" s="11" t="str">
        <f aca="false">IFERROR(INDEX(Lookup_Tables!$B$2:$B$26,MATCH(UPPER(TRIM(Raw_Data!C230)),Lookup_Tables!$C$2:$C$26,0)),"Unknown")</f>
        <v>Google Ads</v>
      </c>
      <c r="D230" s="12" t="n">
        <f aca="false">IFERROR(IF(ISNUMBER(SEARCH("/",Raw_Data!D230)),DATE(VALUE(RIGHT(Raw_Data!D230,4)),VALUE(MID(Raw_Data!D230,FIND("/",Raw_Data!D230)+1,FIND("/",Raw_Data!D230,FIND("/",Raw_Data!D230)+1)-FIND("/",Raw_Data!D230)-1)),VALUE(LEFT(Raw_Data!D230,FIND("/",Raw_Data!D230)-1))),IF(ISNUMBER(VALUE(LEFT(Raw_Data!D230,4))),DATE(VALUE(LEFT(Raw_Data!D230,4)),VALUE(MID(Raw_Data!D230,6,2)),VALUE(MID(Raw_Data!D230,9,2))),DATEVALUE(Raw_Data!D230))),"")</f>
        <v>45388</v>
      </c>
      <c r="E230" s="12" t="n">
        <f aca="false">IFERROR(IF(ISNUMBER(SEARCH("/",Raw_Data!E230)),DATE(VALUE(RIGHT(Raw_Data!E230,4)),VALUE(MID(Raw_Data!E230,FIND("/",Raw_Data!E230)+1,FIND("/",Raw_Data!E230,FIND("/",Raw_Data!E230)+1)-FIND("/",Raw_Data!E230)-1)),VALUE(LEFT(Raw_Data!E230,FIND("/",Raw_Data!E230)-1))),IF(ISNUMBER(VALUE(LEFT(Raw_Data!E230,4))),DATE(VALUE(LEFT(Raw_Data!E230,4)),VALUE(MID(Raw_Data!E230,6,2)),VALUE(MID(Raw_Data!E230,9,2))),DATEVALUE(Raw_Data!E230))),"")</f>
        <v>45417</v>
      </c>
      <c r="F230" s="11" t="str">
        <f aca="false">Raw_Data!F230</f>
        <v>Female 35-44</v>
      </c>
      <c r="G230" s="11" t="str">
        <f aca="false">IF(TRIM(Raw_Data!G230)="","Unspecified",IFERROR(INDEX(Lookup_Tables!$F$2:$F$24,MATCH(UPPER(TRIM(Raw_Data!G230)),Lookup_Tables!$G$2:$G$24,0)),"Unknown"))</f>
        <v>Central</v>
      </c>
      <c r="H230" s="11" t="n">
        <f aca="false">IF(Raw_Data!H230="",ROUND(AVERAGEIFS(Raw_Data!$H$2:$H$839,Raw_Data!$C$2:$C$839,Raw_Data!C230),2),Raw_Data!H230)</f>
        <v>24430.09</v>
      </c>
      <c r="I230" s="11" t="n">
        <f aca="false">Raw_Data!I230</f>
        <v>477355</v>
      </c>
      <c r="J230" s="11" t="n">
        <f aca="false">IF(Raw_Data!J230&lt;0,ABS(Raw_Data!J230),Raw_Data!J230)</f>
        <v>2762</v>
      </c>
      <c r="K230" s="11" t="n">
        <f aca="false">Raw_Data!K230</f>
        <v>143</v>
      </c>
      <c r="L230" s="11" t="n">
        <f aca="false">IF(Raw_Data!L230="",ROUND(AVERAGEIFS(Raw_Data!$L$2:$L$839,Raw_Data!$C$2:$C$839,Raw_Data!C230),2),Raw_Data!L230)</f>
        <v>225198.2</v>
      </c>
      <c r="M230" s="13" t="n">
        <f aca="false">IFERROR(J230/I230,0)</f>
        <v>0.00578605021420117</v>
      </c>
      <c r="N230" s="14" t="n">
        <f aca="false">IFERROR(H230/J230,0)</f>
        <v>8.84507241129616</v>
      </c>
      <c r="O230" s="14" t="n">
        <f aca="false">IFERROR(H230/K230,0)</f>
        <v>170.83979020979</v>
      </c>
      <c r="P230" s="15" t="n">
        <f aca="false">IFERROR(L230/H230,0)</f>
        <v>9.21806673655316</v>
      </c>
      <c r="Q230" s="13" t="n">
        <f aca="false">IFERROR(K230/J230,0)</f>
        <v>0.0517740767559739</v>
      </c>
      <c r="R230" s="11" t="str">
        <f aca="false">IF(COUNTIF($A$2:A230,A230)&gt;1,"Duplicate - Remove","Unique")</f>
        <v>Unique</v>
      </c>
      <c r="S230" s="11" t="str">
        <f aca="false">TRIM(IF(Raw_Data!G230="","Region missing; ","")&amp;IF(Raw_Data!H230="","Spend imputed; ","")&amp;IF(Raw_Data!L230="","Revenue imputed; ","")&amp;IF(Raw_Data!J230&lt;0,"Clicks corrected; ",""))</f>
        <v/>
      </c>
    </row>
    <row r="231" customFormat="false" ht="15" hidden="false" customHeight="true" outlineLevel="0" collapsed="false">
      <c r="A231" s="11" t="n">
        <f aca="false">Raw_Data!A231</f>
        <v>1431</v>
      </c>
      <c r="B231" s="11" t="str">
        <f aca="false">PROPER(TRIM(Raw_Data!B231))</f>
        <v>Anti-Ageing Serum Push</v>
      </c>
      <c r="C231" s="11" t="str">
        <f aca="false">IFERROR(INDEX(Lookup_Tables!$B$2:$B$26,MATCH(UPPER(TRIM(Raw_Data!C231)),Lookup_Tables!$C$2:$C$26,0)),"Unknown")</f>
        <v>Email</v>
      </c>
      <c r="D231" s="12" t="n">
        <f aca="false">IFERROR(IF(ISNUMBER(SEARCH("/",Raw_Data!D231)),DATE(VALUE(RIGHT(Raw_Data!D231,4)),VALUE(MID(Raw_Data!D231,FIND("/",Raw_Data!D231)+1,FIND("/",Raw_Data!D231,FIND("/",Raw_Data!D231)+1)-FIND("/",Raw_Data!D231)-1)),VALUE(LEFT(Raw_Data!D231,FIND("/",Raw_Data!D231)-1))),IF(ISNUMBER(VALUE(LEFT(Raw_Data!D231,4))),DATE(VALUE(LEFT(Raw_Data!D231,4)),VALUE(MID(Raw_Data!D231,6,2)),VALUE(MID(Raw_Data!D231,9,2))),DATEVALUE(Raw_Data!D231))),"")</f>
        <v>45373</v>
      </c>
      <c r="E231" s="12" t="n">
        <f aca="false">IFERROR(IF(ISNUMBER(SEARCH("/",Raw_Data!E231)),DATE(VALUE(RIGHT(Raw_Data!E231,4)),VALUE(MID(Raw_Data!E231,FIND("/",Raw_Data!E231)+1,FIND("/",Raw_Data!E231,FIND("/",Raw_Data!E231)+1)-FIND("/",Raw_Data!E231)-1)),VALUE(LEFT(Raw_Data!E231,FIND("/",Raw_Data!E231)-1))),IF(ISNUMBER(VALUE(LEFT(Raw_Data!E231,4))),DATE(VALUE(LEFT(Raw_Data!E231,4)),VALUE(MID(Raw_Data!E231,6,2)),VALUE(MID(Raw_Data!E231,9,2))),DATEVALUE(Raw_Data!E231))),"")</f>
        <v>45397</v>
      </c>
      <c r="F231" s="11" t="str">
        <f aca="false">Raw_Data!F231</f>
        <v>Male 45+</v>
      </c>
      <c r="G231" s="11" t="str">
        <f aca="false">IF(TRIM(Raw_Data!G231)="","Unspecified",IFERROR(INDEX(Lookup_Tables!$F$2:$F$24,MATCH(UPPER(TRIM(Raw_Data!G231)),Lookup_Tables!$G$2:$G$24,0)),"Unknown"))</f>
        <v>South</v>
      </c>
      <c r="H231" s="11" t="n">
        <f aca="false">IF(Raw_Data!H231="",ROUND(AVERAGEIFS(Raw_Data!$H$2:$H$839,Raw_Data!$C$2:$C$839,Raw_Data!C231),2),Raw_Data!H231)</f>
        <v>7574.08</v>
      </c>
      <c r="I231" s="11" t="n">
        <f aca="false">Raw_Data!I231</f>
        <v>224853</v>
      </c>
      <c r="J231" s="11" t="n">
        <f aca="false">IF(Raw_Data!J231&lt;0,ABS(Raw_Data!J231),Raw_Data!J231)</f>
        <v>4513</v>
      </c>
      <c r="K231" s="11" t="n">
        <f aca="false">Raw_Data!K231</f>
        <v>261</v>
      </c>
      <c r="L231" s="11" t="n">
        <f aca="false">IF(Raw_Data!L231="",ROUND(AVERAGEIFS(Raw_Data!$L$2:$L$839,Raw_Data!$C$2:$C$839,Raw_Data!C231),2),Raw_Data!L231)</f>
        <v>110861.2</v>
      </c>
      <c r="M231" s="13" t="n">
        <f aca="false">IFERROR(J231/I231,0)</f>
        <v>0.0200708907597408</v>
      </c>
      <c r="N231" s="14" t="n">
        <f aca="false">IFERROR(H231/J231,0)</f>
        <v>1.67828052293375</v>
      </c>
      <c r="O231" s="14" t="n">
        <f aca="false">IFERROR(H231/K231,0)</f>
        <v>29.0194636015326</v>
      </c>
      <c r="P231" s="15" t="n">
        <f aca="false">IFERROR(L231/H231,0)</f>
        <v>14.6369195994761</v>
      </c>
      <c r="Q231" s="13" t="n">
        <f aca="false">IFERROR(K231/J231,0)</f>
        <v>0.0578329270994904</v>
      </c>
      <c r="R231" s="11" t="str">
        <f aca="false">IF(COUNTIF($A$2:A231,A231)&gt;1,"Duplicate - Remove","Unique")</f>
        <v>Unique</v>
      </c>
      <c r="S231" s="11" t="str">
        <f aca="false">TRIM(IF(Raw_Data!G231="","Region missing; ","")&amp;IF(Raw_Data!H231="","Spend imputed; ","")&amp;IF(Raw_Data!L231="","Revenue imputed; ","")&amp;IF(Raw_Data!J231&lt;0,"Clicks corrected; ",""))</f>
        <v>Revenue imputed;</v>
      </c>
    </row>
    <row r="232" customFormat="false" ht="15" hidden="false" customHeight="true" outlineLevel="0" collapsed="false">
      <c r="A232" s="11" t="n">
        <f aca="false">Raw_Data!A232</f>
        <v>1359</v>
      </c>
      <c r="B232" s="11" t="str">
        <f aca="false">PROPER(TRIM(Raw_Data!B232))</f>
        <v>Summer Glow Launch</v>
      </c>
      <c r="C232" s="11" t="str">
        <f aca="false">IFERROR(INDEX(Lookup_Tables!$B$2:$B$26,MATCH(UPPER(TRIM(Raw_Data!C232)),Lookup_Tables!$C$2:$C$26,0)),"Unknown")</f>
        <v>Email</v>
      </c>
      <c r="D232" s="12" t="n">
        <f aca="false">IFERROR(IF(ISNUMBER(SEARCH("/",Raw_Data!D232)),DATE(VALUE(RIGHT(Raw_Data!D232,4)),VALUE(MID(Raw_Data!D232,FIND("/",Raw_Data!D232)+1,FIND("/",Raw_Data!D232,FIND("/",Raw_Data!D232)+1)-FIND("/",Raw_Data!D232)-1)),VALUE(LEFT(Raw_Data!D232,FIND("/",Raw_Data!D232)-1))),IF(ISNUMBER(VALUE(LEFT(Raw_Data!D232,4))),DATE(VALUE(LEFT(Raw_Data!D232,4)),VALUE(MID(Raw_Data!D232,6,2)),VALUE(MID(Raw_Data!D232,9,2))),DATEVALUE(Raw_Data!D232))),"")</f>
        <v>45478</v>
      </c>
      <c r="E232" s="12" t="n">
        <f aca="false">IFERROR(IF(ISNUMBER(SEARCH("/",Raw_Data!E232)),DATE(VALUE(RIGHT(Raw_Data!E232,4)),VALUE(MID(Raw_Data!E232,FIND("/",Raw_Data!E232)+1,FIND("/",Raw_Data!E232,FIND("/",Raw_Data!E232)+1)-FIND("/",Raw_Data!E232)-1)),VALUE(LEFT(Raw_Data!E232,FIND("/",Raw_Data!E232)-1))),IF(ISNUMBER(VALUE(LEFT(Raw_Data!E232,4))),DATE(VALUE(LEFT(Raw_Data!E232,4)),VALUE(MID(Raw_Data!E232,6,2)),VALUE(MID(Raw_Data!E232,9,2))),DATEVALUE(Raw_Data!E232))),"")</f>
        <v>45504</v>
      </c>
      <c r="F232" s="11" t="str">
        <f aca="false">Raw_Data!F232</f>
        <v>Female 45+</v>
      </c>
      <c r="G232" s="11" t="str">
        <f aca="false">IF(TRIM(Raw_Data!G232)="","Unspecified",IFERROR(INDEX(Lookup_Tables!$F$2:$F$24,MATCH(UPPER(TRIM(Raw_Data!G232)),Lookup_Tables!$G$2:$G$24,0)),"Unknown"))</f>
        <v>Central</v>
      </c>
      <c r="H232" s="11" t="n">
        <f aca="false">IF(Raw_Data!H232="",ROUND(AVERAGEIFS(Raw_Data!$H$2:$H$839,Raw_Data!$C$2:$C$839,Raw_Data!C232),2),Raw_Data!H232)</f>
        <v>7200.04</v>
      </c>
      <c r="I232" s="11" t="n">
        <f aca="false">Raw_Data!I232</f>
        <v>179442</v>
      </c>
      <c r="J232" s="11" t="n">
        <f aca="false">IF(Raw_Data!J232&lt;0,ABS(Raw_Data!J232),Raw_Data!J232)</f>
        <v>5418</v>
      </c>
      <c r="K232" s="11" t="n">
        <f aca="false">Raw_Data!K232</f>
        <v>373</v>
      </c>
      <c r="L232" s="11" t="n">
        <f aca="false">IF(Raw_Data!L232="",ROUND(AVERAGEIFS(Raw_Data!$L$2:$L$839,Raw_Data!$C$2:$C$839,Raw_Data!C232),2),Raw_Data!L232)</f>
        <v>258212.86</v>
      </c>
      <c r="M232" s="13" t="n">
        <f aca="false">IFERROR(J232/I232,0)</f>
        <v>0.0301936001604975</v>
      </c>
      <c r="N232" s="14" t="n">
        <f aca="false">IFERROR(H232/J232,0)</f>
        <v>1.32891103728313</v>
      </c>
      <c r="O232" s="14" t="n">
        <f aca="false">IFERROR(H232/K232,0)</f>
        <v>19.3030563002681</v>
      </c>
      <c r="P232" s="15" t="n">
        <f aca="false">IFERROR(L232/H232,0)</f>
        <v>35.8626979850112</v>
      </c>
      <c r="Q232" s="13" t="n">
        <f aca="false">IFERROR(K232/J232,0)</f>
        <v>0.0688445921004061</v>
      </c>
      <c r="R232" s="11" t="str">
        <f aca="false">IF(COUNTIF($A$2:A232,A232)&gt;1,"Duplicate - Remove","Unique")</f>
        <v>Unique</v>
      </c>
      <c r="S232" s="11" t="str">
        <f aca="false">TRIM(IF(Raw_Data!G232="","Region missing; ","")&amp;IF(Raw_Data!H232="","Spend imputed; ","")&amp;IF(Raw_Data!L232="","Revenue imputed; ","")&amp;IF(Raw_Data!J232&lt;0,"Clicks corrected; ",""))</f>
        <v/>
      </c>
    </row>
    <row r="233" customFormat="false" ht="15" hidden="false" customHeight="true" outlineLevel="0" collapsed="false">
      <c r="A233" s="11" t="n">
        <f aca="false">Raw_Data!A233</f>
        <v>1420</v>
      </c>
      <c r="B233" s="11" t="str">
        <f aca="false">PROPER(TRIM(Raw_Data!B233))</f>
        <v>New Year Wellness</v>
      </c>
      <c r="C233" s="11" t="str">
        <f aca="false">IFERROR(INDEX(Lookup_Tables!$B$2:$B$26,MATCH(UPPER(TRIM(Raw_Data!C233)),Lookup_Tables!$C$2:$C$26,0)),"Unknown")</f>
        <v>Instagram</v>
      </c>
      <c r="D233" s="12" t="n">
        <f aca="false">IFERROR(IF(ISNUMBER(SEARCH("/",Raw_Data!D233)),DATE(VALUE(RIGHT(Raw_Data!D233,4)),VALUE(MID(Raw_Data!D233,FIND("/",Raw_Data!D233)+1,FIND("/",Raw_Data!D233,FIND("/",Raw_Data!D233)+1)-FIND("/",Raw_Data!D233)-1)),VALUE(LEFT(Raw_Data!D233,FIND("/",Raw_Data!D233)-1))),IF(ISNUMBER(VALUE(LEFT(Raw_Data!D233,4))),DATE(VALUE(LEFT(Raw_Data!D233,4)),VALUE(MID(Raw_Data!D233,6,2)),VALUE(MID(Raw_Data!D233,9,2))),DATEVALUE(Raw_Data!D233))),"")</f>
        <v>45383</v>
      </c>
      <c r="E233" s="12" t="n">
        <f aca="false">IFERROR(IF(ISNUMBER(SEARCH("/",Raw_Data!E233)),DATE(VALUE(RIGHT(Raw_Data!E233,4)),VALUE(MID(Raw_Data!E233,FIND("/",Raw_Data!E233)+1,FIND("/",Raw_Data!E233,FIND("/",Raw_Data!E233)+1)-FIND("/",Raw_Data!E233)-1)),VALUE(LEFT(Raw_Data!E233,FIND("/",Raw_Data!E233)-1))),IF(ISNUMBER(VALUE(LEFT(Raw_Data!E233,4))),DATE(VALUE(LEFT(Raw_Data!E233,4)),VALUE(MID(Raw_Data!E233,6,2)),VALUE(MID(Raw_Data!E233,9,2))),DATEVALUE(Raw_Data!E233))),"")</f>
        <v>45394</v>
      </c>
      <c r="F233" s="11" t="str">
        <f aca="false">Raw_Data!F233</f>
        <v>Male 18-24</v>
      </c>
      <c r="G233" s="11" t="str">
        <f aca="false">IF(TRIM(Raw_Data!G233)="","Unspecified",IFERROR(INDEX(Lookup_Tables!$F$2:$F$24,MATCH(UPPER(TRIM(Raw_Data!G233)),Lookup_Tables!$G$2:$G$24,0)),"Unknown"))</f>
        <v>East</v>
      </c>
      <c r="H233" s="11" t="n">
        <f aca="false">IF(Raw_Data!H233="",ROUND(AVERAGEIFS(Raw_Data!$H$2:$H$839,Raw_Data!$C$2:$C$839,Raw_Data!C233),2),Raw_Data!H233)</f>
        <v>17156.03</v>
      </c>
      <c r="I233" s="11" t="n">
        <f aca="false">Raw_Data!I233</f>
        <v>369621</v>
      </c>
      <c r="J233" s="11" t="n">
        <f aca="false">IF(Raw_Data!J233&lt;0,ABS(Raw_Data!J233),Raw_Data!J233)</f>
        <v>2970</v>
      </c>
      <c r="K233" s="11" t="n">
        <f aca="false">Raw_Data!K233</f>
        <v>202</v>
      </c>
      <c r="L233" s="11" t="n">
        <f aca="false">IF(Raw_Data!L233="",ROUND(AVERAGEIFS(Raw_Data!$L$2:$L$839,Raw_Data!$C$2:$C$839,Raw_Data!C233),2),Raw_Data!L233)</f>
        <v>110898.63</v>
      </c>
      <c r="M233" s="13" t="n">
        <f aca="false">IFERROR(J233/I233,0)</f>
        <v>0.00803525773697923</v>
      </c>
      <c r="N233" s="14" t="n">
        <f aca="false">IFERROR(H233/J233,0)</f>
        <v>5.77644107744108</v>
      </c>
      <c r="O233" s="14" t="n">
        <f aca="false">IFERROR(H233/K233,0)</f>
        <v>84.9308415841584</v>
      </c>
      <c r="P233" s="15" t="n">
        <f aca="false">IFERROR(L233/H233,0)</f>
        <v>6.46411961275423</v>
      </c>
      <c r="Q233" s="13" t="n">
        <f aca="false">IFERROR(K233/J233,0)</f>
        <v>0.068013468013468</v>
      </c>
      <c r="R233" s="11" t="str">
        <f aca="false">IF(COUNTIF($A$2:A233,A233)&gt;1,"Duplicate - Remove","Unique")</f>
        <v>Unique</v>
      </c>
      <c r="S233" s="11" t="str">
        <f aca="false">TRIM(IF(Raw_Data!G233="","Region missing; ","")&amp;IF(Raw_Data!H233="","Spend imputed; ","")&amp;IF(Raw_Data!L233="","Revenue imputed; ","")&amp;IF(Raw_Data!J233&lt;0,"Clicks corrected; ",""))</f>
        <v/>
      </c>
    </row>
    <row r="234" customFormat="false" ht="15" hidden="false" customHeight="true" outlineLevel="0" collapsed="false">
      <c r="A234" s="11" t="n">
        <f aca="false">Raw_Data!A234</f>
        <v>1302</v>
      </c>
      <c r="B234" s="11" t="str">
        <f aca="false">PROPER(TRIM(Raw_Data!B234))</f>
        <v>Influencer Collab - Skincare</v>
      </c>
      <c r="C234" s="11" t="str">
        <f aca="false">IFERROR(INDEX(Lookup_Tables!$B$2:$B$26,MATCH(UPPER(TRIM(Raw_Data!C234)),Lookup_Tables!$C$2:$C$26,0)),"Unknown")</f>
        <v>Email</v>
      </c>
      <c r="D234" s="12" t="n">
        <f aca="false">IFERROR(IF(ISNUMBER(SEARCH("/",Raw_Data!D234)),DATE(VALUE(RIGHT(Raw_Data!D234,4)),VALUE(MID(Raw_Data!D234,FIND("/",Raw_Data!D234)+1,FIND("/",Raw_Data!D234,FIND("/",Raw_Data!D234)+1)-FIND("/",Raw_Data!D234)-1)),VALUE(LEFT(Raw_Data!D234,FIND("/",Raw_Data!D234)-1))),IF(ISNUMBER(VALUE(LEFT(Raw_Data!D234,4))),DATE(VALUE(LEFT(Raw_Data!D234,4)),VALUE(MID(Raw_Data!D234,6,2)),VALUE(MID(Raw_Data!D234,9,2))),DATEVALUE(Raw_Data!D234))),"")</f>
        <v>45323</v>
      </c>
      <c r="E234" s="12" t="n">
        <f aca="false">IFERROR(IF(ISNUMBER(SEARCH("/",Raw_Data!E234)),DATE(VALUE(RIGHT(Raw_Data!E234,4)),VALUE(MID(Raw_Data!E234,FIND("/",Raw_Data!E234)+1,FIND("/",Raw_Data!E234,FIND("/",Raw_Data!E234)+1)-FIND("/",Raw_Data!E234)-1)),VALUE(LEFT(Raw_Data!E234,FIND("/",Raw_Data!E234)-1))),IF(ISNUMBER(VALUE(LEFT(Raw_Data!E234,4))),DATE(VALUE(LEFT(Raw_Data!E234,4)),VALUE(MID(Raw_Data!E234,6,2)),VALUE(MID(Raw_Data!E234,9,2))),DATEVALUE(Raw_Data!E234))),"")</f>
        <v>45348</v>
      </c>
      <c r="F234" s="11" t="str">
        <f aca="false">Raw_Data!F234</f>
        <v>Male 25-34</v>
      </c>
      <c r="G234" s="11" t="str">
        <f aca="false">IF(TRIM(Raw_Data!G234)="","Unspecified",IFERROR(INDEX(Lookup_Tables!$F$2:$F$24,MATCH(UPPER(TRIM(Raw_Data!G234)),Lookup_Tables!$G$2:$G$24,0)),"Unknown"))</f>
        <v>Central</v>
      </c>
      <c r="H234" s="11" t="n">
        <f aca="false">IF(Raw_Data!H234="",ROUND(AVERAGEIFS(Raw_Data!$H$2:$H$839,Raw_Data!$C$2:$C$839,Raw_Data!C234),2),Raw_Data!H234)</f>
        <v>5046.99</v>
      </c>
      <c r="I234" s="11" t="n">
        <f aca="false">Raw_Data!I234</f>
        <v>147985</v>
      </c>
      <c r="J234" s="11" t="n">
        <f aca="false">IF(Raw_Data!J234&lt;0,ABS(Raw_Data!J234),Raw_Data!J234)</f>
        <v>3653</v>
      </c>
      <c r="K234" s="11" t="n">
        <f aca="false">Raw_Data!K234</f>
        <v>111</v>
      </c>
      <c r="L234" s="11" t="n">
        <f aca="false">IF(Raw_Data!L234="",ROUND(AVERAGEIFS(Raw_Data!$L$2:$L$839,Raw_Data!$C$2:$C$839,Raw_Data!C234),2),Raw_Data!L234)</f>
        <v>110861.2</v>
      </c>
      <c r="M234" s="13" t="n">
        <f aca="false">IFERROR(J234/I234,0)</f>
        <v>0.0246849342838801</v>
      </c>
      <c r="N234" s="14" t="n">
        <f aca="false">IFERROR(H234/J234,0)</f>
        <v>1.38160142348754</v>
      </c>
      <c r="O234" s="14" t="n">
        <f aca="false">IFERROR(H234/K234,0)</f>
        <v>45.4683783783784</v>
      </c>
      <c r="P234" s="15" t="n">
        <f aca="false">IFERROR(L234/H234,0)</f>
        <v>21.9658053612153</v>
      </c>
      <c r="Q234" s="13" t="n">
        <f aca="false">IFERROR(K234/J234,0)</f>
        <v>0.0303859841226389</v>
      </c>
      <c r="R234" s="11" t="str">
        <f aca="false">IF(COUNTIF($A$2:A234,A234)&gt;1,"Duplicate - Remove","Unique")</f>
        <v>Unique</v>
      </c>
      <c r="S234" s="11" t="str">
        <f aca="false">TRIM(IF(Raw_Data!G234="","Region missing; ","")&amp;IF(Raw_Data!H234="","Spend imputed; ","")&amp;IF(Raw_Data!L234="","Revenue imputed; ","")&amp;IF(Raw_Data!J234&lt;0,"Clicks corrected; ",""))</f>
        <v>Revenue imputed;</v>
      </c>
    </row>
    <row r="235" customFormat="false" ht="15" hidden="false" customHeight="true" outlineLevel="0" collapsed="false">
      <c r="A235" s="11" t="n">
        <f aca="false">Raw_Data!A235</f>
        <v>1169</v>
      </c>
      <c r="B235" s="11" t="str">
        <f aca="false">PROPER(TRIM(Raw_Data!B235))</f>
        <v>Men'S Grooming Drive</v>
      </c>
      <c r="C235" s="11" t="str">
        <f aca="false">IFERROR(INDEX(Lookup_Tables!$B$2:$B$26,MATCH(UPPER(TRIM(Raw_Data!C235)),Lookup_Tables!$C$2:$C$26,0)),"Unknown")</f>
        <v>Instagram</v>
      </c>
      <c r="D235" s="12" t="n">
        <f aca="false">IFERROR(IF(ISNUMBER(SEARCH("/",Raw_Data!D235)),DATE(VALUE(RIGHT(Raw_Data!D235,4)),VALUE(MID(Raw_Data!D235,FIND("/",Raw_Data!D235)+1,FIND("/",Raw_Data!D235,FIND("/",Raw_Data!D235)+1)-FIND("/",Raw_Data!D235)-1)),VALUE(LEFT(Raw_Data!D235,FIND("/",Raw_Data!D235)-1))),IF(ISNUMBER(VALUE(LEFT(Raw_Data!D235,4))),DATE(VALUE(LEFT(Raw_Data!D235,4)),VALUE(MID(Raw_Data!D235,6,2)),VALUE(MID(Raw_Data!D235,9,2))),DATEVALUE(Raw_Data!D235))),"")</f>
        <v>45377</v>
      </c>
      <c r="E235" s="12" t="n">
        <f aca="false">IFERROR(IF(ISNUMBER(SEARCH("/",Raw_Data!E235)),DATE(VALUE(RIGHT(Raw_Data!E235,4)),VALUE(MID(Raw_Data!E235,FIND("/",Raw_Data!E235)+1,FIND("/",Raw_Data!E235,FIND("/",Raw_Data!E235)+1)-FIND("/",Raw_Data!E235)-1)),VALUE(LEFT(Raw_Data!E235,FIND("/",Raw_Data!E235)-1))),IF(ISNUMBER(VALUE(LEFT(Raw_Data!E235,4))),DATE(VALUE(LEFT(Raw_Data!E235,4)),VALUE(MID(Raw_Data!E235,6,2)),VALUE(MID(Raw_Data!E235,9,2))),DATEVALUE(Raw_Data!E235))),"")</f>
        <v>45395</v>
      </c>
      <c r="F235" s="11" t="str">
        <f aca="false">Raw_Data!F235</f>
        <v>Female 45+</v>
      </c>
      <c r="G235" s="11" t="str">
        <f aca="false">IF(TRIM(Raw_Data!G235)="","Unspecified",IFERROR(INDEX(Lookup_Tables!$F$2:$F$24,MATCH(UPPER(TRIM(Raw_Data!G235)),Lookup_Tables!$G$2:$G$24,0)),"Unknown"))</f>
        <v>North</v>
      </c>
      <c r="H235" s="11" t="n">
        <f aca="false">IF(Raw_Data!H235="",ROUND(AVERAGEIFS(Raw_Data!$H$2:$H$839,Raw_Data!$C$2:$C$839,Raw_Data!C235),2),Raw_Data!H235)</f>
        <v>53852.07</v>
      </c>
      <c r="I235" s="11" t="n">
        <f aca="false">Raw_Data!I235</f>
        <v>1280644</v>
      </c>
      <c r="J235" s="11" t="n">
        <f aca="false">IF(Raw_Data!J235&lt;0,ABS(Raw_Data!J235),Raw_Data!J235)</f>
        <v>20823</v>
      </c>
      <c r="K235" s="11" t="n">
        <f aca="false">Raw_Data!K235</f>
        <v>1416</v>
      </c>
      <c r="L235" s="11" t="n">
        <f aca="false">IF(Raw_Data!L235="",ROUND(AVERAGEIFS(Raw_Data!$L$2:$L$839,Raw_Data!$C$2:$C$839,Raw_Data!C235),2),Raw_Data!L235)</f>
        <v>2115020.42</v>
      </c>
      <c r="M235" s="13" t="n">
        <f aca="false">IFERROR(J235/I235,0)</f>
        <v>0.0162597880441403</v>
      </c>
      <c r="N235" s="14" t="n">
        <f aca="false">IFERROR(H235/J235,0)</f>
        <v>2.58618210632474</v>
      </c>
      <c r="O235" s="14" t="n">
        <f aca="false">IFERROR(H235/K235,0)</f>
        <v>38.0311228813559</v>
      </c>
      <c r="P235" s="15" t="n">
        <f aca="false">IFERROR(L235/H235,0)</f>
        <v>39.2746354968342</v>
      </c>
      <c r="Q235" s="13" t="n">
        <f aca="false">IFERROR(K235/J235,0)</f>
        <v>0.0680017288575133</v>
      </c>
      <c r="R235" s="11" t="str">
        <f aca="false">IF(COUNTIF($A$2:A235,A235)&gt;1,"Duplicate - Remove","Unique")</f>
        <v>Duplicate - Remove</v>
      </c>
      <c r="S235" s="11" t="str">
        <f aca="false">TRIM(IF(Raw_Data!G235="","Region missing; ","")&amp;IF(Raw_Data!H235="","Spend imputed; ","")&amp;IF(Raw_Data!L235="","Revenue imputed; ","")&amp;IF(Raw_Data!J235&lt;0,"Clicks corrected; ",""))</f>
        <v/>
      </c>
    </row>
    <row r="236" customFormat="false" ht="15" hidden="false" customHeight="true" outlineLevel="0" collapsed="false">
      <c r="A236" s="11" t="n">
        <f aca="false">Raw_Data!A236</f>
        <v>1643</v>
      </c>
      <c r="B236" s="11" t="str">
        <f aca="false">PROPER(TRIM(Raw_Data!B236))</f>
        <v>Sunscreen Season Campaign</v>
      </c>
      <c r="C236" s="11" t="str">
        <f aca="false">IFERROR(INDEX(Lookup_Tables!$B$2:$B$26,MATCH(UPPER(TRIM(Raw_Data!C236)),Lookup_Tables!$C$2:$C$26,0)),"Unknown")</f>
        <v>Instagram</v>
      </c>
      <c r="D236" s="12" t="n">
        <f aca="false">IFERROR(IF(ISNUMBER(SEARCH("/",Raw_Data!D236)),DATE(VALUE(RIGHT(Raw_Data!D236,4)),VALUE(MID(Raw_Data!D236,FIND("/",Raw_Data!D236)+1,FIND("/",Raw_Data!D236,FIND("/",Raw_Data!D236)+1)-FIND("/",Raw_Data!D236)-1)),VALUE(LEFT(Raw_Data!D236,FIND("/",Raw_Data!D236)-1))),IF(ISNUMBER(VALUE(LEFT(Raw_Data!D236,4))),DATE(VALUE(LEFT(Raw_Data!D236,4)),VALUE(MID(Raw_Data!D236,6,2)),VALUE(MID(Raw_Data!D236,9,2))),DATEVALUE(Raw_Data!D236))),"")</f>
        <v>45598</v>
      </c>
      <c r="E236" s="12" t="n">
        <f aca="false">IFERROR(IF(ISNUMBER(SEARCH("/",Raw_Data!E236)),DATE(VALUE(RIGHT(Raw_Data!E236,4)),VALUE(MID(Raw_Data!E236,FIND("/",Raw_Data!E236)+1,FIND("/",Raw_Data!E236,FIND("/",Raw_Data!E236)+1)-FIND("/",Raw_Data!E236)-1)),VALUE(LEFT(Raw_Data!E236,FIND("/",Raw_Data!E236)-1))),IF(ISNUMBER(VALUE(LEFT(Raw_Data!E236,4))),DATE(VALUE(LEFT(Raw_Data!E236,4)),VALUE(MID(Raw_Data!E236,6,2)),VALUE(MID(Raw_Data!E236,9,2))),DATEVALUE(Raw_Data!E236))),"")</f>
        <v>45618</v>
      </c>
      <c r="F236" s="11" t="str">
        <f aca="false">Raw_Data!F236</f>
        <v>Male 18-24</v>
      </c>
      <c r="G236" s="11" t="str">
        <f aca="false">IF(TRIM(Raw_Data!G236)="","Unspecified",IFERROR(INDEX(Lookup_Tables!$F$2:$F$24,MATCH(UPPER(TRIM(Raw_Data!G236)),Lookup_Tables!$G$2:$G$24,0)),"Unknown"))</f>
        <v>South</v>
      </c>
      <c r="H236" s="11" t="n">
        <f aca="false">IF(Raw_Data!H236="",ROUND(AVERAGEIFS(Raw_Data!$H$2:$H$839,Raw_Data!$C$2:$C$839,Raw_Data!C236),2),Raw_Data!H236)</f>
        <v>37605.12</v>
      </c>
      <c r="I236" s="11" t="n">
        <f aca="false">Raw_Data!I236</f>
        <v>1110961</v>
      </c>
      <c r="J236" s="11" t="n">
        <f aca="false">IF(Raw_Data!J236&lt;0,ABS(Raw_Data!J236),Raw_Data!J236)</f>
        <v>34255</v>
      </c>
      <c r="K236" s="11" t="n">
        <f aca="false">Raw_Data!K236</f>
        <v>609</v>
      </c>
      <c r="L236" s="11" t="n">
        <f aca="false">IF(Raw_Data!L236="",ROUND(AVERAGEIFS(Raw_Data!$L$2:$L$839,Raw_Data!$C$2:$C$839,Raw_Data!C236),2),Raw_Data!L236)</f>
        <v>995989.26</v>
      </c>
      <c r="M236" s="13" t="n">
        <f aca="false">IFERROR(J236/I236,0)</f>
        <v>0.0308336656282264</v>
      </c>
      <c r="N236" s="14" t="n">
        <f aca="false">IFERROR(H236/J236,0)</f>
        <v>1.09779944533645</v>
      </c>
      <c r="O236" s="14" t="n">
        <f aca="false">IFERROR(H236/K236,0)</f>
        <v>61.7489655172414</v>
      </c>
      <c r="P236" s="15" t="n">
        <f aca="false">IFERROR(L236/H236,0)</f>
        <v>26.4854695318084</v>
      </c>
      <c r="Q236" s="13" t="n">
        <f aca="false">IFERROR(K236/J236,0)</f>
        <v>0.0177784265070793</v>
      </c>
      <c r="R236" s="11" t="str">
        <f aca="false">IF(COUNTIF($A$2:A236,A236)&gt;1,"Duplicate - Remove","Unique")</f>
        <v>Unique</v>
      </c>
      <c r="S236" s="11" t="str">
        <f aca="false">TRIM(IF(Raw_Data!G236="","Region missing; ","")&amp;IF(Raw_Data!H236="","Spend imputed; ","")&amp;IF(Raw_Data!L236="","Revenue imputed; ","")&amp;IF(Raw_Data!J236&lt;0,"Clicks corrected; ",""))</f>
        <v/>
      </c>
    </row>
    <row r="237" customFormat="false" ht="15" hidden="false" customHeight="true" outlineLevel="0" collapsed="false">
      <c r="A237" s="11" t="n">
        <f aca="false">Raw_Data!A237</f>
        <v>1313</v>
      </c>
      <c r="B237" s="11" t="str">
        <f aca="false">PROPER(TRIM(Raw_Data!B237))</f>
        <v>Festive Gift Bundle</v>
      </c>
      <c r="C237" s="11" t="str">
        <f aca="false">IFERROR(INDEX(Lookup_Tables!$B$2:$B$26,MATCH(UPPER(TRIM(Raw_Data!C237)),Lookup_Tables!$C$2:$C$26,0)),"Unknown")</f>
        <v>Email</v>
      </c>
      <c r="D237" s="12" t="n">
        <f aca="false">IFERROR(IF(ISNUMBER(SEARCH("/",Raw_Data!D237)),DATE(VALUE(RIGHT(Raw_Data!D237,4)),VALUE(MID(Raw_Data!D237,FIND("/",Raw_Data!D237)+1,FIND("/",Raw_Data!D237,FIND("/",Raw_Data!D237)+1)-FIND("/",Raw_Data!D237)-1)),VALUE(LEFT(Raw_Data!D237,FIND("/",Raw_Data!D237)-1))),IF(ISNUMBER(VALUE(LEFT(Raw_Data!D237,4))),DATE(VALUE(LEFT(Raw_Data!D237,4)),VALUE(MID(Raw_Data!D237,6,2)),VALUE(MID(Raw_Data!D237,9,2))),DATEVALUE(Raw_Data!D237))),"")</f>
        <v>45568</v>
      </c>
      <c r="E237" s="12" t="n">
        <f aca="false">IFERROR(IF(ISNUMBER(SEARCH("/",Raw_Data!E237)),DATE(VALUE(RIGHT(Raw_Data!E237,4)),VALUE(MID(Raw_Data!E237,FIND("/",Raw_Data!E237)+1,FIND("/",Raw_Data!E237,FIND("/",Raw_Data!E237)+1)-FIND("/",Raw_Data!E237)-1)),VALUE(LEFT(Raw_Data!E237,FIND("/",Raw_Data!E237)-1))),IF(ISNUMBER(VALUE(LEFT(Raw_Data!E237,4))),DATE(VALUE(LEFT(Raw_Data!E237,4)),VALUE(MID(Raw_Data!E237,6,2)),VALUE(MID(Raw_Data!E237,9,2))),DATEVALUE(Raw_Data!E237))),"")</f>
        <v>45593</v>
      </c>
      <c r="F237" s="11" t="str">
        <f aca="false">Raw_Data!F237</f>
        <v>Female 25-34</v>
      </c>
      <c r="G237" s="11" t="str">
        <f aca="false">IF(TRIM(Raw_Data!G237)="","Unspecified",IFERROR(INDEX(Lookup_Tables!$F$2:$F$24,MATCH(UPPER(TRIM(Raw_Data!G237)),Lookup_Tables!$G$2:$G$24,0)),"Unknown"))</f>
        <v>Central</v>
      </c>
      <c r="H237" s="11" t="n">
        <f aca="false">IF(Raw_Data!H237="",ROUND(AVERAGEIFS(Raw_Data!$H$2:$H$839,Raw_Data!$C$2:$C$839,Raw_Data!C237),2),Raw_Data!H237)</f>
        <v>4497.79</v>
      </c>
      <c r="I237" s="11" t="n">
        <f aca="false">Raw_Data!I237</f>
        <v>175970</v>
      </c>
      <c r="J237" s="11" t="n">
        <f aca="false">IF(Raw_Data!J237&lt;0,ABS(Raw_Data!J237),Raw_Data!J237)</f>
        <v>5165</v>
      </c>
      <c r="K237" s="11" t="n">
        <f aca="false">Raw_Data!K237</f>
        <v>401</v>
      </c>
      <c r="L237" s="11" t="n">
        <f aca="false">IF(Raw_Data!L237="",ROUND(AVERAGEIFS(Raw_Data!$L$2:$L$839,Raw_Data!$C$2:$C$839,Raw_Data!C237),2),Raw_Data!L237)</f>
        <v>149896.41</v>
      </c>
      <c r="M237" s="13" t="n">
        <f aca="false">IFERROR(J237/I237,0)</f>
        <v>0.0293515940217082</v>
      </c>
      <c r="N237" s="14" t="n">
        <f aca="false">IFERROR(H237/J237,0)</f>
        <v>0.870820909970958</v>
      </c>
      <c r="O237" s="14" t="n">
        <f aca="false">IFERROR(H237/K237,0)</f>
        <v>11.216433915212</v>
      </c>
      <c r="P237" s="15" t="n">
        <f aca="false">IFERROR(L237/H237,0)</f>
        <v>33.3266804363921</v>
      </c>
      <c r="Q237" s="13" t="n">
        <f aca="false">IFERROR(K237/J237,0)</f>
        <v>0.0776379477250726</v>
      </c>
      <c r="R237" s="11" t="str">
        <f aca="false">IF(COUNTIF($A$2:A237,A237)&gt;1,"Duplicate - Remove","Unique")</f>
        <v>Unique</v>
      </c>
      <c r="S237" s="11" t="str">
        <f aca="false">TRIM(IF(Raw_Data!G237="","Region missing; ","")&amp;IF(Raw_Data!H237="","Spend imputed; ","")&amp;IF(Raw_Data!L237="","Revenue imputed; ","")&amp;IF(Raw_Data!J237&lt;0,"Clicks corrected; ",""))</f>
        <v/>
      </c>
    </row>
    <row r="238" customFormat="false" ht="15" hidden="false" customHeight="true" outlineLevel="0" collapsed="false">
      <c r="A238" s="11" t="n">
        <f aca="false">Raw_Data!A238</f>
        <v>1062</v>
      </c>
      <c r="B238" s="11" t="str">
        <f aca="false">PROPER(TRIM(Raw_Data!B238))</f>
        <v>Monsoon Skincare Push</v>
      </c>
      <c r="C238" s="11" t="str">
        <f aca="false">IFERROR(INDEX(Lookup_Tables!$B$2:$B$26,MATCH(UPPER(TRIM(Raw_Data!C238)),Lookup_Tables!$C$2:$C$26,0)),"Unknown")</f>
        <v>Email</v>
      </c>
      <c r="D238" s="12" t="n">
        <f aca="false">IFERROR(IF(ISNUMBER(SEARCH("/",Raw_Data!D238)),DATE(VALUE(RIGHT(Raw_Data!D238,4)),VALUE(MID(Raw_Data!D238,FIND("/",Raw_Data!D238)+1,FIND("/",Raw_Data!D238,FIND("/",Raw_Data!D238)+1)-FIND("/",Raw_Data!D238)-1)),VALUE(LEFT(Raw_Data!D238,FIND("/",Raw_Data!D238)-1))),IF(ISNUMBER(VALUE(LEFT(Raw_Data!D238,4))),DATE(VALUE(LEFT(Raw_Data!D238,4)),VALUE(MID(Raw_Data!D238,6,2)),VALUE(MID(Raw_Data!D238,9,2))),DATEVALUE(Raw_Data!D238))),"")</f>
        <v>45592</v>
      </c>
      <c r="E238" s="12" t="n">
        <f aca="false">IFERROR(IF(ISNUMBER(SEARCH("/",Raw_Data!E238)),DATE(VALUE(RIGHT(Raw_Data!E238,4)),VALUE(MID(Raw_Data!E238,FIND("/",Raw_Data!E238)+1,FIND("/",Raw_Data!E238,FIND("/",Raw_Data!E238)+1)-FIND("/",Raw_Data!E238)-1)),VALUE(LEFT(Raw_Data!E238,FIND("/",Raw_Data!E238)-1))),IF(ISNUMBER(VALUE(LEFT(Raw_Data!E238,4))),DATE(VALUE(LEFT(Raw_Data!E238,4)),VALUE(MID(Raw_Data!E238,6,2)),VALUE(MID(Raw_Data!E238,9,2))),DATEVALUE(Raw_Data!E238))),"")</f>
        <v>45614</v>
      </c>
      <c r="F238" s="11" t="str">
        <f aca="false">Raw_Data!F238</f>
        <v>Female 18-24</v>
      </c>
      <c r="G238" s="11" t="str">
        <f aca="false">IF(TRIM(Raw_Data!G238)="","Unspecified",IFERROR(INDEX(Lookup_Tables!$F$2:$F$24,MATCH(UPPER(TRIM(Raw_Data!G238)),Lookup_Tables!$G$2:$G$24,0)),"Unknown"))</f>
        <v>North</v>
      </c>
      <c r="H238" s="11" t="n">
        <f aca="false">IF(Raw_Data!H238="",ROUND(AVERAGEIFS(Raw_Data!$H$2:$H$839,Raw_Data!$C$2:$C$839,Raw_Data!C238),2),Raw_Data!H238)</f>
        <v>3307.52</v>
      </c>
      <c r="I238" s="11" t="n">
        <f aca="false">Raw_Data!I238</f>
        <v>59719</v>
      </c>
      <c r="J238" s="11" t="n">
        <f aca="false">IF(Raw_Data!J238&lt;0,ABS(Raw_Data!J238),Raw_Data!J238)</f>
        <v>932</v>
      </c>
      <c r="K238" s="11" t="n">
        <f aca="false">Raw_Data!K238</f>
        <v>52</v>
      </c>
      <c r="L238" s="11" t="n">
        <f aca="false">IF(Raw_Data!L238="",ROUND(AVERAGEIFS(Raw_Data!$L$2:$L$839,Raw_Data!$C$2:$C$839,Raw_Data!C238),2),Raw_Data!L238)</f>
        <v>74771.43</v>
      </c>
      <c r="M238" s="13" t="n">
        <f aca="false">IFERROR(J238/I238,0)</f>
        <v>0.0156064234163332</v>
      </c>
      <c r="N238" s="14" t="n">
        <f aca="false">IFERROR(H238/J238,0)</f>
        <v>3.54884120171674</v>
      </c>
      <c r="O238" s="14" t="n">
        <f aca="false">IFERROR(H238/K238,0)</f>
        <v>63.6061538461538</v>
      </c>
      <c r="P238" s="15" t="n">
        <f aca="false">IFERROR(L238/H238,0)</f>
        <v>22.606493687113</v>
      </c>
      <c r="Q238" s="13" t="n">
        <f aca="false">IFERROR(K238/J238,0)</f>
        <v>0.055793991416309</v>
      </c>
      <c r="R238" s="11" t="str">
        <f aca="false">IF(COUNTIF($A$2:A238,A238)&gt;1,"Duplicate - Remove","Unique")</f>
        <v>Unique</v>
      </c>
      <c r="S238" s="11" t="str">
        <f aca="false">TRIM(IF(Raw_Data!G238="","Region missing; ","")&amp;IF(Raw_Data!H238="","Spend imputed; ","")&amp;IF(Raw_Data!L238="","Revenue imputed; ","")&amp;IF(Raw_Data!J238&lt;0,"Clicks corrected; ",""))</f>
        <v/>
      </c>
    </row>
    <row r="239" customFormat="false" ht="15" hidden="false" customHeight="true" outlineLevel="0" collapsed="false">
      <c r="A239" s="11" t="n">
        <f aca="false">Raw_Data!A239</f>
        <v>1777</v>
      </c>
      <c r="B239" s="11" t="str">
        <f aca="false">PROPER(TRIM(Raw_Data!B239))</f>
        <v>Summer Glow Launch</v>
      </c>
      <c r="C239" s="11" t="str">
        <f aca="false">IFERROR(INDEX(Lookup_Tables!$B$2:$B$26,MATCH(UPPER(TRIM(Raw_Data!C239)),Lookup_Tables!$C$2:$C$26,0)),"Unknown")</f>
        <v>Facebook</v>
      </c>
      <c r="D239" s="12" t="n">
        <f aca="false">IFERROR(IF(ISNUMBER(SEARCH("/",Raw_Data!D239)),DATE(VALUE(RIGHT(Raw_Data!D239,4)),VALUE(MID(Raw_Data!D239,FIND("/",Raw_Data!D239)+1,FIND("/",Raw_Data!D239,FIND("/",Raw_Data!D239)+1)-FIND("/",Raw_Data!D239)-1)),VALUE(LEFT(Raw_Data!D239,FIND("/",Raw_Data!D239)-1))),IF(ISNUMBER(VALUE(LEFT(Raw_Data!D239,4))),DATE(VALUE(LEFT(Raw_Data!D239,4)),VALUE(MID(Raw_Data!D239,6,2)),VALUE(MID(Raw_Data!D239,9,2))),DATEVALUE(Raw_Data!D239))),"")</f>
        <v>45369</v>
      </c>
      <c r="E239" s="12" t="n">
        <f aca="false">IFERROR(IF(ISNUMBER(SEARCH("/",Raw_Data!E239)),DATE(VALUE(RIGHT(Raw_Data!E239,4)),VALUE(MID(Raw_Data!E239,FIND("/",Raw_Data!E239)+1,FIND("/",Raw_Data!E239,FIND("/",Raw_Data!E239)+1)-FIND("/",Raw_Data!E239)-1)),VALUE(LEFT(Raw_Data!E239,FIND("/",Raw_Data!E239)-1))),IF(ISNUMBER(VALUE(LEFT(Raw_Data!E239,4))),DATE(VALUE(LEFT(Raw_Data!E239,4)),VALUE(MID(Raw_Data!E239,6,2)),VALUE(MID(Raw_Data!E239,9,2))),DATEVALUE(Raw_Data!E239))),"")</f>
        <v>45387</v>
      </c>
      <c r="F239" s="11" t="str">
        <f aca="false">Raw_Data!F239</f>
        <v>Female 45+</v>
      </c>
      <c r="G239" s="11" t="str">
        <f aca="false">IF(TRIM(Raw_Data!G239)="","Unspecified",IFERROR(INDEX(Lookup_Tables!$F$2:$F$24,MATCH(UPPER(TRIM(Raw_Data!G239)),Lookup_Tables!$G$2:$G$24,0)),"Unknown"))</f>
        <v>South</v>
      </c>
      <c r="H239" s="11" t="n">
        <f aca="false">IF(Raw_Data!H239="",ROUND(AVERAGEIFS(Raw_Data!$H$2:$H$839,Raw_Data!$C$2:$C$839,Raw_Data!C239),2),Raw_Data!H239)</f>
        <v>31000.22</v>
      </c>
      <c r="I239" s="11" t="n">
        <f aca="false">Raw_Data!I239</f>
        <v>1232589</v>
      </c>
      <c r="J239" s="11" t="n">
        <f aca="false">IF(Raw_Data!J239&lt;0,ABS(Raw_Data!J239),Raw_Data!J239)</f>
        <v>13951</v>
      </c>
      <c r="K239" s="11" t="n">
        <f aca="false">Raw_Data!K239</f>
        <v>1107</v>
      </c>
      <c r="L239" s="11" t="n">
        <f aca="false">IF(Raw_Data!L239="",ROUND(AVERAGEIFS(Raw_Data!$L$2:$L$839,Raw_Data!$C$2:$C$839,Raw_Data!C239),2),Raw_Data!L239)</f>
        <v>796455.55</v>
      </c>
      <c r="M239" s="13" t="n">
        <f aca="false">IFERROR(J239/I239,0)</f>
        <v>0.0113184524606337</v>
      </c>
      <c r="N239" s="14" t="n">
        <f aca="false">IFERROR(H239/J239,0)</f>
        <v>2.22207870403555</v>
      </c>
      <c r="O239" s="14" t="n">
        <f aca="false">IFERROR(H239/K239,0)</f>
        <v>28.0038121047877</v>
      </c>
      <c r="P239" s="15" t="n">
        <f aca="false">IFERROR(L239/H239,0)</f>
        <v>25.6919321862877</v>
      </c>
      <c r="Q239" s="13" t="n">
        <f aca="false">IFERROR(K239/J239,0)</f>
        <v>0.0793491505985234</v>
      </c>
      <c r="R239" s="11" t="str">
        <f aca="false">IF(COUNTIF($A$2:A239,A239)&gt;1,"Duplicate - Remove","Unique")</f>
        <v>Unique</v>
      </c>
      <c r="S239" s="11" t="str">
        <f aca="false">TRIM(IF(Raw_Data!G239="","Region missing; ","")&amp;IF(Raw_Data!H239="","Spend imputed; ","")&amp;IF(Raw_Data!L239="","Revenue imputed; ","")&amp;IF(Raw_Data!J239&lt;0,"Clicks corrected; ",""))</f>
        <v>Revenue imputed;</v>
      </c>
    </row>
    <row r="240" customFormat="false" ht="15" hidden="false" customHeight="true" outlineLevel="0" collapsed="false">
      <c r="A240" s="11" t="n">
        <f aca="false">Raw_Data!A240</f>
        <v>1139</v>
      </c>
      <c r="B240" s="11" t="str">
        <f aca="false">PROPER(TRIM(Raw_Data!B240))</f>
        <v>Back To College Offer</v>
      </c>
      <c r="C240" s="11" t="str">
        <f aca="false">IFERROR(INDEX(Lookup_Tables!$B$2:$B$26,MATCH(UPPER(TRIM(Raw_Data!C240)),Lookup_Tables!$C$2:$C$26,0)),"Unknown")</f>
        <v>Google Ads</v>
      </c>
      <c r="D240" s="12" t="n">
        <f aca="false">IFERROR(IF(ISNUMBER(SEARCH("/",Raw_Data!D240)),DATE(VALUE(RIGHT(Raw_Data!D240,4)),VALUE(MID(Raw_Data!D240,FIND("/",Raw_Data!D240)+1,FIND("/",Raw_Data!D240,FIND("/",Raw_Data!D240)+1)-FIND("/",Raw_Data!D240)-1)),VALUE(LEFT(Raw_Data!D240,FIND("/",Raw_Data!D240)-1))),IF(ISNUMBER(VALUE(LEFT(Raw_Data!D240,4))),DATE(VALUE(LEFT(Raw_Data!D240,4)),VALUE(MID(Raw_Data!D240,6,2)),VALUE(MID(Raw_Data!D240,9,2))),DATEVALUE(Raw_Data!D240))),"")</f>
        <v>45344</v>
      </c>
      <c r="E240" s="12" t="n">
        <f aca="false">IFERROR(IF(ISNUMBER(SEARCH("/",Raw_Data!E240)),DATE(VALUE(RIGHT(Raw_Data!E240,4)),VALUE(MID(Raw_Data!E240,FIND("/",Raw_Data!E240)+1,FIND("/",Raw_Data!E240,FIND("/",Raw_Data!E240)+1)-FIND("/",Raw_Data!E240)-1)),VALUE(LEFT(Raw_Data!E240,FIND("/",Raw_Data!E240)-1))),IF(ISNUMBER(VALUE(LEFT(Raw_Data!E240,4))),DATE(VALUE(LEFT(Raw_Data!E240,4)),VALUE(MID(Raw_Data!E240,6,2)),VALUE(MID(Raw_Data!E240,9,2))),DATEVALUE(Raw_Data!E240))),"")</f>
        <v>45372</v>
      </c>
      <c r="F240" s="11" t="str">
        <f aca="false">Raw_Data!F240</f>
        <v>Female 45+</v>
      </c>
      <c r="G240" s="11" t="str">
        <f aca="false">IF(TRIM(Raw_Data!G240)="","Unspecified",IFERROR(INDEX(Lookup_Tables!$F$2:$F$24,MATCH(UPPER(TRIM(Raw_Data!G240)),Lookup_Tables!$G$2:$G$24,0)),"Unknown"))</f>
        <v>West</v>
      </c>
      <c r="H240" s="11" t="n">
        <f aca="false">IF(Raw_Data!H240="",ROUND(AVERAGEIFS(Raw_Data!$H$2:$H$839,Raw_Data!$C$2:$C$839,Raw_Data!C240),2),Raw_Data!H240)</f>
        <v>62594.18</v>
      </c>
      <c r="I240" s="11" t="n">
        <f aca="false">Raw_Data!I240</f>
        <v>1404783</v>
      </c>
      <c r="J240" s="11" t="n">
        <f aca="false">IF(Raw_Data!J240&lt;0,ABS(Raw_Data!J240),Raw_Data!J240)</f>
        <v>49138</v>
      </c>
      <c r="K240" s="11" t="n">
        <f aca="false">Raw_Data!K240</f>
        <v>2038</v>
      </c>
      <c r="L240" s="11" t="n">
        <f aca="false">IF(Raw_Data!L240="",ROUND(AVERAGEIFS(Raw_Data!$L$2:$L$839,Raw_Data!$C$2:$C$839,Raw_Data!C240),2),Raw_Data!L240)</f>
        <v>1743379.82</v>
      </c>
      <c r="M240" s="13" t="n">
        <f aca="false">IFERROR(J240/I240,0)</f>
        <v>0.0349790679414543</v>
      </c>
      <c r="N240" s="14" t="n">
        <f aca="false">IFERROR(H240/J240,0)</f>
        <v>1.27384468232325</v>
      </c>
      <c r="O240" s="14" t="n">
        <f aca="false">IFERROR(H240/K240,0)</f>
        <v>30.713532875368</v>
      </c>
      <c r="P240" s="15" t="n">
        <f aca="false">IFERROR(L240/H240,0)</f>
        <v>27.8521073364968</v>
      </c>
      <c r="Q240" s="13" t="n">
        <f aca="false">IFERROR(K240/J240,0)</f>
        <v>0.0414750295087305</v>
      </c>
      <c r="R240" s="11" t="str">
        <f aca="false">IF(COUNTIF($A$2:A240,A240)&gt;1,"Duplicate - Remove","Unique")</f>
        <v>Unique</v>
      </c>
      <c r="S240" s="11" t="str">
        <f aca="false">TRIM(IF(Raw_Data!G240="","Region missing; ","")&amp;IF(Raw_Data!H240="","Spend imputed; ","")&amp;IF(Raw_Data!L240="","Revenue imputed; ","")&amp;IF(Raw_Data!J240&lt;0,"Clicks corrected; ",""))</f>
        <v/>
      </c>
    </row>
    <row r="241" customFormat="false" ht="15" hidden="false" customHeight="true" outlineLevel="0" collapsed="false">
      <c r="A241" s="11" t="n">
        <f aca="false">Raw_Data!A241</f>
        <v>1103</v>
      </c>
      <c r="B241" s="11" t="str">
        <f aca="false">PROPER(TRIM(Raw_Data!B241))</f>
        <v>Ayurvedic Range Launch</v>
      </c>
      <c r="C241" s="11" t="str">
        <f aca="false">IFERROR(INDEX(Lookup_Tables!$B$2:$B$26,MATCH(UPPER(TRIM(Raw_Data!C241)),Lookup_Tables!$C$2:$C$26,0)),"Unknown")</f>
        <v>Email</v>
      </c>
      <c r="D241" s="12" t="n">
        <f aca="false">IFERROR(IF(ISNUMBER(SEARCH("/",Raw_Data!D241)),DATE(VALUE(RIGHT(Raw_Data!D241,4)),VALUE(MID(Raw_Data!D241,FIND("/",Raw_Data!D241)+1,FIND("/",Raw_Data!D241,FIND("/",Raw_Data!D241)+1)-FIND("/",Raw_Data!D241)-1)),VALUE(LEFT(Raw_Data!D241,FIND("/",Raw_Data!D241)-1))),IF(ISNUMBER(VALUE(LEFT(Raw_Data!D241,4))),DATE(VALUE(LEFT(Raw_Data!D241,4)),VALUE(MID(Raw_Data!D241,6,2)),VALUE(MID(Raw_Data!D241,9,2))),DATEVALUE(Raw_Data!D241))),"")</f>
        <v>45625</v>
      </c>
      <c r="E241" s="12" t="n">
        <f aca="false">IFERROR(IF(ISNUMBER(SEARCH("/",Raw_Data!E241)),DATE(VALUE(RIGHT(Raw_Data!E241,4)),VALUE(MID(Raw_Data!E241,FIND("/",Raw_Data!E241)+1,FIND("/",Raw_Data!E241,FIND("/",Raw_Data!E241)+1)-FIND("/",Raw_Data!E241)-1)),VALUE(LEFT(Raw_Data!E241,FIND("/",Raw_Data!E241)-1))),IF(ISNUMBER(VALUE(LEFT(Raw_Data!E241,4))),DATE(VALUE(LEFT(Raw_Data!E241,4)),VALUE(MID(Raw_Data!E241,6,2)),VALUE(MID(Raw_Data!E241,9,2))),DATEVALUE(Raw_Data!E241))),"")</f>
        <v>45648</v>
      </c>
      <c r="F241" s="11" t="str">
        <f aca="false">Raw_Data!F241</f>
        <v>Female 25-34</v>
      </c>
      <c r="G241" s="11" t="str">
        <f aca="false">IF(TRIM(Raw_Data!G241)="","Unspecified",IFERROR(INDEX(Lookup_Tables!$F$2:$F$24,MATCH(UPPER(TRIM(Raw_Data!G241)),Lookup_Tables!$G$2:$G$24,0)),"Unknown"))</f>
        <v>East</v>
      </c>
      <c r="H241" s="11" t="n">
        <f aca="false">IF(Raw_Data!H241="",ROUND(AVERAGEIFS(Raw_Data!$H$2:$H$839,Raw_Data!$C$2:$C$839,Raw_Data!C241),2),Raw_Data!H241)</f>
        <v>4746.07</v>
      </c>
      <c r="I241" s="11" t="n">
        <f aca="false">Raw_Data!I241</f>
        <v>156990</v>
      </c>
      <c r="J241" s="11" t="n">
        <f aca="false">IF(Raw_Data!J241&lt;0,ABS(Raw_Data!J241),Raw_Data!J241)</f>
        <v>5196</v>
      </c>
      <c r="K241" s="11" t="n">
        <f aca="false">Raw_Data!K241</f>
        <v>384</v>
      </c>
      <c r="L241" s="11" t="n">
        <f aca="false">IF(Raw_Data!L241="",ROUND(AVERAGEIFS(Raw_Data!$L$2:$L$839,Raw_Data!$C$2:$C$839,Raw_Data!C241),2),Raw_Data!L241)</f>
        <v>231876.07</v>
      </c>
      <c r="M241" s="13" t="n">
        <f aca="false">IFERROR(J241/I241,0)</f>
        <v>0.0330976495318173</v>
      </c>
      <c r="N241" s="14" t="n">
        <f aca="false">IFERROR(H241/J241,0)</f>
        <v>0.913408391070054</v>
      </c>
      <c r="O241" s="14" t="n">
        <f aca="false">IFERROR(H241/K241,0)</f>
        <v>12.3595572916667</v>
      </c>
      <c r="P241" s="15" t="n">
        <f aca="false">IFERROR(L241/H241,0)</f>
        <v>48.8564370099893</v>
      </c>
      <c r="Q241" s="13" t="n">
        <f aca="false">IFERROR(K241/J241,0)</f>
        <v>0.0739030023094688</v>
      </c>
      <c r="R241" s="11" t="str">
        <f aca="false">IF(COUNTIF($A$2:A241,A241)&gt;1,"Duplicate - Remove","Unique")</f>
        <v>Unique</v>
      </c>
      <c r="S241" s="11" t="str">
        <f aca="false">TRIM(IF(Raw_Data!G241="","Region missing; ","")&amp;IF(Raw_Data!H241="","Spend imputed; ","")&amp;IF(Raw_Data!L241="","Revenue imputed; ","")&amp;IF(Raw_Data!J241&lt;0,"Clicks corrected; ",""))</f>
        <v/>
      </c>
    </row>
    <row r="242" customFormat="false" ht="15" hidden="false" customHeight="true" outlineLevel="0" collapsed="false">
      <c r="A242" s="11" t="n">
        <f aca="false">Raw_Data!A242</f>
        <v>1069</v>
      </c>
      <c r="B242" s="11" t="str">
        <f aca="false">PROPER(TRIM(Raw_Data!B242))</f>
        <v>Hair Care Revamp</v>
      </c>
      <c r="C242" s="11" t="str">
        <f aca="false">IFERROR(INDEX(Lookup_Tables!$B$2:$B$26,MATCH(UPPER(TRIM(Raw_Data!C242)),Lookup_Tables!$C$2:$C$26,0)),"Unknown")</f>
        <v>YouTube</v>
      </c>
      <c r="D242" s="12" t="n">
        <f aca="false">IFERROR(IF(ISNUMBER(SEARCH("/",Raw_Data!D242)),DATE(VALUE(RIGHT(Raw_Data!D242,4)),VALUE(MID(Raw_Data!D242,FIND("/",Raw_Data!D242)+1,FIND("/",Raw_Data!D242,FIND("/",Raw_Data!D242)+1)-FIND("/",Raw_Data!D242)-1)),VALUE(LEFT(Raw_Data!D242,FIND("/",Raw_Data!D242)-1))),IF(ISNUMBER(VALUE(LEFT(Raw_Data!D242,4))),DATE(VALUE(LEFT(Raw_Data!D242,4)),VALUE(MID(Raw_Data!D242,6,2)),VALUE(MID(Raw_Data!D242,9,2))),DATEVALUE(Raw_Data!D242))),"")</f>
        <v>45412</v>
      </c>
      <c r="E242" s="12" t="n">
        <f aca="false">IFERROR(IF(ISNUMBER(SEARCH("/",Raw_Data!E242)),DATE(VALUE(RIGHT(Raw_Data!E242,4)),VALUE(MID(Raw_Data!E242,FIND("/",Raw_Data!E242)+1,FIND("/",Raw_Data!E242,FIND("/",Raw_Data!E242)+1)-FIND("/",Raw_Data!E242)-1)),VALUE(LEFT(Raw_Data!E242,FIND("/",Raw_Data!E242)-1))),IF(ISNUMBER(VALUE(LEFT(Raw_Data!E242,4))),DATE(VALUE(LEFT(Raw_Data!E242,4)),VALUE(MID(Raw_Data!E242,6,2)),VALUE(MID(Raw_Data!E242,9,2))),DATEVALUE(Raw_Data!E242))),"")</f>
        <v>45420</v>
      </c>
      <c r="F242" s="11" t="str">
        <f aca="false">Raw_Data!F242</f>
        <v>Female 35-44</v>
      </c>
      <c r="G242" s="11" t="str">
        <f aca="false">IF(TRIM(Raw_Data!G242)="","Unspecified",IFERROR(INDEX(Lookup_Tables!$F$2:$F$24,MATCH(UPPER(TRIM(Raw_Data!G242)),Lookup_Tables!$G$2:$G$24,0)),"Unknown"))</f>
        <v>East</v>
      </c>
      <c r="H242" s="11" t="n">
        <f aca="false">IF(Raw_Data!H242="",ROUND(AVERAGEIFS(Raw_Data!$H$2:$H$839,Raw_Data!$C$2:$C$839,Raw_Data!C242),2),Raw_Data!H242)</f>
        <v>34197.62</v>
      </c>
      <c r="I242" s="11" t="n">
        <f aca="false">Raw_Data!I242</f>
        <v>661295</v>
      </c>
      <c r="J242" s="11" t="n">
        <f aca="false">IF(Raw_Data!J242&lt;0,ABS(Raw_Data!J242),Raw_Data!J242)</f>
        <v>6339</v>
      </c>
      <c r="K242" s="11" t="n">
        <f aca="false">Raw_Data!K242</f>
        <v>400</v>
      </c>
      <c r="L242" s="11" t="n">
        <f aca="false">IF(Raw_Data!L242="",ROUND(AVERAGEIFS(Raw_Data!$L$2:$L$839,Raw_Data!$C$2:$C$839,Raw_Data!C242),2),Raw_Data!L242)</f>
        <v>183704.9</v>
      </c>
      <c r="M242" s="13" t="n">
        <f aca="false">IFERROR(J242/I242,0)</f>
        <v>0.00958573707649385</v>
      </c>
      <c r="N242" s="14" t="n">
        <f aca="false">IFERROR(H242/J242,0)</f>
        <v>5.39479728663827</v>
      </c>
      <c r="O242" s="14" t="n">
        <f aca="false">IFERROR(H242/K242,0)</f>
        <v>85.49405</v>
      </c>
      <c r="P242" s="15" t="n">
        <f aca="false">IFERROR(L242/H242,0)</f>
        <v>5.37186213543516</v>
      </c>
      <c r="Q242" s="13" t="n">
        <f aca="false">IFERROR(K242/J242,0)</f>
        <v>0.0631014355576589</v>
      </c>
      <c r="R242" s="11" t="str">
        <f aca="false">IF(COUNTIF($A$2:A242,A242)&gt;1,"Duplicate - Remove","Unique")</f>
        <v>Unique</v>
      </c>
      <c r="S242" s="11" t="str">
        <f aca="false">TRIM(IF(Raw_Data!G242="","Region missing; ","")&amp;IF(Raw_Data!H242="","Spend imputed; ","")&amp;IF(Raw_Data!L242="","Revenue imputed; ","")&amp;IF(Raw_Data!J242&lt;0,"Clicks corrected; ",""))</f>
        <v/>
      </c>
    </row>
    <row r="243" customFormat="false" ht="15" hidden="false" customHeight="true" outlineLevel="0" collapsed="false">
      <c r="A243" s="11" t="n">
        <f aca="false">Raw_Data!A243</f>
        <v>1605</v>
      </c>
      <c r="B243" s="11" t="str">
        <f aca="false">PROPER(TRIM(Raw_Data!B243))</f>
        <v>Summer Glow Launch</v>
      </c>
      <c r="C243" s="11" t="str">
        <f aca="false">IFERROR(INDEX(Lookup_Tables!$B$2:$B$26,MATCH(UPPER(TRIM(Raw_Data!C243)),Lookup_Tables!$C$2:$C$26,0)),"Unknown")</f>
        <v>Google Ads</v>
      </c>
      <c r="D243" s="12" t="n">
        <f aca="false">IFERROR(IF(ISNUMBER(SEARCH("/",Raw_Data!D243)),DATE(VALUE(RIGHT(Raw_Data!D243,4)),VALUE(MID(Raw_Data!D243,FIND("/",Raw_Data!D243)+1,FIND("/",Raw_Data!D243,FIND("/",Raw_Data!D243)+1)-FIND("/",Raw_Data!D243)-1)),VALUE(LEFT(Raw_Data!D243,FIND("/",Raw_Data!D243)-1))),IF(ISNUMBER(VALUE(LEFT(Raw_Data!D243,4))),DATE(VALUE(LEFT(Raw_Data!D243,4)),VALUE(MID(Raw_Data!D243,6,2)),VALUE(MID(Raw_Data!D243,9,2))),DATEVALUE(Raw_Data!D243))),"")</f>
        <v>45487</v>
      </c>
      <c r="E243" s="12" t="n">
        <f aca="false">IFERROR(IF(ISNUMBER(SEARCH("/",Raw_Data!E243)),DATE(VALUE(RIGHT(Raw_Data!E243,4)),VALUE(MID(Raw_Data!E243,FIND("/",Raw_Data!E243)+1,FIND("/",Raw_Data!E243,FIND("/",Raw_Data!E243)+1)-FIND("/",Raw_Data!E243)-1)),VALUE(LEFT(Raw_Data!E243,FIND("/",Raw_Data!E243)-1))),IF(ISNUMBER(VALUE(LEFT(Raw_Data!E243,4))),DATE(VALUE(LEFT(Raw_Data!E243,4)),VALUE(MID(Raw_Data!E243,6,2)),VALUE(MID(Raw_Data!E243,9,2))),DATEVALUE(Raw_Data!E243))),"")</f>
        <v>45503</v>
      </c>
      <c r="F243" s="11" t="str">
        <f aca="false">Raw_Data!F243</f>
        <v>Male 18-24</v>
      </c>
      <c r="G243" s="11" t="str">
        <f aca="false">IF(TRIM(Raw_Data!G243)="","Unspecified",IFERROR(INDEX(Lookup_Tables!$F$2:$F$24,MATCH(UPPER(TRIM(Raw_Data!G243)),Lookup_Tables!$G$2:$G$24,0)),"Unknown"))</f>
        <v>East</v>
      </c>
      <c r="H243" s="11" t="n">
        <f aca="false">IF(Raw_Data!H243="",ROUND(AVERAGEIFS(Raw_Data!$H$2:$H$839,Raw_Data!$C$2:$C$839,Raw_Data!C243),2),Raw_Data!H243)</f>
        <v>75323.47</v>
      </c>
      <c r="I243" s="11" t="n">
        <f aca="false">Raw_Data!I243</f>
        <v>3004348</v>
      </c>
      <c r="J243" s="11" t="n">
        <f aca="false">IF(Raw_Data!J243&lt;0,ABS(Raw_Data!J243),Raw_Data!J243)</f>
        <v>32672</v>
      </c>
      <c r="K243" s="11" t="n">
        <f aca="false">Raw_Data!K243</f>
        <v>1152</v>
      </c>
      <c r="L243" s="11" t="n">
        <f aca="false">IF(Raw_Data!L243="",ROUND(AVERAGEIFS(Raw_Data!$L$2:$L$839,Raw_Data!$C$2:$C$839,Raw_Data!C243),2),Raw_Data!L243)</f>
        <v>728741.93</v>
      </c>
      <c r="M243" s="13" t="n">
        <f aca="false">IFERROR(J243/I243,0)</f>
        <v>0.0108749053039129</v>
      </c>
      <c r="N243" s="14" t="n">
        <f aca="false">IFERROR(H243/J243,0)</f>
        <v>2.30544411116552</v>
      </c>
      <c r="O243" s="14" t="n">
        <f aca="false">IFERROR(H243/K243,0)</f>
        <v>65.3849565972222</v>
      </c>
      <c r="P243" s="15" t="n">
        <f aca="false">IFERROR(L243/H243,0)</f>
        <v>9.67483216054704</v>
      </c>
      <c r="Q243" s="13" t="n">
        <f aca="false">IFERROR(K243/J243,0)</f>
        <v>0.0352595494613124</v>
      </c>
      <c r="R243" s="11" t="str">
        <f aca="false">IF(COUNTIF($A$2:A243,A243)&gt;1,"Duplicate - Remove","Unique")</f>
        <v>Unique</v>
      </c>
      <c r="S243" s="11" t="str">
        <f aca="false">TRIM(IF(Raw_Data!G243="","Region missing; ","")&amp;IF(Raw_Data!H243="","Spend imputed; ","")&amp;IF(Raw_Data!L243="","Revenue imputed; ","")&amp;IF(Raw_Data!J243&lt;0,"Clicks corrected; ",""))</f>
        <v/>
      </c>
    </row>
    <row r="244" customFormat="false" ht="15" hidden="false" customHeight="true" outlineLevel="0" collapsed="false">
      <c r="A244" s="11" t="n">
        <f aca="false">Raw_Data!A244</f>
        <v>1727</v>
      </c>
      <c r="B244" s="11" t="str">
        <f aca="false">PROPER(TRIM(Raw_Data!B244))</f>
        <v>Sunscreen Season Campaign</v>
      </c>
      <c r="C244" s="11" t="str">
        <f aca="false">IFERROR(INDEX(Lookup_Tables!$B$2:$B$26,MATCH(UPPER(TRIM(Raw_Data!C244)),Lookup_Tables!$C$2:$C$26,0)),"Unknown")</f>
        <v>Instagram</v>
      </c>
      <c r="D244" s="12" t="n">
        <f aca="false">IFERROR(IF(ISNUMBER(SEARCH("/",Raw_Data!D244)),DATE(VALUE(RIGHT(Raw_Data!D244,4)),VALUE(MID(Raw_Data!D244,FIND("/",Raw_Data!D244)+1,FIND("/",Raw_Data!D244,FIND("/",Raw_Data!D244)+1)-FIND("/",Raw_Data!D244)-1)),VALUE(LEFT(Raw_Data!D244,FIND("/",Raw_Data!D244)-1))),IF(ISNUMBER(VALUE(LEFT(Raw_Data!D244,4))),DATE(VALUE(LEFT(Raw_Data!D244,4)),VALUE(MID(Raw_Data!D244,6,2)),VALUE(MID(Raw_Data!D244,9,2))),DATEVALUE(Raw_Data!D244))),"")</f>
        <v>45452</v>
      </c>
      <c r="E244" s="12" t="n">
        <f aca="false">IFERROR(IF(ISNUMBER(SEARCH("/",Raw_Data!E244)),DATE(VALUE(RIGHT(Raw_Data!E244,4)),VALUE(MID(Raw_Data!E244,FIND("/",Raw_Data!E244)+1,FIND("/",Raw_Data!E244,FIND("/",Raw_Data!E244)+1)-FIND("/",Raw_Data!E244)-1)),VALUE(LEFT(Raw_Data!E244,FIND("/",Raw_Data!E244)-1))),IF(ISNUMBER(VALUE(LEFT(Raw_Data!E244,4))),DATE(VALUE(LEFT(Raw_Data!E244,4)),VALUE(MID(Raw_Data!E244,6,2)),VALUE(MID(Raw_Data!E244,9,2))),DATEVALUE(Raw_Data!E244))),"")</f>
        <v>45460</v>
      </c>
      <c r="F244" s="11" t="str">
        <f aca="false">Raw_Data!F244</f>
        <v>Male 45+</v>
      </c>
      <c r="G244" s="11" t="str">
        <f aca="false">IF(TRIM(Raw_Data!G244)="","Unspecified",IFERROR(INDEX(Lookup_Tables!$F$2:$F$24,MATCH(UPPER(TRIM(Raw_Data!G244)),Lookup_Tables!$G$2:$G$24,0)),"Unknown"))</f>
        <v>West</v>
      </c>
      <c r="H244" s="11" t="n">
        <f aca="false">IF(Raw_Data!H244="",ROUND(AVERAGEIFS(Raw_Data!$H$2:$H$839,Raw_Data!$C$2:$C$839,Raw_Data!C244),2),Raw_Data!H244)</f>
        <v>32762.45</v>
      </c>
      <c r="I244" s="11" t="n">
        <f aca="false">Raw_Data!I244</f>
        <v>632421</v>
      </c>
      <c r="J244" s="11" t="n">
        <f aca="false">IF(Raw_Data!J244&lt;0,ABS(Raw_Data!J244),Raw_Data!J244)</f>
        <v>14669</v>
      </c>
      <c r="K244" s="11" t="n">
        <f aca="false">Raw_Data!K244</f>
        <v>439</v>
      </c>
      <c r="L244" s="11" t="n">
        <f aca="false">IF(Raw_Data!L244="",ROUND(AVERAGEIFS(Raw_Data!$L$2:$L$839,Raw_Data!$C$2:$C$839,Raw_Data!C244),2),Raw_Data!L244)</f>
        <v>526974.06</v>
      </c>
      <c r="M244" s="13" t="n">
        <f aca="false">IFERROR(J244/I244,0)</f>
        <v>0.0231949919436578</v>
      </c>
      <c r="N244" s="14" t="n">
        <f aca="false">IFERROR(H244/J244,0)</f>
        <v>2.23344808780421</v>
      </c>
      <c r="O244" s="14" t="n">
        <f aca="false">IFERROR(H244/K244,0)</f>
        <v>74.6297266514806</v>
      </c>
      <c r="P244" s="15" t="n">
        <f aca="false">IFERROR(L244/H244,0)</f>
        <v>16.0846963520738</v>
      </c>
      <c r="Q244" s="13" t="n">
        <f aca="false">IFERROR(K244/J244,0)</f>
        <v>0.0299270570591042</v>
      </c>
      <c r="R244" s="11" t="str">
        <f aca="false">IF(COUNTIF($A$2:A244,A244)&gt;1,"Duplicate - Remove","Unique")</f>
        <v>Unique</v>
      </c>
      <c r="S244" s="11" t="str">
        <f aca="false">TRIM(IF(Raw_Data!G244="","Region missing; ","")&amp;IF(Raw_Data!H244="","Spend imputed; ","")&amp;IF(Raw_Data!L244="","Revenue imputed; ","")&amp;IF(Raw_Data!J244&lt;0,"Clicks corrected; ",""))</f>
        <v>Spend imputed;</v>
      </c>
    </row>
    <row r="245" customFormat="false" ht="15" hidden="false" customHeight="true" outlineLevel="0" collapsed="false">
      <c r="A245" s="11" t="n">
        <f aca="false">Raw_Data!A245</f>
        <v>1445</v>
      </c>
      <c r="B245" s="11" t="str">
        <f aca="false">PROPER(TRIM(Raw_Data!B245))</f>
        <v>Hair Care Revamp</v>
      </c>
      <c r="C245" s="11" t="str">
        <f aca="false">IFERROR(INDEX(Lookup_Tables!$B$2:$B$26,MATCH(UPPER(TRIM(Raw_Data!C245)),Lookup_Tables!$C$2:$C$26,0)),"Unknown")</f>
        <v>Email</v>
      </c>
      <c r="D245" s="12" t="n">
        <f aca="false">IFERROR(IF(ISNUMBER(SEARCH("/",Raw_Data!D245)),DATE(VALUE(RIGHT(Raw_Data!D245,4)),VALUE(MID(Raw_Data!D245,FIND("/",Raw_Data!D245)+1,FIND("/",Raw_Data!D245,FIND("/",Raw_Data!D245)+1)-FIND("/",Raw_Data!D245)-1)),VALUE(LEFT(Raw_Data!D245,FIND("/",Raw_Data!D245)-1))),IF(ISNUMBER(VALUE(LEFT(Raw_Data!D245,4))),DATE(VALUE(LEFT(Raw_Data!D245,4)),VALUE(MID(Raw_Data!D245,6,2)),VALUE(MID(Raw_Data!D245,9,2))),DATEVALUE(Raw_Data!D245))),"")</f>
        <v>45510</v>
      </c>
      <c r="E245" s="12" t="n">
        <f aca="false">IFERROR(IF(ISNUMBER(SEARCH("/",Raw_Data!E245)),DATE(VALUE(RIGHT(Raw_Data!E245,4)),VALUE(MID(Raw_Data!E245,FIND("/",Raw_Data!E245)+1,FIND("/",Raw_Data!E245,FIND("/",Raw_Data!E245)+1)-FIND("/",Raw_Data!E245)-1)),VALUE(LEFT(Raw_Data!E245,FIND("/",Raw_Data!E245)-1))),IF(ISNUMBER(VALUE(LEFT(Raw_Data!E245,4))),DATE(VALUE(LEFT(Raw_Data!E245,4)),VALUE(MID(Raw_Data!E245,6,2)),VALUE(MID(Raw_Data!E245,9,2))),DATEVALUE(Raw_Data!E245))),"")</f>
        <v>45517</v>
      </c>
      <c r="F245" s="11" t="str">
        <f aca="false">Raw_Data!F245</f>
        <v>Female 45+</v>
      </c>
      <c r="G245" s="11" t="str">
        <f aca="false">IF(TRIM(Raw_Data!G245)="","Unspecified",IFERROR(INDEX(Lookup_Tables!$F$2:$F$24,MATCH(UPPER(TRIM(Raw_Data!G245)),Lookup_Tables!$G$2:$G$24,0)),"Unknown"))</f>
        <v>Unspecified</v>
      </c>
      <c r="H245" s="11" t="n">
        <f aca="false">IF(Raw_Data!H245="",ROUND(AVERAGEIFS(Raw_Data!$H$2:$H$839,Raw_Data!$C$2:$C$839,Raw_Data!C245),2),Raw_Data!H245)</f>
        <v>5166.28</v>
      </c>
      <c r="I245" s="11" t="n">
        <f aca="false">Raw_Data!I245</f>
        <v>97229</v>
      </c>
      <c r="J245" s="11" t="n">
        <f aca="false">IF(Raw_Data!J245&lt;0,ABS(Raw_Data!J245),Raw_Data!J245)</f>
        <v>2605</v>
      </c>
      <c r="K245" s="11" t="n">
        <f aca="false">Raw_Data!K245</f>
        <v>72</v>
      </c>
      <c r="L245" s="11" t="n">
        <f aca="false">IF(Raw_Data!L245="",ROUND(AVERAGEIFS(Raw_Data!$L$2:$L$839,Raw_Data!$C$2:$C$839,Raw_Data!C245),2),Raw_Data!L245)</f>
        <v>73605.19</v>
      </c>
      <c r="M245" s="13" t="n">
        <f aca="false">IFERROR(J245/I245,0)</f>
        <v>0.0267924179000093</v>
      </c>
      <c r="N245" s="14" t="n">
        <f aca="false">IFERROR(H245/J245,0)</f>
        <v>1.98321689059501</v>
      </c>
      <c r="O245" s="14" t="n">
        <f aca="false">IFERROR(H245/K245,0)</f>
        <v>71.7538888888889</v>
      </c>
      <c r="P245" s="15" t="n">
        <f aca="false">IFERROR(L245/H245,0)</f>
        <v>14.2472320509148</v>
      </c>
      <c r="Q245" s="13" t="n">
        <f aca="false">IFERROR(K245/J245,0)</f>
        <v>0.0276391554702495</v>
      </c>
      <c r="R245" s="11" t="str">
        <f aca="false">IF(COUNTIF($A$2:A245,A245)&gt;1,"Duplicate - Remove","Unique")</f>
        <v>Unique</v>
      </c>
      <c r="S245" s="11" t="str">
        <f aca="false">TRIM(IF(Raw_Data!G245="","Region missing; ","")&amp;IF(Raw_Data!H245="","Spend imputed; ","")&amp;IF(Raw_Data!L245="","Revenue imputed; ","")&amp;IF(Raw_Data!J245&lt;0,"Clicks corrected; ",""))</f>
        <v>Region missing;</v>
      </c>
    </row>
    <row r="246" customFormat="false" ht="15" hidden="false" customHeight="true" outlineLevel="0" collapsed="false">
      <c r="A246" s="11" t="n">
        <f aca="false">Raw_Data!A246</f>
        <v>1065</v>
      </c>
      <c r="B246" s="11" t="str">
        <f aca="false">PROPER(TRIM(Raw_Data!B246))</f>
        <v>Sunscreen Season Campaign</v>
      </c>
      <c r="C246" s="11" t="str">
        <f aca="false">IFERROR(INDEX(Lookup_Tables!$B$2:$B$26,MATCH(UPPER(TRIM(Raw_Data!C246)),Lookup_Tables!$C$2:$C$26,0)),"Unknown")</f>
        <v>Email</v>
      </c>
      <c r="D246" s="12" t="n">
        <f aca="false">IFERROR(IF(ISNUMBER(SEARCH("/",Raw_Data!D246)),DATE(VALUE(RIGHT(Raw_Data!D246,4)),VALUE(MID(Raw_Data!D246,FIND("/",Raw_Data!D246)+1,FIND("/",Raw_Data!D246,FIND("/",Raw_Data!D246)+1)-FIND("/",Raw_Data!D246)-1)),VALUE(LEFT(Raw_Data!D246,FIND("/",Raw_Data!D246)-1))),IF(ISNUMBER(VALUE(LEFT(Raw_Data!D246,4))),DATE(VALUE(LEFT(Raw_Data!D246,4)),VALUE(MID(Raw_Data!D246,6,2)),VALUE(MID(Raw_Data!D246,9,2))),DATEVALUE(Raw_Data!D246))),"")</f>
        <v>45371</v>
      </c>
      <c r="E246" s="12" t="n">
        <f aca="false">IFERROR(IF(ISNUMBER(SEARCH("/",Raw_Data!E246)),DATE(VALUE(RIGHT(Raw_Data!E246,4)),VALUE(MID(Raw_Data!E246,FIND("/",Raw_Data!E246)+1,FIND("/",Raw_Data!E246,FIND("/",Raw_Data!E246)+1)-FIND("/",Raw_Data!E246)-1)),VALUE(LEFT(Raw_Data!E246,FIND("/",Raw_Data!E246)-1))),IF(ISNUMBER(VALUE(LEFT(Raw_Data!E246,4))),DATE(VALUE(LEFT(Raw_Data!E246,4)),VALUE(MID(Raw_Data!E246,6,2)),VALUE(MID(Raw_Data!E246,9,2))),DATEVALUE(Raw_Data!E246))),"")</f>
        <v>45381</v>
      </c>
      <c r="F246" s="11" t="str">
        <f aca="false">Raw_Data!F246</f>
        <v>Female 18-24</v>
      </c>
      <c r="G246" s="11" t="str">
        <f aca="false">IF(TRIM(Raw_Data!G246)="","Unspecified",IFERROR(INDEX(Lookup_Tables!$F$2:$F$24,MATCH(UPPER(TRIM(Raw_Data!G246)),Lookup_Tables!$G$2:$G$24,0)),"Unknown"))</f>
        <v>East</v>
      </c>
      <c r="H246" s="11" t="n">
        <f aca="false">IF(Raw_Data!H246="",ROUND(AVERAGEIFS(Raw_Data!$H$2:$H$839,Raw_Data!$C$2:$C$839,Raw_Data!C246),2),Raw_Data!H246)</f>
        <v>1348.34</v>
      </c>
      <c r="I246" s="11" t="n">
        <f aca="false">Raw_Data!I246</f>
        <v>22975</v>
      </c>
      <c r="J246" s="11" t="n">
        <f aca="false">IF(Raw_Data!J246&lt;0,ABS(Raw_Data!J246),Raw_Data!J246)</f>
        <v>420</v>
      </c>
      <c r="K246" s="11" t="n">
        <f aca="false">Raw_Data!K246</f>
        <v>16</v>
      </c>
      <c r="L246" s="11" t="n">
        <f aca="false">IF(Raw_Data!L246="",ROUND(AVERAGEIFS(Raw_Data!$L$2:$L$839,Raw_Data!$C$2:$C$839,Raw_Data!C246),2),Raw_Data!L246)</f>
        <v>19684.16</v>
      </c>
      <c r="M246" s="13" t="n">
        <f aca="false">IFERROR(J246/I246,0)</f>
        <v>0.0182807399347116</v>
      </c>
      <c r="N246" s="14" t="n">
        <f aca="false">IFERROR(H246/J246,0)</f>
        <v>3.21033333333333</v>
      </c>
      <c r="O246" s="14" t="n">
        <f aca="false">IFERROR(H246/K246,0)</f>
        <v>84.27125</v>
      </c>
      <c r="P246" s="15" t="n">
        <f aca="false">IFERROR(L246/H246,0)</f>
        <v>14.598810389071</v>
      </c>
      <c r="Q246" s="13" t="n">
        <f aca="false">IFERROR(K246/J246,0)</f>
        <v>0.0380952380952381</v>
      </c>
      <c r="R246" s="11" t="str">
        <f aca="false">IF(COUNTIF($A$2:A246,A246)&gt;1,"Duplicate - Remove","Unique")</f>
        <v>Unique</v>
      </c>
      <c r="S246" s="11" t="str">
        <f aca="false">TRIM(IF(Raw_Data!G246="","Region missing; ","")&amp;IF(Raw_Data!H246="","Spend imputed; ","")&amp;IF(Raw_Data!L246="","Revenue imputed; ","")&amp;IF(Raw_Data!J246&lt;0,"Clicks corrected; ",""))</f>
        <v/>
      </c>
    </row>
    <row r="247" customFormat="false" ht="15" hidden="false" customHeight="true" outlineLevel="0" collapsed="false">
      <c r="A247" s="11" t="n">
        <f aca="false">Raw_Data!A247</f>
        <v>1589</v>
      </c>
      <c r="B247" s="11" t="str">
        <f aca="false">PROPER(TRIM(Raw_Data!B247))</f>
        <v>Hair Care Revamp</v>
      </c>
      <c r="C247" s="11" t="str">
        <f aca="false">IFERROR(INDEX(Lookup_Tables!$B$2:$B$26,MATCH(UPPER(TRIM(Raw_Data!C247)),Lookup_Tables!$C$2:$C$26,0)),"Unknown")</f>
        <v>YouTube</v>
      </c>
      <c r="D247" s="12" t="n">
        <f aca="false">IFERROR(IF(ISNUMBER(SEARCH("/",Raw_Data!D247)),DATE(VALUE(RIGHT(Raw_Data!D247,4)),VALUE(MID(Raw_Data!D247,FIND("/",Raw_Data!D247)+1,FIND("/",Raw_Data!D247,FIND("/",Raw_Data!D247)+1)-FIND("/",Raw_Data!D247)-1)),VALUE(LEFT(Raw_Data!D247,FIND("/",Raw_Data!D247)-1))),IF(ISNUMBER(VALUE(LEFT(Raw_Data!D247,4))),DATE(VALUE(LEFT(Raw_Data!D247,4)),VALUE(MID(Raw_Data!D247,6,2)),VALUE(MID(Raw_Data!D247,9,2))),DATEVALUE(Raw_Data!D247))),"")</f>
        <v>45458</v>
      </c>
      <c r="E247" s="12" t="n">
        <f aca="false">IFERROR(IF(ISNUMBER(SEARCH("/",Raw_Data!E247)),DATE(VALUE(RIGHT(Raw_Data!E247,4)),VALUE(MID(Raw_Data!E247,FIND("/",Raw_Data!E247)+1,FIND("/",Raw_Data!E247,FIND("/",Raw_Data!E247)+1)-FIND("/",Raw_Data!E247)-1)),VALUE(LEFT(Raw_Data!E247,FIND("/",Raw_Data!E247)-1))),IF(ISNUMBER(VALUE(LEFT(Raw_Data!E247,4))),DATE(VALUE(LEFT(Raw_Data!E247,4)),VALUE(MID(Raw_Data!E247,6,2)),VALUE(MID(Raw_Data!E247,9,2))),DATEVALUE(Raw_Data!E247))),"")</f>
        <v>45470</v>
      </c>
      <c r="F247" s="11" t="str">
        <f aca="false">Raw_Data!F247</f>
        <v>Male 45+</v>
      </c>
      <c r="G247" s="11" t="str">
        <f aca="false">IF(TRIM(Raw_Data!G247)="","Unspecified",IFERROR(INDEX(Lookup_Tables!$F$2:$F$24,MATCH(UPPER(TRIM(Raw_Data!G247)),Lookup_Tables!$G$2:$G$24,0)),"Unknown"))</f>
        <v>North</v>
      </c>
      <c r="H247" s="11" t="n">
        <f aca="false">IF(Raw_Data!H247="",ROUND(AVERAGEIFS(Raw_Data!$H$2:$H$839,Raw_Data!$C$2:$C$839,Raw_Data!C247),2),Raw_Data!H247)</f>
        <v>46864.9</v>
      </c>
      <c r="I247" s="11" t="n">
        <f aca="false">Raw_Data!I247</f>
        <v>909406</v>
      </c>
      <c r="J247" s="11" t="n">
        <f aca="false">IF(Raw_Data!J247&lt;0,ABS(Raw_Data!J247),Raw_Data!J247)</f>
        <v>30637</v>
      </c>
      <c r="K247" s="11" t="n">
        <f aca="false">Raw_Data!K247</f>
        <v>1723</v>
      </c>
      <c r="L247" s="11" t="n">
        <f aca="false">IF(Raw_Data!L247="",ROUND(AVERAGEIFS(Raw_Data!$L$2:$L$839,Raw_Data!$C$2:$C$839,Raw_Data!C247),2),Raw_Data!L247)</f>
        <v>1471422.93</v>
      </c>
      <c r="M247" s="13" t="n">
        <f aca="false">IFERROR(J247/I247,0)</f>
        <v>0.0336890233844949</v>
      </c>
      <c r="N247" s="14" t="n">
        <f aca="false">IFERROR(H247/J247,0)</f>
        <v>1.52968306296308</v>
      </c>
      <c r="O247" s="14" t="n">
        <f aca="false">IFERROR(H247/K247,0)</f>
        <v>27.199593731863</v>
      </c>
      <c r="P247" s="15" t="n">
        <f aca="false">IFERROR(L247/H247,0)</f>
        <v>31.3971208729774</v>
      </c>
      <c r="Q247" s="13" t="n">
        <f aca="false">IFERROR(K247/J247,0)</f>
        <v>0.0562391879100434</v>
      </c>
      <c r="R247" s="11" t="str">
        <f aca="false">IF(COUNTIF($A$2:A247,A247)&gt;1,"Duplicate - Remove","Unique")</f>
        <v>Unique</v>
      </c>
      <c r="S247" s="11" t="str">
        <f aca="false">TRIM(IF(Raw_Data!G247="","Region missing; ","")&amp;IF(Raw_Data!H247="","Spend imputed; ","")&amp;IF(Raw_Data!L247="","Revenue imputed; ","")&amp;IF(Raw_Data!J247&lt;0,"Clicks corrected; ",""))</f>
        <v/>
      </c>
    </row>
    <row r="248" customFormat="false" ht="15" hidden="false" customHeight="true" outlineLevel="0" collapsed="false">
      <c r="A248" s="11" t="n">
        <f aca="false">Raw_Data!A248</f>
        <v>1348</v>
      </c>
      <c r="B248" s="11" t="str">
        <f aca="false">PROPER(TRIM(Raw_Data!B248))</f>
        <v>Monsoon Skincare Push</v>
      </c>
      <c r="C248" s="11" t="str">
        <f aca="false">IFERROR(INDEX(Lookup_Tables!$B$2:$B$26,MATCH(UPPER(TRIM(Raw_Data!C248)),Lookup_Tables!$C$2:$C$26,0)),"Unknown")</f>
        <v>YouTube</v>
      </c>
      <c r="D248" s="12" t="n">
        <f aca="false">IFERROR(IF(ISNUMBER(SEARCH("/",Raw_Data!D248)),DATE(VALUE(RIGHT(Raw_Data!D248,4)),VALUE(MID(Raw_Data!D248,FIND("/",Raw_Data!D248)+1,FIND("/",Raw_Data!D248,FIND("/",Raw_Data!D248)+1)-FIND("/",Raw_Data!D248)-1)),VALUE(LEFT(Raw_Data!D248,FIND("/",Raw_Data!D248)-1))),IF(ISNUMBER(VALUE(LEFT(Raw_Data!D248,4))),DATE(VALUE(LEFT(Raw_Data!D248,4)),VALUE(MID(Raw_Data!D248,6,2)),VALUE(MID(Raw_Data!D248,9,2))),DATEVALUE(Raw_Data!D248))),"")</f>
        <v>45621</v>
      </c>
      <c r="E248" s="12" t="n">
        <f aca="false">IFERROR(IF(ISNUMBER(SEARCH("/",Raw_Data!E248)),DATE(VALUE(RIGHT(Raw_Data!E248,4)),VALUE(MID(Raw_Data!E248,FIND("/",Raw_Data!E248)+1,FIND("/",Raw_Data!E248,FIND("/",Raw_Data!E248)+1)-FIND("/",Raw_Data!E248)-1)),VALUE(LEFT(Raw_Data!E248,FIND("/",Raw_Data!E248)-1))),IF(ISNUMBER(VALUE(LEFT(Raw_Data!E248,4))),DATE(VALUE(LEFT(Raw_Data!E248,4)),VALUE(MID(Raw_Data!E248,6,2)),VALUE(MID(Raw_Data!E248,9,2))),DATEVALUE(Raw_Data!E248))),"")</f>
        <v>45638</v>
      </c>
      <c r="F248" s="11" t="str">
        <f aca="false">Raw_Data!F248</f>
        <v>Male 25-34</v>
      </c>
      <c r="G248" s="11" t="str">
        <f aca="false">IF(TRIM(Raw_Data!G248)="","Unspecified",IFERROR(INDEX(Lookup_Tables!$F$2:$F$24,MATCH(UPPER(TRIM(Raw_Data!G248)),Lookup_Tables!$G$2:$G$24,0)),"Unknown"))</f>
        <v>West</v>
      </c>
      <c r="H248" s="11" t="n">
        <f aca="false">IF(Raw_Data!H248="",ROUND(AVERAGEIFS(Raw_Data!$H$2:$H$839,Raw_Data!$C$2:$C$839,Raw_Data!C248),2),Raw_Data!H248)</f>
        <v>50686.97</v>
      </c>
      <c r="I248" s="11" t="n">
        <f aca="false">Raw_Data!I248</f>
        <v>1524620</v>
      </c>
      <c r="J248" s="11" t="n">
        <f aca="false">IF(Raw_Data!J248&lt;0,ABS(Raw_Data!J248),Raw_Data!J248)</f>
        <v>26121</v>
      </c>
      <c r="K248" s="11" t="n">
        <f aca="false">Raw_Data!K248</f>
        <v>1147</v>
      </c>
      <c r="L248" s="11" t="n">
        <f aca="false">IF(Raw_Data!L248="",ROUND(AVERAGEIFS(Raw_Data!$L$2:$L$839,Raw_Data!$C$2:$C$839,Raw_Data!C248),2),Raw_Data!L248)</f>
        <v>865286.96</v>
      </c>
      <c r="M248" s="13" t="n">
        <f aca="false">IFERROR(J248/I248,0)</f>
        <v>0.0171327937453267</v>
      </c>
      <c r="N248" s="14" t="n">
        <f aca="false">IFERROR(H248/J248,0)</f>
        <v>1.94046820565828</v>
      </c>
      <c r="O248" s="14" t="n">
        <f aca="false">IFERROR(H248/K248,0)</f>
        <v>44.1909067131648</v>
      </c>
      <c r="P248" s="15" t="n">
        <f aca="false">IFERROR(L248/H248,0)</f>
        <v>17.0711912746017</v>
      </c>
      <c r="Q248" s="13" t="n">
        <f aca="false">IFERROR(K248/J248,0)</f>
        <v>0.0439110294399143</v>
      </c>
      <c r="R248" s="11" t="str">
        <f aca="false">IF(COUNTIF($A$2:A248,A248)&gt;1,"Duplicate - Remove","Unique")</f>
        <v>Unique</v>
      </c>
      <c r="S248" s="11" t="str">
        <f aca="false">TRIM(IF(Raw_Data!G248="","Region missing; ","")&amp;IF(Raw_Data!H248="","Spend imputed; ","")&amp;IF(Raw_Data!L248="","Revenue imputed; ","")&amp;IF(Raw_Data!J248&lt;0,"Clicks corrected; ",""))</f>
        <v/>
      </c>
    </row>
    <row r="249" customFormat="false" ht="15" hidden="false" customHeight="true" outlineLevel="0" collapsed="false">
      <c r="A249" s="11" t="n">
        <f aca="false">Raw_Data!A249</f>
        <v>1726</v>
      </c>
      <c r="B249" s="11" t="str">
        <f aca="false">PROPER(TRIM(Raw_Data!B249))</f>
        <v>Baby Care Trust Campaign</v>
      </c>
      <c r="C249" s="11" t="str">
        <f aca="false">IFERROR(INDEX(Lookup_Tables!$B$2:$B$26,MATCH(UPPER(TRIM(Raw_Data!C249)),Lookup_Tables!$C$2:$C$26,0)),"Unknown")</f>
        <v>Facebook</v>
      </c>
      <c r="D249" s="12" t="n">
        <f aca="false">IFERROR(IF(ISNUMBER(SEARCH("/",Raw_Data!D249)),DATE(VALUE(RIGHT(Raw_Data!D249,4)),VALUE(MID(Raw_Data!D249,FIND("/",Raw_Data!D249)+1,FIND("/",Raw_Data!D249,FIND("/",Raw_Data!D249)+1)-FIND("/",Raw_Data!D249)-1)),VALUE(LEFT(Raw_Data!D249,FIND("/",Raw_Data!D249)-1))),IF(ISNUMBER(VALUE(LEFT(Raw_Data!D249,4))),DATE(VALUE(LEFT(Raw_Data!D249,4)),VALUE(MID(Raw_Data!D249,6,2)),VALUE(MID(Raw_Data!D249,9,2))),DATEVALUE(Raw_Data!D249))),"")</f>
        <v>45419</v>
      </c>
      <c r="E249" s="12" t="n">
        <f aca="false">IFERROR(IF(ISNUMBER(SEARCH("/",Raw_Data!E249)),DATE(VALUE(RIGHT(Raw_Data!E249,4)),VALUE(MID(Raw_Data!E249,FIND("/",Raw_Data!E249)+1,FIND("/",Raw_Data!E249,FIND("/",Raw_Data!E249)+1)-FIND("/",Raw_Data!E249)-1)),VALUE(LEFT(Raw_Data!E249,FIND("/",Raw_Data!E249)-1))),IF(ISNUMBER(VALUE(LEFT(Raw_Data!E249,4))),DATE(VALUE(LEFT(Raw_Data!E249,4)),VALUE(MID(Raw_Data!E249,6,2)),VALUE(MID(Raw_Data!E249,9,2))),DATEVALUE(Raw_Data!E249))),"")</f>
        <v>45449</v>
      </c>
      <c r="F249" s="11" t="str">
        <f aca="false">Raw_Data!F249</f>
        <v>Male 25-34</v>
      </c>
      <c r="G249" s="11" t="str">
        <f aca="false">IF(TRIM(Raw_Data!G249)="","Unspecified",IFERROR(INDEX(Lookup_Tables!$F$2:$F$24,MATCH(UPPER(TRIM(Raw_Data!G249)),Lookup_Tables!$G$2:$G$24,0)),"Unknown"))</f>
        <v>South</v>
      </c>
      <c r="H249" s="11" t="n">
        <f aca="false">IF(Raw_Data!H249="",ROUND(AVERAGEIFS(Raw_Data!$H$2:$H$839,Raw_Data!$C$2:$C$839,Raw_Data!C249),2),Raw_Data!H249)</f>
        <v>24611.62</v>
      </c>
      <c r="I249" s="11" t="n">
        <f aca="false">Raw_Data!I249</f>
        <v>872842</v>
      </c>
      <c r="J249" s="11" t="n">
        <f aca="false">IF(Raw_Data!J249&lt;0,ABS(Raw_Data!J249),Raw_Data!J249)</f>
        <v>4649</v>
      </c>
      <c r="K249" s="11" t="n">
        <f aca="false">Raw_Data!K249</f>
        <v>131</v>
      </c>
      <c r="L249" s="11" t="n">
        <f aca="false">IF(Raw_Data!L249="",ROUND(AVERAGEIFS(Raw_Data!$L$2:$L$839,Raw_Data!$C$2:$C$839,Raw_Data!C249),2),Raw_Data!L249)</f>
        <v>455011.26</v>
      </c>
      <c r="M249" s="13" t="n">
        <f aca="false">IFERROR(J249/I249,0)</f>
        <v>0.00532627898290871</v>
      </c>
      <c r="N249" s="14" t="n">
        <f aca="false">IFERROR(H249/J249,0)</f>
        <v>5.293959991396</v>
      </c>
      <c r="O249" s="14" t="n">
        <f aca="false">IFERROR(H249/K249,0)</f>
        <v>187.874961832061</v>
      </c>
      <c r="P249" s="15" t="n">
        <f aca="false">IFERROR(L249/H249,0)</f>
        <v>18.487659893985</v>
      </c>
      <c r="Q249" s="13" t="n">
        <f aca="false">IFERROR(K249/J249,0)</f>
        <v>0.0281781028178103</v>
      </c>
      <c r="R249" s="11" t="str">
        <f aca="false">IF(COUNTIF($A$2:A249,A249)&gt;1,"Duplicate - Remove","Unique")</f>
        <v>Unique</v>
      </c>
      <c r="S249" s="11" t="str">
        <f aca="false">TRIM(IF(Raw_Data!G249="","Region missing; ","")&amp;IF(Raw_Data!H249="","Spend imputed; ","")&amp;IF(Raw_Data!L249="","Revenue imputed; ","")&amp;IF(Raw_Data!J249&lt;0,"Clicks corrected; ",""))</f>
        <v>Revenue imputed;</v>
      </c>
    </row>
    <row r="250" customFormat="false" ht="15" hidden="false" customHeight="true" outlineLevel="0" collapsed="false">
      <c r="A250" s="11" t="n">
        <f aca="false">Raw_Data!A250</f>
        <v>1723</v>
      </c>
      <c r="B250" s="11" t="str">
        <f aca="false">PROPER(TRIM(Raw_Data!B250))</f>
        <v>Clearance Sale Push</v>
      </c>
      <c r="C250" s="11" t="str">
        <f aca="false">IFERROR(INDEX(Lookup_Tables!$B$2:$B$26,MATCH(UPPER(TRIM(Raw_Data!C250)),Lookup_Tables!$C$2:$C$26,0)),"Unknown")</f>
        <v>Facebook</v>
      </c>
      <c r="D250" s="12" t="n">
        <f aca="false">IFERROR(IF(ISNUMBER(SEARCH("/",Raw_Data!D250)),DATE(VALUE(RIGHT(Raw_Data!D250,4)),VALUE(MID(Raw_Data!D250,FIND("/",Raw_Data!D250)+1,FIND("/",Raw_Data!D250,FIND("/",Raw_Data!D250)+1)-FIND("/",Raw_Data!D250)-1)),VALUE(LEFT(Raw_Data!D250,FIND("/",Raw_Data!D250)-1))),IF(ISNUMBER(VALUE(LEFT(Raw_Data!D250,4))),DATE(VALUE(LEFT(Raw_Data!D250,4)),VALUE(MID(Raw_Data!D250,6,2)),VALUE(MID(Raw_Data!D250,9,2))),DATEVALUE(Raw_Data!D250))),"")</f>
        <v>45587</v>
      </c>
      <c r="E250" s="12" t="n">
        <f aca="false">IFERROR(IF(ISNUMBER(SEARCH("/",Raw_Data!E250)),DATE(VALUE(RIGHT(Raw_Data!E250,4)),VALUE(MID(Raw_Data!E250,FIND("/",Raw_Data!E250)+1,FIND("/",Raw_Data!E250,FIND("/",Raw_Data!E250)+1)-FIND("/",Raw_Data!E250)-1)),VALUE(LEFT(Raw_Data!E250,FIND("/",Raw_Data!E250)-1))),IF(ISNUMBER(VALUE(LEFT(Raw_Data!E250,4))),DATE(VALUE(LEFT(Raw_Data!E250,4)),VALUE(MID(Raw_Data!E250,6,2)),VALUE(MID(Raw_Data!E250,9,2))),DATEVALUE(Raw_Data!E250))),"")</f>
        <v>45617</v>
      </c>
      <c r="F250" s="11" t="str">
        <f aca="false">Raw_Data!F250</f>
        <v>Male 35-44</v>
      </c>
      <c r="G250" s="11" t="str">
        <f aca="false">IF(TRIM(Raw_Data!G250)="","Unspecified",IFERROR(INDEX(Lookup_Tables!$F$2:$F$24,MATCH(UPPER(TRIM(Raw_Data!G250)),Lookup_Tables!$G$2:$G$24,0)),"Unknown"))</f>
        <v>East</v>
      </c>
      <c r="H250" s="11" t="n">
        <f aca="false">IF(Raw_Data!H250="",ROUND(AVERAGEIFS(Raw_Data!$H$2:$H$839,Raw_Data!$C$2:$C$839,Raw_Data!C250),2),Raw_Data!H250)</f>
        <v>36726.5</v>
      </c>
      <c r="I250" s="11" t="n">
        <f aca="false">Raw_Data!I250</f>
        <v>1378947</v>
      </c>
      <c r="J250" s="11" t="n">
        <f aca="false">IF(Raw_Data!J250&lt;0,ABS(Raw_Data!J250),Raw_Data!J250)</f>
        <v>46834</v>
      </c>
      <c r="K250" s="11" t="n">
        <f aca="false">Raw_Data!K250</f>
        <v>3030</v>
      </c>
      <c r="L250" s="11" t="n">
        <f aca="false">IF(Raw_Data!L250="",ROUND(AVERAGEIFS(Raw_Data!$L$2:$L$839,Raw_Data!$C$2:$C$839,Raw_Data!C250),2),Raw_Data!L250)</f>
        <v>3574790.04</v>
      </c>
      <c r="M250" s="13" t="n">
        <f aca="false">IFERROR(J250/I250,0)</f>
        <v>0.033963596860503</v>
      </c>
      <c r="N250" s="14" t="n">
        <f aca="false">IFERROR(H250/J250,0)</f>
        <v>0.784184566767733</v>
      </c>
      <c r="O250" s="14" t="n">
        <f aca="false">IFERROR(H250/K250,0)</f>
        <v>12.1209570957096</v>
      </c>
      <c r="P250" s="15" t="n">
        <f aca="false">IFERROR(L250/H250,0)</f>
        <v>97.3354400773284</v>
      </c>
      <c r="Q250" s="13" t="n">
        <f aca="false">IFERROR(K250/J250,0)</f>
        <v>0.064696587948926</v>
      </c>
      <c r="R250" s="11" t="str">
        <f aca="false">IF(COUNTIF($A$2:A250,A250)&gt;1,"Duplicate - Remove","Unique")</f>
        <v>Unique</v>
      </c>
      <c r="S250" s="11" t="str">
        <f aca="false">TRIM(IF(Raw_Data!G250="","Region missing; ","")&amp;IF(Raw_Data!H250="","Spend imputed; ","")&amp;IF(Raw_Data!L250="","Revenue imputed; ","")&amp;IF(Raw_Data!J250&lt;0,"Clicks corrected; ",""))</f>
        <v/>
      </c>
    </row>
    <row r="251" customFormat="false" ht="15" hidden="false" customHeight="true" outlineLevel="0" collapsed="false">
      <c r="A251" s="11" t="n">
        <f aca="false">Raw_Data!A251</f>
        <v>1606</v>
      </c>
      <c r="B251" s="11" t="str">
        <f aca="false">PROPER(TRIM(Raw_Data!B251))</f>
        <v>Wedding Season Special</v>
      </c>
      <c r="C251" s="11" t="str">
        <f aca="false">IFERROR(INDEX(Lookup_Tables!$B$2:$B$26,MATCH(UPPER(TRIM(Raw_Data!C251)),Lookup_Tables!$C$2:$C$26,0)),"Unknown")</f>
        <v>Google Ads</v>
      </c>
      <c r="D251" s="12" t="n">
        <f aca="false">IFERROR(IF(ISNUMBER(SEARCH("/",Raw_Data!D251)),DATE(VALUE(RIGHT(Raw_Data!D251,4)),VALUE(MID(Raw_Data!D251,FIND("/",Raw_Data!D251)+1,FIND("/",Raw_Data!D251,FIND("/",Raw_Data!D251)+1)-FIND("/",Raw_Data!D251)-1)),VALUE(LEFT(Raw_Data!D251,FIND("/",Raw_Data!D251)-1))),IF(ISNUMBER(VALUE(LEFT(Raw_Data!D251,4))),DATE(VALUE(LEFT(Raw_Data!D251,4)),VALUE(MID(Raw_Data!D251,6,2)),VALUE(MID(Raw_Data!D251,9,2))),DATEVALUE(Raw_Data!D251))),"")</f>
        <v>45432</v>
      </c>
      <c r="E251" s="12" t="n">
        <f aca="false">IFERROR(IF(ISNUMBER(SEARCH("/",Raw_Data!E251)),DATE(VALUE(RIGHT(Raw_Data!E251,4)),VALUE(MID(Raw_Data!E251,FIND("/",Raw_Data!E251)+1,FIND("/",Raw_Data!E251,FIND("/",Raw_Data!E251)+1)-FIND("/",Raw_Data!E251)-1)),VALUE(LEFT(Raw_Data!E251,FIND("/",Raw_Data!E251)-1))),IF(ISNUMBER(VALUE(LEFT(Raw_Data!E251,4))),DATE(VALUE(LEFT(Raw_Data!E251,4)),VALUE(MID(Raw_Data!E251,6,2)),VALUE(MID(Raw_Data!E251,9,2))),DATEVALUE(Raw_Data!E251))),"")</f>
        <v>45457</v>
      </c>
      <c r="F251" s="11" t="str">
        <f aca="false">Raw_Data!F251</f>
        <v>Male 25-34</v>
      </c>
      <c r="G251" s="11" t="str">
        <f aca="false">IF(TRIM(Raw_Data!G251)="","Unspecified",IFERROR(INDEX(Lookup_Tables!$F$2:$F$24,MATCH(UPPER(TRIM(Raw_Data!G251)),Lookup_Tables!$G$2:$G$24,0)),"Unknown"))</f>
        <v>East</v>
      </c>
      <c r="H251" s="11" t="n">
        <f aca="false">IF(Raw_Data!H251="",ROUND(AVERAGEIFS(Raw_Data!$H$2:$H$839,Raw_Data!$C$2:$C$839,Raw_Data!C251),2),Raw_Data!H251)</f>
        <v>77979.85</v>
      </c>
      <c r="I251" s="11" t="n">
        <f aca="false">Raw_Data!I251</f>
        <v>2774768</v>
      </c>
      <c r="J251" s="11" t="n">
        <f aca="false">IF(Raw_Data!J251&lt;0,ABS(Raw_Data!J251),Raw_Data!J251)</f>
        <v>85728</v>
      </c>
      <c r="K251" s="11" t="n">
        <f aca="false">Raw_Data!K251</f>
        <v>6423</v>
      </c>
      <c r="L251" s="11" t="n">
        <f aca="false">IF(Raw_Data!L251="",ROUND(AVERAGEIFS(Raw_Data!$L$2:$L$839,Raw_Data!$C$2:$C$839,Raw_Data!C251),2),Raw_Data!L251)</f>
        <v>11535616.71</v>
      </c>
      <c r="M251" s="13" t="n">
        <f aca="false">IFERROR(J251/I251,0)</f>
        <v>0.030895555952786</v>
      </c>
      <c r="N251" s="14" t="n">
        <f aca="false">IFERROR(H251/J251,0)</f>
        <v>0.909619377566256</v>
      </c>
      <c r="O251" s="14" t="n">
        <f aca="false">IFERROR(H251/K251,0)</f>
        <v>12.1407208469563</v>
      </c>
      <c r="P251" s="15" t="n">
        <f aca="false">IFERROR(L251/H251,0)</f>
        <v>147.930737363563</v>
      </c>
      <c r="Q251" s="13" t="n">
        <f aca="false">IFERROR(K251/J251,0)</f>
        <v>0.0749230123180291</v>
      </c>
      <c r="R251" s="11" t="str">
        <f aca="false">IF(COUNTIF($A$2:A251,A251)&gt;1,"Duplicate - Remove","Unique")</f>
        <v>Unique</v>
      </c>
      <c r="S251" s="11" t="str">
        <f aca="false">TRIM(IF(Raw_Data!G251="","Region missing; ","")&amp;IF(Raw_Data!H251="","Spend imputed; ","")&amp;IF(Raw_Data!L251="","Revenue imputed; ","")&amp;IF(Raw_Data!J251&lt;0,"Clicks corrected; ",""))</f>
        <v/>
      </c>
    </row>
    <row r="252" customFormat="false" ht="15" hidden="false" customHeight="true" outlineLevel="0" collapsed="false">
      <c r="A252" s="11" t="n">
        <f aca="false">Raw_Data!A252</f>
        <v>1081</v>
      </c>
      <c r="B252" s="11" t="str">
        <f aca="false">PROPER(TRIM(Raw_Data!B252))</f>
        <v>Summer Glow Launch</v>
      </c>
      <c r="C252" s="11" t="str">
        <f aca="false">IFERROR(INDEX(Lookup_Tables!$B$2:$B$26,MATCH(UPPER(TRIM(Raw_Data!C252)),Lookup_Tables!$C$2:$C$26,0)),"Unknown")</f>
        <v>YouTube</v>
      </c>
      <c r="D252" s="12" t="n">
        <f aca="false">IFERROR(IF(ISNUMBER(SEARCH("/",Raw_Data!D252)),DATE(VALUE(RIGHT(Raw_Data!D252,4)),VALUE(MID(Raw_Data!D252,FIND("/",Raw_Data!D252)+1,FIND("/",Raw_Data!D252,FIND("/",Raw_Data!D252)+1)-FIND("/",Raw_Data!D252)-1)),VALUE(LEFT(Raw_Data!D252,FIND("/",Raw_Data!D252)-1))),IF(ISNUMBER(VALUE(LEFT(Raw_Data!D252,4))),DATE(VALUE(LEFT(Raw_Data!D252,4)),VALUE(MID(Raw_Data!D252,6,2)),VALUE(MID(Raw_Data!D252,9,2))),DATEVALUE(Raw_Data!D252))),"")</f>
        <v>45474</v>
      </c>
      <c r="E252" s="12" t="n">
        <f aca="false">IFERROR(IF(ISNUMBER(SEARCH("/",Raw_Data!E252)),DATE(VALUE(RIGHT(Raw_Data!E252,4)),VALUE(MID(Raw_Data!E252,FIND("/",Raw_Data!E252)+1,FIND("/",Raw_Data!E252,FIND("/",Raw_Data!E252)+1)-FIND("/",Raw_Data!E252)-1)),VALUE(LEFT(Raw_Data!E252,FIND("/",Raw_Data!E252)-1))),IF(ISNUMBER(VALUE(LEFT(Raw_Data!E252,4))),DATE(VALUE(LEFT(Raw_Data!E252,4)),VALUE(MID(Raw_Data!E252,6,2)),VALUE(MID(Raw_Data!E252,9,2))),DATEVALUE(Raw_Data!E252))),"")</f>
        <v>45504</v>
      </c>
      <c r="F252" s="11" t="str">
        <f aca="false">Raw_Data!F252</f>
        <v>Female 18-24</v>
      </c>
      <c r="G252" s="11" t="str">
        <f aca="false">IF(TRIM(Raw_Data!G252)="","Unspecified",IFERROR(INDEX(Lookup_Tables!$F$2:$F$24,MATCH(UPPER(TRIM(Raw_Data!G252)),Lookup_Tables!$G$2:$G$24,0)),"Unknown"))</f>
        <v>West</v>
      </c>
      <c r="H252" s="11" t="n">
        <f aca="false">IF(Raw_Data!H252="",ROUND(AVERAGEIFS(Raw_Data!$H$2:$H$839,Raw_Data!$C$2:$C$839,Raw_Data!C252),2),Raw_Data!H252)</f>
        <v>40860.19</v>
      </c>
      <c r="I252" s="11" t="n">
        <f aca="false">Raw_Data!I252</f>
        <v>1361605</v>
      </c>
      <c r="J252" s="11" t="n">
        <f aca="false">IF(Raw_Data!J252&lt;0,ABS(Raw_Data!J252),Raw_Data!J252)</f>
        <v>32471</v>
      </c>
      <c r="K252" s="11" t="n">
        <f aca="false">Raw_Data!K252</f>
        <v>2078</v>
      </c>
      <c r="L252" s="11" t="n">
        <f aca="false">IF(Raw_Data!L252="",ROUND(AVERAGEIFS(Raw_Data!$L$2:$L$839,Raw_Data!$C$2:$C$839,Raw_Data!C252),2),Raw_Data!L252)</f>
        <v>2942491.9</v>
      </c>
      <c r="M252" s="13" t="n">
        <f aca="false">IFERROR(J252/I252,0)</f>
        <v>0.0238475916289967</v>
      </c>
      <c r="N252" s="14" t="n">
        <f aca="false">IFERROR(H252/J252,0)</f>
        <v>1.25835945920976</v>
      </c>
      <c r="O252" s="14" t="n">
        <f aca="false">IFERROR(H252/K252,0)</f>
        <v>19.66322906641</v>
      </c>
      <c r="P252" s="15" t="n">
        <f aca="false">IFERROR(L252/H252,0)</f>
        <v>72.0136617083768</v>
      </c>
      <c r="Q252" s="13" t="n">
        <f aca="false">IFERROR(K252/J252,0)</f>
        <v>0.0639955652736288</v>
      </c>
      <c r="R252" s="11" t="str">
        <f aca="false">IF(COUNTIF($A$2:A252,A252)&gt;1,"Duplicate - Remove","Unique")</f>
        <v>Unique</v>
      </c>
      <c r="S252" s="11" t="str">
        <f aca="false">TRIM(IF(Raw_Data!G252="","Region missing; ","")&amp;IF(Raw_Data!H252="","Spend imputed; ","")&amp;IF(Raw_Data!L252="","Revenue imputed; ","")&amp;IF(Raw_Data!J252&lt;0,"Clicks corrected; ",""))</f>
        <v/>
      </c>
    </row>
    <row r="253" customFormat="false" ht="15" hidden="false" customHeight="true" outlineLevel="0" collapsed="false">
      <c r="A253" s="11" t="n">
        <f aca="false">Raw_Data!A253</f>
        <v>1412</v>
      </c>
      <c r="B253" s="11" t="str">
        <f aca="false">PROPER(TRIM(Raw_Data!B253))</f>
        <v>Sunscreen Season Campaign</v>
      </c>
      <c r="C253" s="11" t="str">
        <f aca="false">IFERROR(INDEX(Lookup_Tables!$B$2:$B$26,MATCH(UPPER(TRIM(Raw_Data!C253)),Lookup_Tables!$C$2:$C$26,0)),"Unknown")</f>
        <v>Email</v>
      </c>
      <c r="D253" s="12" t="n">
        <f aca="false">IFERROR(IF(ISNUMBER(SEARCH("/",Raw_Data!D253)),DATE(VALUE(RIGHT(Raw_Data!D253,4)),VALUE(MID(Raw_Data!D253,FIND("/",Raw_Data!D253)+1,FIND("/",Raw_Data!D253,FIND("/",Raw_Data!D253)+1)-FIND("/",Raw_Data!D253)-1)),VALUE(LEFT(Raw_Data!D253,FIND("/",Raw_Data!D253)-1))),IF(ISNUMBER(VALUE(LEFT(Raw_Data!D253,4))),DATE(VALUE(LEFT(Raw_Data!D253,4)),VALUE(MID(Raw_Data!D253,6,2)),VALUE(MID(Raw_Data!D253,9,2))),DATEVALUE(Raw_Data!D253))),"")</f>
        <v>45407</v>
      </c>
      <c r="E253" s="12" t="n">
        <f aca="false">IFERROR(IF(ISNUMBER(SEARCH("/",Raw_Data!E253)),DATE(VALUE(RIGHT(Raw_Data!E253,4)),VALUE(MID(Raw_Data!E253,FIND("/",Raw_Data!E253)+1,FIND("/",Raw_Data!E253,FIND("/",Raw_Data!E253)+1)-FIND("/",Raw_Data!E253)-1)),VALUE(LEFT(Raw_Data!E253,FIND("/",Raw_Data!E253)-1))),IF(ISNUMBER(VALUE(LEFT(Raw_Data!E253,4))),DATE(VALUE(LEFT(Raw_Data!E253,4)),VALUE(MID(Raw_Data!E253,6,2)),VALUE(MID(Raw_Data!E253,9,2))),DATEVALUE(Raw_Data!E253))),"")</f>
        <v>45434</v>
      </c>
      <c r="F253" s="11" t="str">
        <f aca="false">Raw_Data!F253</f>
        <v>Female 18-24</v>
      </c>
      <c r="G253" s="11" t="str">
        <f aca="false">IF(TRIM(Raw_Data!G253)="","Unspecified",IFERROR(INDEX(Lookup_Tables!$F$2:$F$24,MATCH(UPPER(TRIM(Raw_Data!G253)),Lookup_Tables!$G$2:$G$24,0)),"Unknown"))</f>
        <v>East</v>
      </c>
      <c r="H253" s="11" t="n">
        <f aca="false">IF(Raw_Data!H253="",ROUND(AVERAGEIFS(Raw_Data!$H$2:$H$839,Raw_Data!$C$2:$C$839,Raw_Data!C253),2),Raw_Data!H253)</f>
        <v>7704.43</v>
      </c>
      <c r="I253" s="11" t="n">
        <f aca="false">Raw_Data!I253</f>
        <v>292189</v>
      </c>
      <c r="J253" s="11" t="n">
        <f aca="false">IF(Raw_Data!J253&lt;0,ABS(Raw_Data!J253),Raw_Data!J253)</f>
        <v>3186</v>
      </c>
      <c r="K253" s="11" t="n">
        <f aca="false">Raw_Data!K253</f>
        <v>105</v>
      </c>
      <c r="L253" s="11" t="n">
        <f aca="false">IF(Raw_Data!L253="",ROUND(AVERAGEIFS(Raw_Data!$L$2:$L$839,Raw_Data!$C$2:$C$839,Raw_Data!C253),2),Raw_Data!L253)</f>
        <v>46318.02</v>
      </c>
      <c r="M253" s="13" t="n">
        <f aca="false">IFERROR(J253/I253,0)</f>
        <v>0.0109039012420043</v>
      </c>
      <c r="N253" s="14" t="n">
        <f aca="false">IFERROR(H253/J253,0)</f>
        <v>2.41821406151915</v>
      </c>
      <c r="O253" s="14" t="n">
        <f aca="false">IFERROR(H253/K253,0)</f>
        <v>73.3755238095238</v>
      </c>
      <c r="P253" s="15" t="n">
        <f aca="false">IFERROR(L253/H253,0)</f>
        <v>6.01186849643647</v>
      </c>
      <c r="Q253" s="13" t="n">
        <f aca="false">IFERROR(K253/J253,0)</f>
        <v>0.0329566854990584</v>
      </c>
      <c r="R253" s="11" t="str">
        <f aca="false">IF(COUNTIF($A$2:A253,A253)&gt;1,"Duplicate - Remove","Unique")</f>
        <v>Unique</v>
      </c>
      <c r="S253" s="11" t="str">
        <f aca="false">TRIM(IF(Raw_Data!G253="","Region missing; ","")&amp;IF(Raw_Data!H253="","Spend imputed; ","")&amp;IF(Raw_Data!L253="","Revenue imputed; ","")&amp;IF(Raw_Data!J253&lt;0,"Clicks corrected; ",""))</f>
        <v/>
      </c>
    </row>
    <row r="254" customFormat="false" ht="15" hidden="false" customHeight="true" outlineLevel="0" collapsed="false">
      <c r="A254" s="11" t="n">
        <f aca="false">Raw_Data!A254</f>
        <v>1556</v>
      </c>
      <c r="B254" s="11" t="str">
        <f aca="false">PROPER(TRIM(Raw_Data!B254))</f>
        <v>Anti-Ageing Serum Push</v>
      </c>
      <c r="C254" s="11" t="str">
        <f aca="false">IFERROR(INDEX(Lookup_Tables!$B$2:$B$26,MATCH(UPPER(TRIM(Raw_Data!C254)),Lookup_Tables!$C$2:$C$26,0)),"Unknown")</f>
        <v>Instagram</v>
      </c>
      <c r="D254" s="12" t="n">
        <f aca="false">IFERROR(IF(ISNUMBER(SEARCH("/",Raw_Data!D254)),DATE(VALUE(RIGHT(Raw_Data!D254,4)),VALUE(MID(Raw_Data!D254,FIND("/",Raw_Data!D254)+1,FIND("/",Raw_Data!D254,FIND("/",Raw_Data!D254)+1)-FIND("/",Raw_Data!D254)-1)),VALUE(LEFT(Raw_Data!D254,FIND("/",Raw_Data!D254)-1))),IF(ISNUMBER(VALUE(LEFT(Raw_Data!D254,4))),DATE(VALUE(LEFT(Raw_Data!D254,4)),VALUE(MID(Raw_Data!D254,6,2)),VALUE(MID(Raw_Data!D254,9,2))),DATEVALUE(Raw_Data!D254))),"")</f>
        <v>45358</v>
      </c>
      <c r="E254" s="12" t="n">
        <f aca="false">IFERROR(IF(ISNUMBER(SEARCH("/",Raw_Data!E254)),DATE(VALUE(RIGHT(Raw_Data!E254,4)),VALUE(MID(Raw_Data!E254,FIND("/",Raw_Data!E254)+1,FIND("/",Raw_Data!E254,FIND("/",Raw_Data!E254)+1)-FIND("/",Raw_Data!E254)-1)),VALUE(LEFT(Raw_Data!E254,FIND("/",Raw_Data!E254)-1))),IF(ISNUMBER(VALUE(LEFT(Raw_Data!E254,4))),DATE(VALUE(LEFT(Raw_Data!E254,4)),VALUE(MID(Raw_Data!E254,6,2)),VALUE(MID(Raw_Data!E254,9,2))),DATEVALUE(Raw_Data!E254))),"")</f>
        <v>45385</v>
      </c>
      <c r="F254" s="11" t="str">
        <f aca="false">Raw_Data!F254</f>
        <v>Male 25-34</v>
      </c>
      <c r="G254" s="11" t="str">
        <f aca="false">IF(TRIM(Raw_Data!G254)="","Unspecified",IFERROR(INDEX(Lookup_Tables!$F$2:$F$24,MATCH(UPPER(TRIM(Raw_Data!G254)),Lookup_Tables!$G$2:$G$24,0)),"Unknown"))</f>
        <v>South</v>
      </c>
      <c r="H254" s="11" t="n">
        <f aca="false">IF(Raw_Data!H254="",ROUND(AVERAGEIFS(Raw_Data!$H$2:$H$839,Raw_Data!$C$2:$C$839,Raw_Data!C254),2),Raw_Data!H254)</f>
        <v>38620.31</v>
      </c>
      <c r="I254" s="11" t="n">
        <f aca="false">Raw_Data!I254</f>
        <v>1139998</v>
      </c>
      <c r="J254" s="11" t="n">
        <f aca="false">IF(Raw_Data!J254&lt;0,ABS(Raw_Data!J254),Raw_Data!J254)</f>
        <v>25689</v>
      </c>
      <c r="K254" s="11" t="n">
        <f aca="false">Raw_Data!K254</f>
        <v>1749</v>
      </c>
      <c r="L254" s="11" t="n">
        <f aca="false">IF(Raw_Data!L254="",ROUND(AVERAGEIFS(Raw_Data!$L$2:$L$839,Raw_Data!$C$2:$C$839,Raw_Data!C254),2),Raw_Data!L254)</f>
        <v>581395.83</v>
      </c>
      <c r="M254" s="13" t="n">
        <f aca="false">IFERROR(J254/I254,0)</f>
        <v>0.0225342500600878</v>
      </c>
      <c r="N254" s="14" t="n">
        <f aca="false">IFERROR(H254/J254,0)</f>
        <v>1.50337926739071</v>
      </c>
      <c r="O254" s="14" t="n">
        <f aca="false">IFERROR(H254/K254,0)</f>
        <v>22.0813664951401</v>
      </c>
      <c r="P254" s="15" t="n">
        <f aca="false">IFERROR(L254/H254,0)</f>
        <v>15.0541471572859</v>
      </c>
      <c r="Q254" s="13" t="n">
        <f aca="false">IFERROR(K254/J254,0)</f>
        <v>0.0680836155552961</v>
      </c>
      <c r="R254" s="11" t="str">
        <f aca="false">IF(COUNTIF($A$2:A254,A254)&gt;1,"Duplicate - Remove","Unique")</f>
        <v>Unique</v>
      </c>
      <c r="S254" s="11" t="str">
        <f aca="false">TRIM(IF(Raw_Data!G254="","Region missing; ","")&amp;IF(Raw_Data!H254="","Spend imputed; ","")&amp;IF(Raw_Data!L254="","Revenue imputed; ","")&amp;IF(Raw_Data!J254&lt;0,"Clicks corrected; ",""))</f>
        <v>Revenue imputed;</v>
      </c>
    </row>
    <row r="255" customFormat="false" ht="15" hidden="false" customHeight="true" outlineLevel="0" collapsed="false">
      <c r="A255" s="11" t="n">
        <f aca="false">Raw_Data!A255</f>
        <v>1715</v>
      </c>
      <c r="B255" s="11" t="str">
        <f aca="false">PROPER(TRIM(Raw_Data!B255))</f>
        <v>Ayurvedic Range Launch</v>
      </c>
      <c r="C255" s="11" t="str">
        <f aca="false">IFERROR(INDEX(Lookup_Tables!$B$2:$B$26,MATCH(UPPER(TRIM(Raw_Data!C255)),Lookup_Tables!$C$2:$C$26,0)),"Unknown")</f>
        <v>Email</v>
      </c>
      <c r="D255" s="12" t="n">
        <f aca="false">IFERROR(IF(ISNUMBER(SEARCH("/",Raw_Data!D255)),DATE(VALUE(RIGHT(Raw_Data!D255,4)),VALUE(MID(Raw_Data!D255,FIND("/",Raw_Data!D255)+1,FIND("/",Raw_Data!D255,FIND("/",Raw_Data!D255)+1)-FIND("/",Raw_Data!D255)-1)),VALUE(LEFT(Raw_Data!D255,FIND("/",Raw_Data!D255)-1))),IF(ISNUMBER(VALUE(LEFT(Raw_Data!D255,4))),DATE(VALUE(LEFT(Raw_Data!D255,4)),VALUE(MID(Raw_Data!D255,6,2)),VALUE(MID(Raw_Data!D255,9,2))),DATEVALUE(Raw_Data!D255))),"")</f>
        <v>45532</v>
      </c>
      <c r="E255" s="12" t="n">
        <f aca="false">IFERROR(IF(ISNUMBER(SEARCH("/",Raw_Data!E255)),DATE(VALUE(RIGHT(Raw_Data!E255,4)),VALUE(MID(Raw_Data!E255,FIND("/",Raw_Data!E255)+1,FIND("/",Raw_Data!E255,FIND("/",Raw_Data!E255)+1)-FIND("/",Raw_Data!E255)-1)),VALUE(LEFT(Raw_Data!E255,FIND("/",Raw_Data!E255)-1))),IF(ISNUMBER(VALUE(LEFT(Raw_Data!E255,4))),DATE(VALUE(LEFT(Raw_Data!E255,4)),VALUE(MID(Raw_Data!E255,6,2)),VALUE(MID(Raw_Data!E255,9,2))),DATEVALUE(Raw_Data!E255))),"")</f>
        <v>45546</v>
      </c>
      <c r="F255" s="11" t="str">
        <f aca="false">Raw_Data!F255</f>
        <v>Female 35-44</v>
      </c>
      <c r="G255" s="11" t="str">
        <f aca="false">IF(TRIM(Raw_Data!G255)="","Unspecified",IFERROR(INDEX(Lookup_Tables!$F$2:$F$24,MATCH(UPPER(TRIM(Raw_Data!G255)),Lookup_Tables!$G$2:$G$24,0)),"Unknown"))</f>
        <v>South</v>
      </c>
      <c r="H255" s="11" t="n">
        <f aca="false">IF(Raw_Data!H255="",ROUND(AVERAGEIFS(Raw_Data!$H$2:$H$839,Raw_Data!$C$2:$C$839,Raw_Data!C255),2),Raw_Data!H255)</f>
        <v>5733.12</v>
      </c>
      <c r="I255" s="11" t="n">
        <f aca="false">Raw_Data!I255</f>
        <v>209976</v>
      </c>
      <c r="J255" s="11" t="n">
        <f aca="false">IF(Raw_Data!J255&lt;0,ABS(Raw_Data!J255),Raw_Data!J255)</f>
        <v>1435</v>
      </c>
      <c r="K255" s="11" t="n">
        <f aca="false">Raw_Data!K255</f>
        <v>32</v>
      </c>
      <c r="L255" s="11" t="n">
        <f aca="false">IF(Raw_Data!L255="",ROUND(AVERAGEIFS(Raw_Data!$L$2:$L$839,Raw_Data!$C$2:$C$839,Raw_Data!C255),2),Raw_Data!L255)</f>
        <v>11492.94</v>
      </c>
      <c r="M255" s="13" t="n">
        <f aca="false">IFERROR(J255/I255,0)</f>
        <v>0.00683411437497619</v>
      </c>
      <c r="N255" s="14" t="n">
        <f aca="false">IFERROR(H255/J255,0)</f>
        <v>3.99520557491289</v>
      </c>
      <c r="O255" s="14" t="n">
        <f aca="false">IFERROR(H255/K255,0)</f>
        <v>179.16</v>
      </c>
      <c r="P255" s="15" t="n">
        <f aca="false">IFERROR(L255/H255,0)</f>
        <v>2.00465715003349</v>
      </c>
      <c r="Q255" s="13" t="n">
        <f aca="false">IFERROR(K255/J255,0)</f>
        <v>0.0222996515679443</v>
      </c>
      <c r="R255" s="11" t="str">
        <f aca="false">IF(COUNTIF($A$2:A255,A255)&gt;1,"Duplicate - Remove","Unique")</f>
        <v>Unique</v>
      </c>
      <c r="S255" s="11" t="str">
        <f aca="false">TRIM(IF(Raw_Data!G255="","Region missing; ","")&amp;IF(Raw_Data!H255="","Spend imputed; ","")&amp;IF(Raw_Data!L255="","Revenue imputed; ","")&amp;IF(Raw_Data!J255&lt;0,"Clicks corrected; ",""))</f>
        <v/>
      </c>
    </row>
    <row r="256" customFormat="false" ht="15" hidden="false" customHeight="true" outlineLevel="0" collapsed="false">
      <c r="A256" s="11" t="n">
        <f aca="false">Raw_Data!A256</f>
        <v>1333</v>
      </c>
      <c r="B256" s="11" t="str">
        <f aca="false">PROPER(TRIM(Raw_Data!B256))</f>
        <v>Clearance Sale Push</v>
      </c>
      <c r="C256" s="11" t="str">
        <f aca="false">IFERROR(INDEX(Lookup_Tables!$B$2:$B$26,MATCH(UPPER(TRIM(Raw_Data!C256)),Lookup_Tables!$C$2:$C$26,0)),"Unknown")</f>
        <v>Facebook</v>
      </c>
      <c r="D256" s="12" t="n">
        <f aca="false">IFERROR(IF(ISNUMBER(SEARCH("/",Raw_Data!D256)),DATE(VALUE(RIGHT(Raw_Data!D256,4)),VALUE(MID(Raw_Data!D256,FIND("/",Raw_Data!D256)+1,FIND("/",Raw_Data!D256,FIND("/",Raw_Data!D256)+1)-FIND("/",Raw_Data!D256)-1)),VALUE(LEFT(Raw_Data!D256,FIND("/",Raw_Data!D256)-1))),IF(ISNUMBER(VALUE(LEFT(Raw_Data!D256,4))),DATE(VALUE(LEFT(Raw_Data!D256,4)),VALUE(MID(Raw_Data!D256,6,2)),VALUE(MID(Raw_Data!D256,9,2))),DATEVALUE(Raw_Data!D256))),"")</f>
        <v>45574</v>
      </c>
      <c r="E256" s="12" t="n">
        <f aca="false">IFERROR(IF(ISNUMBER(SEARCH("/",Raw_Data!E256)),DATE(VALUE(RIGHT(Raw_Data!E256,4)),VALUE(MID(Raw_Data!E256,FIND("/",Raw_Data!E256)+1,FIND("/",Raw_Data!E256,FIND("/",Raw_Data!E256)+1)-FIND("/",Raw_Data!E256)-1)),VALUE(LEFT(Raw_Data!E256,FIND("/",Raw_Data!E256)-1))),IF(ISNUMBER(VALUE(LEFT(Raw_Data!E256,4))),DATE(VALUE(LEFT(Raw_Data!E256,4)),VALUE(MID(Raw_Data!E256,6,2)),VALUE(MID(Raw_Data!E256,9,2))),DATEVALUE(Raw_Data!E256))),"")</f>
        <v>45582</v>
      </c>
      <c r="F256" s="11" t="str">
        <f aca="false">Raw_Data!F256</f>
        <v>Female 35-44</v>
      </c>
      <c r="G256" s="11" t="str">
        <f aca="false">IF(TRIM(Raw_Data!G256)="","Unspecified",IFERROR(INDEX(Lookup_Tables!$F$2:$F$24,MATCH(UPPER(TRIM(Raw_Data!G256)),Lookup_Tables!$G$2:$G$24,0)),"Unknown"))</f>
        <v>North</v>
      </c>
      <c r="H256" s="11" t="n">
        <f aca="false">IF(Raw_Data!H256="",ROUND(AVERAGEIFS(Raw_Data!$H$2:$H$839,Raw_Data!$C$2:$C$839,Raw_Data!C256),2),Raw_Data!H256)</f>
        <v>7091.01</v>
      </c>
      <c r="I256" s="11" t="n">
        <f aca="false">Raw_Data!I256</f>
        <v>215836</v>
      </c>
      <c r="J256" s="11" t="n">
        <f aca="false">IF(Raw_Data!J256&lt;0,ABS(Raw_Data!J256),Raw_Data!J256)</f>
        <v>2506</v>
      </c>
      <c r="K256" s="11" t="n">
        <f aca="false">Raw_Data!K256</f>
        <v>87</v>
      </c>
      <c r="L256" s="11" t="n">
        <f aca="false">IF(Raw_Data!L256="",ROUND(AVERAGEIFS(Raw_Data!$L$2:$L$839,Raw_Data!$C$2:$C$839,Raw_Data!C256),2),Raw_Data!L256)</f>
        <v>71621.13</v>
      </c>
      <c r="M256" s="13" t="n">
        <f aca="false">IFERROR(J256/I256,0)</f>
        <v>0.01161066735855</v>
      </c>
      <c r="N256" s="14" t="n">
        <f aca="false">IFERROR(H256/J256,0)</f>
        <v>2.82961292897047</v>
      </c>
      <c r="O256" s="14" t="n">
        <f aca="false">IFERROR(H256/K256,0)</f>
        <v>81.5058620689655</v>
      </c>
      <c r="P256" s="15" t="n">
        <f aca="false">IFERROR(L256/H256,0)</f>
        <v>10.1002720345903</v>
      </c>
      <c r="Q256" s="13" t="n">
        <f aca="false">IFERROR(K256/J256,0)</f>
        <v>0.0347166799680766</v>
      </c>
      <c r="R256" s="11" t="str">
        <f aca="false">IF(COUNTIF($A$2:A256,A256)&gt;1,"Duplicate - Remove","Unique")</f>
        <v>Unique</v>
      </c>
      <c r="S256" s="11" t="str">
        <f aca="false">TRIM(IF(Raw_Data!G256="","Region missing; ","")&amp;IF(Raw_Data!H256="","Spend imputed; ","")&amp;IF(Raw_Data!L256="","Revenue imputed; ","")&amp;IF(Raw_Data!J256&lt;0,"Clicks corrected; ",""))</f>
        <v/>
      </c>
    </row>
    <row r="257" customFormat="false" ht="15" hidden="false" customHeight="true" outlineLevel="0" collapsed="false">
      <c r="A257" s="11" t="n">
        <f aca="false">Raw_Data!A257</f>
        <v>1347</v>
      </c>
      <c r="B257" s="11" t="str">
        <f aca="false">PROPER(TRIM(Raw_Data!B257))</f>
        <v>Festive Gift Bundle</v>
      </c>
      <c r="C257" s="11" t="str">
        <f aca="false">IFERROR(INDEX(Lookup_Tables!$B$2:$B$26,MATCH(UPPER(TRIM(Raw_Data!C257)),Lookup_Tables!$C$2:$C$26,0)),"Unknown")</f>
        <v>Email</v>
      </c>
      <c r="D257" s="12" t="n">
        <f aca="false">IFERROR(IF(ISNUMBER(SEARCH("/",Raw_Data!D257)),DATE(VALUE(RIGHT(Raw_Data!D257,4)),VALUE(MID(Raw_Data!D257,FIND("/",Raw_Data!D257)+1,FIND("/",Raw_Data!D257,FIND("/",Raw_Data!D257)+1)-FIND("/",Raw_Data!D257)-1)),VALUE(LEFT(Raw_Data!D257,FIND("/",Raw_Data!D257)-1))),IF(ISNUMBER(VALUE(LEFT(Raw_Data!D257,4))),DATE(VALUE(LEFT(Raw_Data!D257,4)),VALUE(MID(Raw_Data!D257,6,2)),VALUE(MID(Raw_Data!D257,9,2))),DATEVALUE(Raw_Data!D257))),"")</f>
        <v>45353</v>
      </c>
      <c r="E257" s="12" t="n">
        <f aca="false">IFERROR(IF(ISNUMBER(SEARCH("/",Raw_Data!E257)),DATE(VALUE(RIGHT(Raw_Data!E257,4)),VALUE(MID(Raw_Data!E257,FIND("/",Raw_Data!E257)+1,FIND("/",Raw_Data!E257,FIND("/",Raw_Data!E257)+1)-FIND("/",Raw_Data!E257)-1)),VALUE(LEFT(Raw_Data!E257,FIND("/",Raw_Data!E257)-1))),IF(ISNUMBER(VALUE(LEFT(Raw_Data!E257,4))),DATE(VALUE(LEFT(Raw_Data!E257,4)),VALUE(MID(Raw_Data!E257,6,2)),VALUE(MID(Raw_Data!E257,9,2))),DATEVALUE(Raw_Data!E257))),"")</f>
        <v>45362</v>
      </c>
      <c r="F257" s="11" t="str">
        <f aca="false">Raw_Data!F257</f>
        <v>Female 25-34</v>
      </c>
      <c r="G257" s="11" t="str">
        <f aca="false">IF(TRIM(Raw_Data!G257)="","Unspecified",IFERROR(INDEX(Lookup_Tables!$F$2:$F$24,MATCH(UPPER(TRIM(Raw_Data!G257)),Lookup_Tables!$G$2:$G$24,0)),"Unknown"))</f>
        <v>North</v>
      </c>
      <c r="H257" s="11" t="n">
        <f aca="false">IF(Raw_Data!H257="",ROUND(AVERAGEIFS(Raw_Data!$H$2:$H$839,Raw_Data!$C$2:$C$839,Raw_Data!C257),2),Raw_Data!H257)</f>
        <v>3804.37</v>
      </c>
      <c r="I257" s="11" t="n">
        <f aca="false">Raw_Data!I257</f>
        <v>113233</v>
      </c>
      <c r="J257" s="11" t="n">
        <f aca="false">IF(Raw_Data!J257&lt;0,ABS(Raw_Data!J257),Raw_Data!J257)</f>
        <v>911</v>
      </c>
      <c r="K257" s="11" t="n">
        <f aca="false">Raw_Data!K257</f>
        <v>68</v>
      </c>
      <c r="L257" s="11" t="n">
        <f aca="false">IF(Raw_Data!L257="",ROUND(AVERAGEIFS(Raw_Data!$L$2:$L$839,Raw_Data!$C$2:$C$839,Raw_Data!C257),2),Raw_Data!L257)</f>
        <v>120216.34</v>
      </c>
      <c r="M257" s="13" t="n">
        <f aca="false">IFERROR(J257/I257,0)</f>
        <v>0.00804535780205417</v>
      </c>
      <c r="N257" s="14" t="n">
        <f aca="false">IFERROR(H257/J257,0)</f>
        <v>4.17603732162459</v>
      </c>
      <c r="O257" s="14" t="n">
        <f aca="false">IFERROR(H257/K257,0)</f>
        <v>55.9466176470588</v>
      </c>
      <c r="P257" s="15" t="n">
        <f aca="false">IFERROR(L257/H257,0)</f>
        <v>31.5995394769699</v>
      </c>
      <c r="Q257" s="13" t="n">
        <f aca="false">IFERROR(K257/J257,0)</f>
        <v>0.0746432491767289</v>
      </c>
      <c r="R257" s="11" t="str">
        <f aca="false">IF(COUNTIF($A$2:A257,A257)&gt;1,"Duplicate - Remove","Unique")</f>
        <v>Unique</v>
      </c>
      <c r="S257" s="11" t="str">
        <f aca="false">TRIM(IF(Raw_Data!G257="","Region missing; ","")&amp;IF(Raw_Data!H257="","Spend imputed; ","")&amp;IF(Raw_Data!L257="","Revenue imputed; ","")&amp;IF(Raw_Data!J257&lt;0,"Clicks corrected; ",""))</f>
        <v/>
      </c>
    </row>
    <row r="258" customFormat="false" ht="15" hidden="false" customHeight="true" outlineLevel="0" collapsed="false">
      <c r="A258" s="11" t="n">
        <f aca="false">Raw_Data!A258</f>
        <v>1747</v>
      </c>
      <c r="B258" s="11" t="str">
        <f aca="false">PROPER(TRIM(Raw_Data!B258))</f>
        <v>Anti-Ageing Serum Push</v>
      </c>
      <c r="C258" s="11" t="str">
        <f aca="false">IFERROR(INDEX(Lookup_Tables!$B$2:$B$26,MATCH(UPPER(TRIM(Raw_Data!C258)),Lookup_Tables!$C$2:$C$26,0)),"Unknown")</f>
        <v>Instagram</v>
      </c>
      <c r="D258" s="12" t="n">
        <f aca="false">IFERROR(IF(ISNUMBER(SEARCH("/",Raw_Data!D258)),DATE(VALUE(RIGHT(Raw_Data!D258,4)),VALUE(MID(Raw_Data!D258,FIND("/",Raw_Data!D258)+1,FIND("/",Raw_Data!D258,FIND("/",Raw_Data!D258)+1)-FIND("/",Raw_Data!D258)-1)),VALUE(LEFT(Raw_Data!D258,FIND("/",Raw_Data!D258)-1))),IF(ISNUMBER(VALUE(LEFT(Raw_Data!D258,4))),DATE(VALUE(LEFT(Raw_Data!D258,4)),VALUE(MID(Raw_Data!D258,6,2)),VALUE(MID(Raw_Data!D258,9,2))),DATEVALUE(Raw_Data!D258))),"")</f>
        <v>45402</v>
      </c>
      <c r="E258" s="12" t="n">
        <f aca="false">IFERROR(IF(ISNUMBER(SEARCH("/",Raw_Data!E258)),DATE(VALUE(RIGHT(Raw_Data!E258,4)),VALUE(MID(Raw_Data!E258,FIND("/",Raw_Data!E258)+1,FIND("/",Raw_Data!E258,FIND("/",Raw_Data!E258)+1)-FIND("/",Raw_Data!E258)-1)),VALUE(LEFT(Raw_Data!E258,FIND("/",Raw_Data!E258)-1))),IF(ISNUMBER(VALUE(LEFT(Raw_Data!E258,4))),DATE(VALUE(LEFT(Raw_Data!E258,4)),VALUE(MID(Raw_Data!E258,6,2)),VALUE(MID(Raw_Data!E258,9,2))),DATEVALUE(Raw_Data!E258))),"")</f>
        <v>45426</v>
      </c>
      <c r="F258" s="11" t="str">
        <f aca="false">Raw_Data!F258</f>
        <v>Male 45+</v>
      </c>
      <c r="G258" s="11" t="str">
        <f aca="false">IF(TRIM(Raw_Data!G258)="","Unspecified",IFERROR(INDEX(Lookup_Tables!$F$2:$F$24,MATCH(UPPER(TRIM(Raw_Data!G258)),Lookup_Tables!$G$2:$G$24,0)),"Unknown"))</f>
        <v>West</v>
      </c>
      <c r="H258" s="11" t="n">
        <f aca="false">IF(Raw_Data!H258="",ROUND(AVERAGEIFS(Raw_Data!$H$2:$H$839,Raw_Data!$C$2:$C$839,Raw_Data!C258),2),Raw_Data!H258)</f>
        <v>12937.6</v>
      </c>
      <c r="I258" s="11" t="n">
        <f aca="false">Raw_Data!I258</f>
        <v>415239</v>
      </c>
      <c r="J258" s="11" t="n">
        <f aca="false">IF(Raw_Data!J258&lt;0,ABS(Raw_Data!J258),Raw_Data!J258)</f>
        <v>9468</v>
      </c>
      <c r="K258" s="11" t="n">
        <f aca="false">Raw_Data!K258</f>
        <v>542</v>
      </c>
      <c r="L258" s="11" t="n">
        <f aca="false">IF(Raw_Data!L258="",ROUND(AVERAGEIFS(Raw_Data!$L$2:$L$839,Raw_Data!$C$2:$C$839,Raw_Data!C258),2),Raw_Data!L258)</f>
        <v>211890.47</v>
      </c>
      <c r="M258" s="13" t="n">
        <f aca="false">IFERROR(J258/I258,0)</f>
        <v>0.0228013264649997</v>
      </c>
      <c r="N258" s="14" t="n">
        <f aca="false">IFERROR(H258/J258,0)</f>
        <v>1.36645542881284</v>
      </c>
      <c r="O258" s="14" t="n">
        <f aca="false">IFERROR(H258/K258,0)</f>
        <v>23.870110701107</v>
      </c>
      <c r="P258" s="15" t="n">
        <f aca="false">IFERROR(L258/H258,0)</f>
        <v>16.3778807506802</v>
      </c>
      <c r="Q258" s="13" t="n">
        <f aca="false">IFERROR(K258/J258,0)</f>
        <v>0.0572454583861428</v>
      </c>
      <c r="R258" s="11" t="str">
        <f aca="false">IF(COUNTIF($A$2:A258,A258)&gt;1,"Duplicate - Remove","Unique")</f>
        <v>Unique</v>
      </c>
      <c r="S258" s="11" t="str">
        <f aca="false">TRIM(IF(Raw_Data!G258="","Region missing; ","")&amp;IF(Raw_Data!H258="","Spend imputed; ","")&amp;IF(Raw_Data!L258="","Revenue imputed; ","")&amp;IF(Raw_Data!J258&lt;0,"Clicks corrected; ",""))</f>
        <v/>
      </c>
    </row>
    <row r="259" customFormat="false" ht="15" hidden="false" customHeight="true" outlineLevel="0" collapsed="false">
      <c r="A259" s="11" t="n">
        <f aca="false">Raw_Data!A259</f>
        <v>1468</v>
      </c>
      <c r="B259" s="11" t="str">
        <f aca="false">PROPER(TRIM(Raw_Data!B259))</f>
        <v>Sunscreen Season Campaign</v>
      </c>
      <c r="C259" s="11" t="str">
        <f aca="false">IFERROR(INDEX(Lookup_Tables!$B$2:$B$26,MATCH(UPPER(TRIM(Raw_Data!C259)),Lookup_Tables!$C$2:$C$26,0)),"Unknown")</f>
        <v>Facebook</v>
      </c>
      <c r="D259" s="12" t="n">
        <f aca="false">IFERROR(IF(ISNUMBER(SEARCH("/",Raw_Data!D259)),DATE(VALUE(RIGHT(Raw_Data!D259,4)),VALUE(MID(Raw_Data!D259,FIND("/",Raw_Data!D259)+1,FIND("/",Raw_Data!D259,FIND("/",Raw_Data!D259)+1)-FIND("/",Raw_Data!D259)-1)),VALUE(LEFT(Raw_Data!D259,FIND("/",Raw_Data!D259)-1))),IF(ISNUMBER(VALUE(LEFT(Raw_Data!D259,4))),DATE(VALUE(LEFT(Raw_Data!D259,4)),VALUE(MID(Raw_Data!D259,6,2)),VALUE(MID(Raw_Data!D259,9,2))),DATEVALUE(Raw_Data!D259))),"")</f>
        <v>45342</v>
      </c>
      <c r="E259" s="12" t="n">
        <f aca="false">IFERROR(IF(ISNUMBER(SEARCH("/",Raw_Data!E259)),DATE(VALUE(RIGHT(Raw_Data!E259,4)),VALUE(MID(Raw_Data!E259,FIND("/",Raw_Data!E259)+1,FIND("/",Raw_Data!E259,FIND("/",Raw_Data!E259)+1)-FIND("/",Raw_Data!E259)-1)),VALUE(LEFT(Raw_Data!E259,FIND("/",Raw_Data!E259)-1))),IF(ISNUMBER(VALUE(LEFT(Raw_Data!E259,4))),DATE(VALUE(LEFT(Raw_Data!E259,4)),VALUE(MID(Raw_Data!E259,6,2)),VALUE(MID(Raw_Data!E259,9,2))),DATEVALUE(Raw_Data!E259))),"")</f>
        <v>45368</v>
      </c>
      <c r="F259" s="11" t="str">
        <f aca="false">Raw_Data!F259</f>
        <v>Male 18-24</v>
      </c>
      <c r="G259" s="11" t="str">
        <f aca="false">IF(TRIM(Raw_Data!G259)="","Unspecified",IFERROR(INDEX(Lookup_Tables!$F$2:$F$24,MATCH(UPPER(TRIM(Raw_Data!G259)),Lookup_Tables!$G$2:$G$24,0)),"Unknown"))</f>
        <v>East</v>
      </c>
      <c r="H259" s="11" t="n">
        <f aca="false">IF(Raw_Data!H259="",ROUND(AVERAGEIFS(Raw_Data!$H$2:$H$839,Raw_Data!$C$2:$C$839,Raw_Data!C259),2),Raw_Data!H259)</f>
        <v>16432.42</v>
      </c>
      <c r="I259" s="11" t="n">
        <f aca="false">Raw_Data!I259</f>
        <v>323748</v>
      </c>
      <c r="J259" s="11" t="n">
        <f aca="false">IF(Raw_Data!J259&lt;0,ABS(Raw_Data!J259),Raw_Data!J259)</f>
        <v>4529</v>
      </c>
      <c r="K259" s="11" t="n">
        <f aca="false">Raw_Data!K259</f>
        <v>309</v>
      </c>
      <c r="L259" s="11" t="n">
        <f aca="false">IF(Raw_Data!L259="",ROUND(AVERAGEIFS(Raw_Data!$L$2:$L$839,Raw_Data!$C$2:$C$839,Raw_Data!C259),2),Raw_Data!L259)</f>
        <v>537123.34</v>
      </c>
      <c r="M259" s="13" t="n">
        <f aca="false">IFERROR(J259/I259,0)</f>
        <v>0.0139892756094246</v>
      </c>
      <c r="N259" s="14" t="n">
        <f aca="false">IFERROR(H259/J259,0)</f>
        <v>3.62826672554648</v>
      </c>
      <c r="O259" s="14" t="n">
        <f aca="false">IFERROR(H259/K259,0)</f>
        <v>53.1793527508091</v>
      </c>
      <c r="P259" s="15" t="n">
        <f aca="false">IFERROR(L259/H259,0)</f>
        <v>32.6868069340974</v>
      </c>
      <c r="Q259" s="13" t="n">
        <f aca="false">IFERROR(K259/J259,0)</f>
        <v>0.0682269816736587</v>
      </c>
      <c r="R259" s="11" t="str">
        <f aca="false">IF(COUNTIF($A$2:A259,A259)&gt;1,"Duplicate - Remove","Unique")</f>
        <v>Unique</v>
      </c>
      <c r="S259" s="11" t="str">
        <f aca="false">TRIM(IF(Raw_Data!G259="","Region missing; ","")&amp;IF(Raw_Data!H259="","Spend imputed; ","")&amp;IF(Raw_Data!L259="","Revenue imputed; ","")&amp;IF(Raw_Data!J259&lt;0,"Clicks corrected; ",""))</f>
        <v/>
      </c>
    </row>
    <row r="260" customFormat="false" ht="15" hidden="false" customHeight="true" outlineLevel="0" collapsed="false">
      <c r="A260" s="11" t="n">
        <f aca="false">Raw_Data!A260</f>
        <v>1679</v>
      </c>
      <c r="B260" s="11" t="str">
        <f aca="false">PROPER(TRIM(Raw_Data!B260))</f>
        <v>Wedding Season Special</v>
      </c>
      <c r="C260" s="11" t="str">
        <f aca="false">IFERROR(INDEX(Lookup_Tables!$B$2:$B$26,MATCH(UPPER(TRIM(Raw_Data!C260)),Lookup_Tables!$C$2:$C$26,0)),"Unknown")</f>
        <v>Instagram</v>
      </c>
      <c r="D260" s="12" t="n">
        <f aca="false">IFERROR(IF(ISNUMBER(SEARCH("/",Raw_Data!D260)),DATE(VALUE(RIGHT(Raw_Data!D260,4)),VALUE(MID(Raw_Data!D260,FIND("/",Raw_Data!D260)+1,FIND("/",Raw_Data!D260,FIND("/",Raw_Data!D260)+1)-FIND("/",Raw_Data!D260)-1)),VALUE(LEFT(Raw_Data!D260,FIND("/",Raw_Data!D260)-1))),IF(ISNUMBER(VALUE(LEFT(Raw_Data!D260,4))),DATE(VALUE(LEFT(Raw_Data!D260,4)),VALUE(MID(Raw_Data!D260,6,2)),VALUE(MID(Raw_Data!D260,9,2))),DATEVALUE(Raw_Data!D260))),"")</f>
        <v>45495</v>
      </c>
      <c r="E260" s="12" t="n">
        <f aca="false">IFERROR(IF(ISNUMBER(SEARCH("/",Raw_Data!E260)),DATE(VALUE(RIGHT(Raw_Data!E260,4)),VALUE(MID(Raw_Data!E260,FIND("/",Raw_Data!E260)+1,FIND("/",Raw_Data!E260,FIND("/",Raw_Data!E260)+1)-FIND("/",Raw_Data!E260)-1)),VALUE(LEFT(Raw_Data!E260,FIND("/",Raw_Data!E260)-1))),IF(ISNUMBER(VALUE(LEFT(Raw_Data!E260,4))),DATE(VALUE(LEFT(Raw_Data!E260,4)),VALUE(MID(Raw_Data!E260,6,2)),VALUE(MID(Raw_Data!E260,9,2))),DATEVALUE(Raw_Data!E260))),"")</f>
        <v>45504</v>
      </c>
      <c r="F260" s="11" t="str">
        <f aca="false">Raw_Data!F260</f>
        <v>Male 35-44</v>
      </c>
      <c r="G260" s="11" t="str">
        <f aca="false">IF(TRIM(Raw_Data!G260)="","Unspecified",IFERROR(INDEX(Lookup_Tables!$F$2:$F$24,MATCH(UPPER(TRIM(Raw_Data!G260)),Lookup_Tables!$G$2:$G$24,0)),"Unknown"))</f>
        <v>East</v>
      </c>
      <c r="H260" s="11" t="n">
        <f aca="false">IF(Raw_Data!H260="",ROUND(AVERAGEIFS(Raw_Data!$H$2:$H$839,Raw_Data!$C$2:$C$839,Raw_Data!C260),2),Raw_Data!H260)</f>
        <v>13388.55</v>
      </c>
      <c r="I260" s="11" t="n">
        <f aca="false">Raw_Data!I260</f>
        <v>520839</v>
      </c>
      <c r="J260" s="11" t="n">
        <f aca="false">IF(Raw_Data!J260&lt;0,ABS(Raw_Data!J260),Raw_Data!J260)</f>
        <v>15332</v>
      </c>
      <c r="K260" s="11" t="n">
        <f aca="false">Raw_Data!K260</f>
        <v>1105</v>
      </c>
      <c r="L260" s="11" t="n">
        <f aca="false">IF(Raw_Data!L260="",ROUND(AVERAGEIFS(Raw_Data!$L$2:$L$839,Raw_Data!$C$2:$C$839,Raw_Data!C260),2),Raw_Data!L260)</f>
        <v>857670.92</v>
      </c>
      <c r="M260" s="13" t="n">
        <f aca="false">IFERROR(J260/I260,0)</f>
        <v>0.0294371197241374</v>
      </c>
      <c r="N260" s="14" t="n">
        <f aca="false">IFERROR(H260/J260,0)</f>
        <v>0.873242238455518</v>
      </c>
      <c r="O260" s="14" t="n">
        <f aca="false">IFERROR(H260/K260,0)</f>
        <v>12.116334841629</v>
      </c>
      <c r="P260" s="15" t="n">
        <f aca="false">IFERROR(L260/H260,0)</f>
        <v>64.0600303991097</v>
      </c>
      <c r="Q260" s="13" t="n">
        <f aca="false">IFERROR(K260/J260,0)</f>
        <v>0.072071484476911</v>
      </c>
      <c r="R260" s="11" t="str">
        <f aca="false">IF(COUNTIF($A$2:A260,A260)&gt;1,"Duplicate - Remove","Unique")</f>
        <v>Unique</v>
      </c>
      <c r="S260" s="11" t="str">
        <f aca="false">TRIM(IF(Raw_Data!G260="","Region missing; ","")&amp;IF(Raw_Data!H260="","Spend imputed; ","")&amp;IF(Raw_Data!L260="","Revenue imputed; ","")&amp;IF(Raw_Data!J260&lt;0,"Clicks corrected; ",""))</f>
        <v/>
      </c>
    </row>
    <row r="261" customFormat="false" ht="15" hidden="false" customHeight="true" outlineLevel="0" collapsed="false">
      <c r="A261" s="11" t="n">
        <f aca="false">Raw_Data!A261</f>
        <v>1008</v>
      </c>
      <c r="B261" s="11" t="str">
        <f aca="false">PROPER(TRIM(Raw_Data!B261))</f>
        <v>Summer Glow Launch</v>
      </c>
      <c r="C261" s="11" t="str">
        <f aca="false">IFERROR(INDEX(Lookup_Tables!$B$2:$B$26,MATCH(UPPER(TRIM(Raw_Data!C261)),Lookup_Tables!$C$2:$C$26,0)),"Unknown")</f>
        <v>Google Ads</v>
      </c>
      <c r="D261" s="12" t="n">
        <f aca="false">IFERROR(IF(ISNUMBER(SEARCH("/",Raw_Data!D261)),DATE(VALUE(RIGHT(Raw_Data!D261,4)),VALUE(MID(Raw_Data!D261,FIND("/",Raw_Data!D261)+1,FIND("/",Raw_Data!D261,FIND("/",Raw_Data!D261)+1)-FIND("/",Raw_Data!D261)-1)),VALUE(LEFT(Raw_Data!D261,FIND("/",Raw_Data!D261)-1))),IF(ISNUMBER(VALUE(LEFT(Raw_Data!D261,4))),DATE(VALUE(LEFT(Raw_Data!D261,4)),VALUE(MID(Raw_Data!D261,6,2)),VALUE(MID(Raw_Data!D261,9,2))),DATEVALUE(Raw_Data!D261))),"")</f>
        <v>45564</v>
      </c>
      <c r="E261" s="12" t="n">
        <f aca="false">IFERROR(IF(ISNUMBER(SEARCH("/",Raw_Data!E261)),DATE(VALUE(RIGHT(Raw_Data!E261,4)),VALUE(MID(Raw_Data!E261,FIND("/",Raw_Data!E261)+1,FIND("/",Raw_Data!E261,FIND("/",Raw_Data!E261)+1)-FIND("/",Raw_Data!E261)-1)),VALUE(LEFT(Raw_Data!E261,FIND("/",Raw_Data!E261)-1))),IF(ISNUMBER(VALUE(LEFT(Raw_Data!E261,4))),DATE(VALUE(LEFT(Raw_Data!E261,4)),VALUE(MID(Raw_Data!E261,6,2)),VALUE(MID(Raw_Data!E261,9,2))),DATEVALUE(Raw_Data!E261))),"")</f>
        <v>45593</v>
      </c>
      <c r="F261" s="11" t="str">
        <f aca="false">Raw_Data!F261</f>
        <v>Female 25-34</v>
      </c>
      <c r="G261" s="11" t="str">
        <f aca="false">IF(TRIM(Raw_Data!G261)="","Unspecified",IFERROR(INDEX(Lookup_Tables!$F$2:$F$24,MATCH(UPPER(TRIM(Raw_Data!G261)),Lookup_Tables!$G$2:$G$24,0)),"Unknown"))</f>
        <v>North</v>
      </c>
      <c r="H261" s="11" t="n">
        <f aca="false">IF(Raw_Data!H261="",ROUND(AVERAGEIFS(Raw_Data!$H$2:$H$839,Raw_Data!$C$2:$C$839,Raw_Data!C261),2),Raw_Data!H261)</f>
        <v>18987.4</v>
      </c>
      <c r="I261" s="11" t="n">
        <f aca="false">Raw_Data!I261</f>
        <v>510420</v>
      </c>
      <c r="J261" s="11" t="n">
        <f aca="false">IF(Raw_Data!J261&lt;0,ABS(Raw_Data!J261),Raw_Data!J261)</f>
        <v>10971</v>
      </c>
      <c r="K261" s="11" t="n">
        <f aca="false">Raw_Data!K261</f>
        <v>313</v>
      </c>
      <c r="L261" s="11" t="n">
        <f aca="false">IF(Raw_Data!L261="",ROUND(AVERAGEIFS(Raw_Data!$L$2:$L$839,Raw_Data!$C$2:$C$839,Raw_Data!C261),2),Raw_Data!L261)</f>
        <v>505503.74</v>
      </c>
      <c r="M261" s="13" t="n">
        <f aca="false">IFERROR(J261/I261,0)</f>
        <v>0.021494063712237</v>
      </c>
      <c r="N261" s="14" t="n">
        <f aca="false">IFERROR(H261/J261,0)</f>
        <v>1.73069000091149</v>
      </c>
      <c r="O261" s="14" t="n">
        <f aca="false">IFERROR(H261/K261,0)</f>
        <v>60.6626198083067</v>
      </c>
      <c r="P261" s="15" t="n">
        <f aca="false">IFERROR(L261/H261,0)</f>
        <v>26.623115329113</v>
      </c>
      <c r="Q261" s="13" t="n">
        <f aca="false">IFERROR(K261/J261,0)</f>
        <v>0.0285297602770942</v>
      </c>
      <c r="R261" s="11" t="str">
        <f aca="false">IF(COUNTIF($A$2:A261,A261)&gt;1,"Duplicate - Remove","Unique")</f>
        <v>Unique</v>
      </c>
      <c r="S261" s="11" t="str">
        <f aca="false">TRIM(IF(Raw_Data!G261="","Region missing; ","")&amp;IF(Raw_Data!H261="","Spend imputed; ","")&amp;IF(Raw_Data!L261="","Revenue imputed; ","")&amp;IF(Raw_Data!J261&lt;0,"Clicks corrected; ",""))</f>
        <v/>
      </c>
    </row>
    <row r="262" customFormat="false" ht="15" hidden="false" customHeight="true" outlineLevel="0" collapsed="false">
      <c r="A262" s="11" t="n">
        <f aca="false">Raw_Data!A262</f>
        <v>1331</v>
      </c>
      <c r="B262" s="11" t="str">
        <f aca="false">PROPER(TRIM(Raw_Data!B262))</f>
        <v>Men'S Grooming Drive</v>
      </c>
      <c r="C262" s="11" t="str">
        <f aca="false">IFERROR(INDEX(Lookup_Tables!$B$2:$B$26,MATCH(UPPER(TRIM(Raw_Data!C262)),Lookup_Tables!$C$2:$C$26,0)),"Unknown")</f>
        <v>Facebook</v>
      </c>
      <c r="D262" s="12" t="n">
        <f aca="false">IFERROR(IF(ISNUMBER(SEARCH("/",Raw_Data!D262)),DATE(VALUE(RIGHT(Raw_Data!D262,4)),VALUE(MID(Raw_Data!D262,FIND("/",Raw_Data!D262)+1,FIND("/",Raw_Data!D262,FIND("/",Raw_Data!D262)+1)-FIND("/",Raw_Data!D262)-1)),VALUE(LEFT(Raw_Data!D262,FIND("/",Raw_Data!D262)-1))),IF(ISNUMBER(VALUE(LEFT(Raw_Data!D262,4))),DATE(VALUE(LEFT(Raw_Data!D262,4)),VALUE(MID(Raw_Data!D262,6,2)),VALUE(MID(Raw_Data!D262,9,2))),DATEVALUE(Raw_Data!D262))),"")</f>
        <v>45454</v>
      </c>
      <c r="E262" s="12" t="n">
        <f aca="false">IFERROR(IF(ISNUMBER(SEARCH("/",Raw_Data!E262)),DATE(VALUE(RIGHT(Raw_Data!E262,4)),VALUE(MID(Raw_Data!E262,FIND("/",Raw_Data!E262)+1,FIND("/",Raw_Data!E262,FIND("/",Raw_Data!E262)+1)-FIND("/",Raw_Data!E262)-1)),VALUE(LEFT(Raw_Data!E262,FIND("/",Raw_Data!E262)-1))),IF(ISNUMBER(VALUE(LEFT(Raw_Data!E262,4))),DATE(VALUE(LEFT(Raw_Data!E262,4)),VALUE(MID(Raw_Data!E262,6,2)),VALUE(MID(Raw_Data!E262,9,2))),DATEVALUE(Raw_Data!E262))),"")</f>
        <v>45477</v>
      </c>
      <c r="F262" s="11" t="str">
        <f aca="false">Raw_Data!F262</f>
        <v>Female 18-24</v>
      </c>
      <c r="G262" s="11" t="str">
        <f aca="false">IF(TRIM(Raw_Data!G262)="","Unspecified",IFERROR(INDEX(Lookup_Tables!$F$2:$F$24,MATCH(UPPER(TRIM(Raw_Data!G262)),Lookup_Tables!$G$2:$G$24,0)),"Unknown"))</f>
        <v>South</v>
      </c>
      <c r="H262" s="11" t="n">
        <f aca="false">IF(Raw_Data!H262="",ROUND(AVERAGEIFS(Raw_Data!$H$2:$H$839,Raw_Data!$C$2:$C$839,Raw_Data!C262),2),Raw_Data!H262)</f>
        <v>25399.1</v>
      </c>
      <c r="I262" s="11" t="n">
        <f aca="false">Raw_Data!I262</f>
        <v>615719</v>
      </c>
      <c r="J262" s="11" t="n">
        <f aca="false">IF(Raw_Data!J262&lt;0,ABS(Raw_Data!J262),Raw_Data!J262)</f>
        <v>6868</v>
      </c>
      <c r="K262" s="11" t="n">
        <f aca="false">Raw_Data!K262</f>
        <v>408</v>
      </c>
      <c r="L262" s="11" t="n">
        <f aca="false">IF(Raw_Data!L262="",ROUND(AVERAGEIFS(Raw_Data!$L$2:$L$839,Raw_Data!$C$2:$C$839,Raw_Data!C262),2),Raw_Data!L262)</f>
        <v>536541.32</v>
      </c>
      <c r="M262" s="13" t="n">
        <f aca="false">IFERROR(J262/I262,0)</f>
        <v>0.0111544389567319</v>
      </c>
      <c r="N262" s="14" t="n">
        <f aca="false">IFERROR(H262/J262,0)</f>
        <v>3.69817996505533</v>
      </c>
      <c r="O262" s="14" t="n">
        <f aca="false">IFERROR(H262/K262,0)</f>
        <v>62.2526960784314</v>
      </c>
      <c r="P262" s="15" t="n">
        <f aca="false">IFERROR(L262/H262,0)</f>
        <v>21.1244225189082</v>
      </c>
      <c r="Q262" s="13" t="n">
        <f aca="false">IFERROR(K262/J262,0)</f>
        <v>0.0594059405940594</v>
      </c>
      <c r="R262" s="11" t="str">
        <f aca="false">IF(COUNTIF($A$2:A262,A262)&gt;1,"Duplicate - Remove","Unique")</f>
        <v>Unique</v>
      </c>
      <c r="S262" s="11" t="str">
        <f aca="false">TRIM(IF(Raw_Data!G262="","Region missing; ","")&amp;IF(Raw_Data!H262="","Spend imputed; ","")&amp;IF(Raw_Data!L262="","Revenue imputed; ","")&amp;IF(Raw_Data!J262&lt;0,"Clicks corrected; ",""))</f>
        <v/>
      </c>
    </row>
    <row r="263" customFormat="false" ht="15" hidden="false" customHeight="true" outlineLevel="0" collapsed="false">
      <c r="A263" s="11" t="n">
        <f aca="false">Raw_Data!A263</f>
        <v>1443</v>
      </c>
      <c r="B263" s="11" t="str">
        <f aca="false">PROPER(TRIM(Raw_Data!B263))</f>
        <v>Back To College Offer</v>
      </c>
      <c r="C263" s="11" t="str">
        <f aca="false">IFERROR(INDEX(Lookup_Tables!$B$2:$B$26,MATCH(UPPER(TRIM(Raw_Data!C263)),Lookup_Tables!$C$2:$C$26,0)),"Unknown")</f>
        <v>Facebook</v>
      </c>
      <c r="D263" s="12" t="n">
        <f aca="false">IFERROR(IF(ISNUMBER(SEARCH("/",Raw_Data!D263)),DATE(VALUE(RIGHT(Raw_Data!D263,4)),VALUE(MID(Raw_Data!D263,FIND("/",Raw_Data!D263)+1,FIND("/",Raw_Data!D263,FIND("/",Raw_Data!D263)+1)-FIND("/",Raw_Data!D263)-1)),VALUE(LEFT(Raw_Data!D263,FIND("/",Raw_Data!D263)-1))),IF(ISNUMBER(VALUE(LEFT(Raw_Data!D263,4))),DATE(VALUE(LEFT(Raw_Data!D263,4)),VALUE(MID(Raw_Data!D263,6,2)),VALUE(MID(Raw_Data!D263,9,2))),DATEVALUE(Raw_Data!D263))),"")</f>
        <v>45327</v>
      </c>
      <c r="E263" s="12" t="n">
        <f aca="false">IFERROR(IF(ISNUMBER(SEARCH("/",Raw_Data!E263)),DATE(VALUE(RIGHT(Raw_Data!E263,4)),VALUE(MID(Raw_Data!E263,FIND("/",Raw_Data!E263)+1,FIND("/",Raw_Data!E263,FIND("/",Raw_Data!E263)+1)-FIND("/",Raw_Data!E263)-1)),VALUE(LEFT(Raw_Data!E263,FIND("/",Raw_Data!E263)-1))),IF(ISNUMBER(VALUE(LEFT(Raw_Data!E263,4))),DATE(VALUE(LEFT(Raw_Data!E263,4)),VALUE(MID(Raw_Data!E263,6,2)),VALUE(MID(Raw_Data!E263,9,2))),DATEVALUE(Raw_Data!E263))),"")</f>
        <v>45338</v>
      </c>
      <c r="F263" s="11" t="str">
        <f aca="false">Raw_Data!F263</f>
        <v>Male 45+</v>
      </c>
      <c r="G263" s="11" t="str">
        <f aca="false">IF(TRIM(Raw_Data!G263)="","Unspecified",IFERROR(INDEX(Lookup_Tables!$F$2:$F$24,MATCH(UPPER(TRIM(Raw_Data!G263)),Lookup_Tables!$G$2:$G$24,0)),"Unknown"))</f>
        <v>West</v>
      </c>
      <c r="H263" s="11" t="n">
        <f aca="false">IF(Raw_Data!H263="",ROUND(AVERAGEIFS(Raw_Data!$H$2:$H$839,Raw_Data!$C$2:$C$839,Raw_Data!C263),2),Raw_Data!H263)</f>
        <v>33912.15</v>
      </c>
      <c r="I263" s="11" t="n">
        <f aca="false">Raw_Data!I263</f>
        <v>628673</v>
      </c>
      <c r="J263" s="11" t="n">
        <f aca="false">IF(Raw_Data!J263&lt;0,ABS(Raw_Data!J263),Raw_Data!J263)</f>
        <v>6994</v>
      </c>
      <c r="K263" s="11" t="n">
        <f aca="false">Raw_Data!K263</f>
        <v>114</v>
      </c>
      <c r="L263" s="11" t="n">
        <f aca="false">IF(Raw_Data!L263="",ROUND(AVERAGEIFS(Raw_Data!$L$2:$L$839,Raw_Data!$C$2:$C$839,Raw_Data!C263),2),Raw_Data!L263)</f>
        <v>137861.85</v>
      </c>
      <c r="M263" s="13" t="n">
        <f aca="false">IFERROR(J263/I263,0)</f>
        <v>0.0111250204796452</v>
      </c>
      <c r="N263" s="14" t="n">
        <f aca="false">IFERROR(H263/J263,0)</f>
        <v>4.84874892765227</v>
      </c>
      <c r="O263" s="14" t="n">
        <f aca="false">IFERROR(H263/K263,0)</f>
        <v>297.475</v>
      </c>
      <c r="P263" s="15" t="n">
        <f aca="false">IFERROR(L263/H263,0)</f>
        <v>4.06526421946117</v>
      </c>
      <c r="Q263" s="13" t="n">
        <f aca="false">IFERROR(K263/J263,0)</f>
        <v>0.0162996854446669</v>
      </c>
      <c r="R263" s="11" t="str">
        <f aca="false">IF(COUNTIF($A$2:A263,A263)&gt;1,"Duplicate - Remove","Unique")</f>
        <v>Unique</v>
      </c>
      <c r="S263" s="11" t="str">
        <f aca="false">TRIM(IF(Raw_Data!G263="","Region missing; ","")&amp;IF(Raw_Data!H263="","Spend imputed; ","")&amp;IF(Raw_Data!L263="","Revenue imputed; ","")&amp;IF(Raw_Data!J263&lt;0,"Clicks corrected; ",""))</f>
        <v/>
      </c>
    </row>
    <row r="264" customFormat="false" ht="15" hidden="false" customHeight="true" outlineLevel="0" collapsed="false">
      <c r="A264" s="11" t="n">
        <f aca="false">Raw_Data!A264</f>
        <v>1279</v>
      </c>
      <c r="B264" s="11" t="str">
        <f aca="false">PROPER(TRIM(Raw_Data!B264))</f>
        <v>Anti-Ageing Serum Push</v>
      </c>
      <c r="C264" s="11" t="str">
        <f aca="false">IFERROR(INDEX(Lookup_Tables!$B$2:$B$26,MATCH(UPPER(TRIM(Raw_Data!C264)),Lookup_Tables!$C$2:$C$26,0)),"Unknown")</f>
        <v>Facebook</v>
      </c>
      <c r="D264" s="12" t="n">
        <f aca="false">IFERROR(IF(ISNUMBER(SEARCH("/",Raw_Data!D264)),DATE(VALUE(RIGHT(Raw_Data!D264,4)),VALUE(MID(Raw_Data!D264,FIND("/",Raw_Data!D264)+1,FIND("/",Raw_Data!D264,FIND("/",Raw_Data!D264)+1)-FIND("/",Raw_Data!D264)-1)),VALUE(LEFT(Raw_Data!D264,FIND("/",Raw_Data!D264)-1))),IF(ISNUMBER(VALUE(LEFT(Raw_Data!D264,4))),DATE(VALUE(LEFT(Raw_Data!D264,4)),VALUE(MID(Raw_Data!D264,6,2)),VALUE(MID(Raw_Data!D264,9,2))),DATEVALUE(Raw_Data!D264))),"")</f>
        <v>45359</v>
      </c>
      <c r="E264" s="12" t="n">
        <f aca="false">IFERROR(IF(ISNUMBER(SEARCH("/",Raw_Data!E264)),DATE(VALUE(RIGHT(Raw_Data!E264,4)),VALUE(MID(Raw_Data!E264,FIND("/",Raw_Data!E264)+1,FIND("/",Raw_Data!E264,FIND("/",Raw_Data!E264)+1)-FIND("/",Raw_Data!E264)-1)),VALUE(LEFT(Raw_Data!E264,FIND("/",Raw_Data!E264)-1))),IF(ISNUMBER(VALUE(LEFT(Raw_Data!E264,4))),DATE(VALUE(LEFT(Raw_Data!E264,4)),VALUE(MID(Raw_Data!E264,6,2)),VALUE(MID(Raw_Data!E264,9,2))),DATEVALUE(Raw_Data!E264))),"")</f>
        <v>45370</v>
      </c>
      <c r="F264" s="11" t="str">
        <f aca="false">Raw_Data!F264</f>
        <v>Female 25-34</v>
      </c>
      <c r="G264" s="11" t="str">
        <f aca="false">IF(TRIM(Raw_Data!G264)="","Unspecified",IFERROR(INDEX(Lookup_Tables!$F$2:$F$24,MATCH(UPPER(TRIM(Raw_Data!G264)),Lookup_Tables!$G$2:$G$24,0)),"Unknown"))</f>
        <v>West</v>
      </c>
      <c r="H264" s="11" t="n">
        <f aca="false">IF(Raw_Data!H264="",ROUND(AVERAGEIFS(Raw_Data!$H$2:$H$839,Raw_Data!$C$2:$C$839,Raw_Data!C264),2),Raw_Data!H264)</f>
        <v>33392.65</v>
      </c>
      <c r="I264" s="11" t="n">
        <f aca="false">Raw_Data!I264</f>
        <v>712190</v>
      </c>
      <c r="J264" s="11" t="n">
        <f aca="false">IF(Raw_Data!J264&lt;0,ABS(Raw_Data!J264),Raw_Data!J264)</f>
        <v>13360</v>
      </c>
      <c r="K264" s="11" t="n">
        <f aca="false">Raw_Data!K264</f>
        <v>933</v>
      </c>
      <c r="L264" s="11" t="n">
        <f aca="false">IF(Raw_Data!L264="",ROUND(AVERAGEIFS(Raw_Data!$L$2:$L$839,Raw_Data!$C$2:$C$839,Raw_Data!C264),2),Raw_Data!L264)</f>
        <v>796455.55</v>
      </c>
      <c r="M264" s="13" t="n">
        <f aca="false">IFERROR(J264/I264,0)</f>
        <v>0.0187590390204861</v>
      </c>
      <c r="N264" s="14" t="n">
        <f aca="false">IFERROR(H264/J264,0)</f>
        <v>2.4994498502994</v>
      </c>
      <c r="O264" s="14" t="n">
        <f aca="false">IFERROR(H264/K264,0)</f>
        <v>35.7906216505895</v>
      </c>
      <c r="P264" s="15" t="n">
        <f aca="false">IFERROR(L264/H264,0)</f>
        <v>23.8512232482298</v>
      </c>
      <c r="Q264" s="13" t="n">
        <f aca="false">IFERROR(K264/J264,0)</f>
        <v>0.0698353293413174</v>
      </c>
      <c r="R264" s="11" t="str">
        <f aca="false">IF(COUNTIF($A$2:A264,A264)&gt;1,"Duplicate - Remove","Unique")</f>
        <v>Unique</v>
      </c>
      <c r="S264" s="11" t="str">
        <f aca="false">TRIM(IF(Raw_Data!G264="","Region missing; ","")&amp;IF(Raw_Data!H264="","Spend imputed; ","")&amp;IF(Raw_Data!L264="","Revenue imputed; ","")&amp;IF(Raw_Data!J264&lt;0,"Clicks corrected; ",""))</f>
        <v>Revenue imputed;</v>
      </c>
    </row>
    <row r="265" customFormat="false" ht="15" hidden="false" customHeight="true" outlineLevel="0" collapsed="false">
      <c r="A265" s="11" t="n">
        <f aca="false">Raw_Data!A265</f>
        <v>1280</v>
      </c>
      <c r="B265" s="11" t="str">
        <f aca="false">PROPER(TRIM(Raw_Data!B265))</f>
        <v>Sunscreen Season Campaign</v>
      </c>
      <c r="C265" s="11" t="str">
        <f aca="false">IFERROR(INDEX(Lookup_Tables!$B$2:$B$26,MATCH(UPPER(TRIM(Raw_Data!C265)),Lookup_Tables!$C$2:$C$26,0)),"Unknown")</f>
        <v>YouTube</v>
      </c>
      <c r="D265" s="12" t="n">
        <f aca="false">IFERROR(IF(ISNUMBER(SEARCH("/",Raw_Data!D265)),DATE(VALUE(RIGHT(Raw_Data!D265,4)),VALUE(MID(Raw_Data!D265,FIND("/",Raw_Data!D265)+1,FIND("/",Raw_Data!D265,FIND("/",Raw_Data!D265)+1)-FIND("/",Raw_Data!D265)-1)),VALUE(LEFT(Raw_Data!D265,FIND("/",Raw_Data!D265)-1))),IF(ISNUMBER(VALUE(LEFT(Raw_Data!D265,4))),DATE(VALUE(LEFT(Raw_Data!D265,4)),VALUE(MID(Raw_Data!D265,6,2)),VALUE(MID(Raw_Data!D265,9,2))),DATEVALUE(Raw_Data!D265))),"")</f>
        <v>45609</v>
      </c>
      <c r="E265" s="12" t="n">
        <f aca="false">IFERROR(IF(ISNUMBER(SEARCH("/",Raw_Data!E265)),DATE(VALUE(RIGHT(Raw_Data!E265,4)),VALUE(MID(Raw_Data!E265,FIND("/",Raw_Data!E265)+1,FIND("/",Raw_Data!E265,FIND("/",Raw_Data!E265)+1)-FIND("/",Raw_Data!E265)-1)),VALUE(LEFT(Raw_Data!E265,FIND("/",Raw_Data!E265)-1))),IF(ISNUMBER(VALUE(LEFT(Raw_Data!E265,4))),DATE(VALUE(LEFT(Raw_Data!E265,4)),VALUE(MID(Raw_Data!E265,6,2)),VALUE(MID(Raw_Data!E265,9,2))),DATEVALUE(Raw_Data!E265))),"")</f>
        <v>45634</v>
      </c>
      <c r="F265" s="11" t="str">
        <f aca="false">Raw_Data!F265</f>
        <v>Male 25-34</v>
      </c>
      <c r="G265" s="11" t="str">
        <f aca="false">IF(TRIM(Raw_Data!G265)="","Unspecified",IFERROR(INDEX(Lookup_Tables!$F$2:$F$24,MATCH(UPPER(TRIM(Raw_Data!G265)),Lookup_Tables!$G$2:$G$24,0)),"Unknown"))</f>
        <v>Central</v>
      </c>
      <c r="H265" s="11" t="n">
        <f aca="false">IF(Raw_Data!H265="",ROUND(AVERAGEIFS(Raw_Data!$H$2:$H$839,Raw_Data!$C$2:$C$839,Raw_Data!C265),2),Raw_Data!H265)</f>
        <v>76509.1</v>
      </c>
      <c r="I265" s="11" t="n">
        <f aca="false">Raw_Data!I265</f>
        <v>1544790</v>
      </c>
      <c r="J265" s="11" t="n">
        <f aca="false">IF(Raw_Data!J265&lt;0,ABS(Raw_Data!J265),Raw_Data!J265)</f>
        <v>16290</v>
      </c>
      <c r="K265" s="11" t="n">
        <f aca="false">Raw_Data!K265</f>
        <v>225</v>
      </c>
      <c r="L265" s="11" t="n">
        <f aca="false">IF(Raw_Data!L265="",ROUND(AVERAGEIFS(Raw_Data!$L$2:$L$839,Raw_Data!$C$2:$C$839,Raw_Data!C265),2),Raw_Data!L265)</f>
        <v>192617.72</v>
      </c>
      <c r="M265" s="13" t="n">
        <f aca="false">IFERROR(J265/I265,0)</f>
        <v>0.0105451226380285</v>
      </c>
      <c r="N265" s="14" t="n">
        <f aca="false">IFERROR(H265/J265,0)</f>
        <v>4.69669122160835</v>
      </c>
      <c r="O265" s="14" t="n">
        <f aca="false">IFERROR(H265/K265,0)</f>
        <v>340.040444444444</v>
      </c>
      <c r="P265" s="15" t="n">
        <f aca="false">IFERROR(L265/H265,0)</f>
        <v>2.51757921606711</v>
      </c>
      <c r="Q265" s="13" t="n">
        <f aca="false">IFERROR(K265/J265,0)</f>
        <v>0.0138121546961326</v>
      </c>
      <c r="R265" s="11" t="str">
        <f aca="false">IF(COUNTIF($A$2:A265,A265)&gt;1,"Duplicate - Remove","Unique")</f>
        <v>Unique</v>
      </c>
      <c r="S265" s="11" t="str">
        <f aca="false">TRIM(IF(Raw_Data!G265="","Region missing; ","")&amp;IF(Raw_Data!H265="","Spend imputed; ","")&amp;IF(Raw_Data!L265="","Revenue imputed; ","")&amp;IF(Raw_Data!J265&lt;0,"Clicks corrected; ",""))</f>
        <v/>
      </c>
    </row>
    <row r="266" customFormat="false" ht="15" hidden="false" customHeight="true" outlineLevel="0" collapsed="false">
      <c r="A266" s="11" t="n">
        <f aca="false">Raw_Data!A266</f>
        <v>1194</v>
      </c>
      <c r="B266" s="11" t="str">
        <f aca="false">PROPER(TRIM(Raw_Data!B266))</f>
        <v>Sunscreen Season Campaign</v>
      </c>
      <c r="C266" s="11" t="str">
        <f aca="false">IFERROR(INDEX(Lookup_Tables!$B$2:$B$26,MATCH(UPPER(TRIM(Raw_Data!C266)),Lookup_Tables!$C$2:$C$26,0)),"Unknown")</f>
        <v>Google Ads</v>
      </c>
      <c r="D266" s="12" t="n">
        <f aca="false">IFERROR(IF(ISNUMBER(SEARCH("/",Raw_Data!D266)),DATE(VALUE(RIGHT(Raw_Data!D266,4)),VALUE(MID(Raw_Data!D266,FIND("/",Raw_Data!D266)+1,FIND("/",Raw_Data!D266,FIND("/",Raw_Data!D266)+1)-FIND("/",Raw_Data!D266)-1)),VALUE(LEFT(Raw_Data!D266,FIND("/",Raw_Data!D266)-1))),IF(ISNUMBER(VALUE(LEFT(Raw_Data!D266,4))),DATE(VALUE(LEFT(Raw_Data!D266,4)),VALUE(MID(Raw_Data!D266,6,2)),VALUE(MID(Raw_Data!D266,9,2))),DATEVALUE(Raw_Data!D266))),"")</f>
        <v>45510</v>
      </c>
      <c r="E266" s="12" t="n">
        <f aca="false">IFERROR(IF(ISNUMBER(SEARCH("/",Raw_Data!E266)),DATE(VALUE(RIGHT(Raw_Data!E266,4)),VALUE(MID(Raw_Data!E266,FIND("/",Raw_Data!E266)+1,FIND("/",Raw_Data!E266,FIND("/",Raw_Data!E266)+1)-FIND("/",Raw_Data!E266)-1)),VALUE(LEFT(Raw_Data!E266,FIND("/",Raw_Data!E266)-1))),IF(ISNUMBER(VALUE(LEFT(Raw_Data!E266,4))),DATE(VALUE(LEFT(Raw_Data!E266,4)),VALUE(MID(Raw_Data!E266,6,2)),VALUE(MID(Raw_Data!E266,9,2))),DATEVALUE(Raw_Data!E266))),"")</f>
        <v>45538</v>
      </c>
      <c r="F266" s="11" t="str">
        <f aca="false">Raw_Data!F266</f>
        <v>Male 35-44</v>
      </c>
      <c r="G266" s="11" t="str">
        <f aca="false">IF(TRIM(Raw_Data!G266)="","Unspecified",IFERROR(INDEX(Lookup_Tables!$F$2:$F$24,MATCH(UPPER(TRIM(Raw_Data!G266)),Lookup_Tables!$G$2:$G$24,0)),"Unknown"))</f>
        <v>North</v>
      </c>
      <c r="H266" s="11" t="n">
        <f aca="false">IF(Raw_Data!H266="",ROUND(AVERAGEIFS(Raw_Data!$H$2:$H$839,Raw_Data!$C$2:$C$839,Raw_Data!C266),2),Raw_Data!H266)</f>
        <v>16649.89</v>
      </c>
      <c r="I266" s="11" t="n">
        <f aca="false">Raw_Data!I266</f>
        <v>565348</v>
      </c>
      <c r="J266" s="11" t="n">
        <f aca="false">IF(Raw_Data!J266&lt;0,ABS(Raw_Data!J266),Raw_Data!J266)</f>
        <v>3605</v>
      </c>
      <c r="K266" s="11" t="n">
        <f aca="false">Raw_Data!K266</f>
        <v>251</v>
      </c>
      <c r="L266" s="11" t="n">
        <f aca="false">IF(Raw_Data!L266="",ROUND(AVERAGEIFS(Raw_Data!$L$2:$L$839,Raw_Data!$C$2:$C$839,Raw_Data!C266),2),Raw_Data!L266)</f>
        <v>329278.06</v>
      </c>
      <c r="M266" s="13" t="n">
        <f aca="false">IFERROR(J266/I266,0)</f>
        <v>0.00637660343717498</v>
      </c>
      <c r="N266" s="14" t="n">
        <f aca="false">IFERROR(H266/J266,0)</f>
        <v>4.6185547850208</v>
      </c>
      <c r="O266" s="14" t="n">
        <f aca="false">IFERROR(H266/K266,0)</f>
        <v>66.3342231075697</v>
      </c>
      <c r="P266" s="15" t="n">
        <f aca="false">IFERROR(L266/H266,0)</f>
        <v>19.7765907162149</v>
      </c>
      <c r="Q266" s="13" t="n">
        <f aca="false">IFERROR(K266/J266,0)</f>
        <v>0.069625520110957</v>
      </c>
      <c r="R266" s="11" t="str">
        <f aca="false">IF(COUNTIF($A$2:A266,A266)&gt;1,"Duplicate - Remove","Unique")</f>
        <v>Unique</v>
      </c>
      <c r="S266" s="11" t="str">
        <f aca="false">TRIM(IF(Raw_Data!G266="","Region missing; ","")&amp;IF(Raw_Data!H266="","Spend imputed; ","")&amp;IF(Raw_Data!L266="","Revenue imputed; ","")&amp;IF(Raw_Data!J266&lt;0,"Clicks corrected; ",""))</f>
        <v/>
      </c>
    </row>
    <row r="267" customFormat="false" ht="15" hidden="false" customHeight="true" outlineLevel="0" collapsed="false">
      <c r="A267" s="11" t="n">
        <f aca="false">Raw_Data!A267</f>
        <v>1196</v>
      </c>
      <c r="B267" s="11" t="str">
        <f aca="false">PROPER(TRIM(Raw_Data!B267))</f>
        <v>Anti-Ageing Serum Push</v>
      </c>
      <c r="C267" s="11" t="str">
        <f aca="false">IFERROR(INDEX(Lookup_Tables!$B$2:$B$26,MATCH(UPPER(TRIM(Raw_Data!C267)),Lookup_Tables!$C$2:$C$26,0)),"Unknown")</f>
        <v>Facebook</v>
      </c>
      <c r="D267" s="12" t="n">
        <f aca="false">IFERROR(IF(ISNUMBER(SEARCH("/",Raw_Data!D267)),DATE(VALUE(RIGHT(Raw_Data!D267,4)),VALUE(MID(Raw_Data!D267,FIND("/",Raw_Data!D267)+1,FIND("/",Raw_Data!D267,FIND("/",Raw_Data!D267)+1)-FIND("/",Raw_Data!D267)-1)),VALUE(LEFT(Raw_Data!D267,FIND("/",Raw_Data!D267)-1))),IF(ISNUMBER(VALUE(LEFT(Raw_Data!D267,4))),DATE(VALUE(LEFT(Raw_Data!D267,4)),VALUE(MID(Raw_Data!D267,6,2)),VALUE(MID(Raw_Data!D267,9,2))),DATEVALUE(Raw_Data!D267))),"")</f>
        <v>45475</v>
      </c>
      <c r="E267" s="12" t="n">
        <f aca="false">IFERROR(IF(ISNUMBER(SEARCH("/",Raw_Data!E267)),DATE(VALUE(RIGHT(Raw_Data!E267,4)),VALUE(MID(Raw_Data!E267,FIND("/",Raw_Data!E267)+1,FIND("/",Raw_Data!E267,FIND("/",Raw_Data!E267)+1)-FIND("/",Raw_Data!E267)-1)),VALUE(LEFT(Raw_Data!E267,FIND("/",Raw_Data!E267)-1))),IF(ISNUMBER(VALUE(LEFT(Raw_Data!E267,4))),DATE(VALUE(LEFT(Raw_Data!E267,4)),VALUE(MID(Raw_Data!E267,6,2)),VALUE(MID(Raw_Data!E267,9,2))),DATEVALUE(Raw_Data!E267))),"")</f>
        <v>45499</v>
      </c>
      <c r="F267" s="11" t="str">
        <f aca="false">Raw_Data!F267</f>
        <v>Female 45+</v>
      </c>
      <c r="G267" s="11" t="str">
        <f aca="false">IF(TRIM(Raw_Data!G267)="","Unspecified",IFERROR(INDEX(Lookup_Tables!$F$2:$F$24,MATCH(UPPER(TRIM(Raw_Data!G267)),Lookup_Tables!$G$2:$G$24,0)),"Unknown"))</f>
        <v>Central</v>
      </c>
      <c r="H267" s="11" t="n">
        <f aca="false">IF(Raw_Data!H267="",ROUND(AVERAGEIFS(Raw_Data!$H$2:$H$839,Raw_Data!$C$2:$C$839,Raw_Data!C267),2),Raw_Data!H267)</f>
        <v>43953.33</v>
      </c>
      <c r="I267" s="11" t="n">
        <f aca="false">Raw_Data!I267</f>
        <v>1626218</v>
      </c>
      <c r="J267" s="11" t="n">
        <f aca="false">IF(Raw_Data!J267&lt;0,ABS(Raw_Data!J267),Raw_Data!J267)</f>
        <v>43612</v>
      </c>
      <c r="K267" s="11" t="n">
        <f aca="false">Raw_Data!K267</f>
        <v>3158</v>
      </c>
      <c r="L267" s="11" t="n">
        <f aca="false">IF(Raw_Data!L267="",ROUND(AVERAGEIFS(Raw_Data!$L$2:$L$839,Raw_Data!$C$2:$C$839,Raw_Data!C267),2),Raw_Data!L267)</f>
        <v>3317370.05</v>
      </c>
      <c r="M267" s="13" t="n">
        <f aca="false">IFERROR(J267/I267,0)</f>
        <v>0.0268180526842035</v>
      </c>
      <c r="N267" s="14" t="n">
        <f aca="false">IFERROR(H267/J267,0)</f>
        <v>1.0078265156379</v>
      </c>
      <c r="O267" s="14" t="n">
        <f aca="false">IFERROR(H267/K267,0)</f>
        <v>13.9180905636479</v>
      </c>
      <c r="P267" s="15" t="n">
        <f aca="false">IFERROR(L267/H267,0)</f>
        <v>75.4748286421074</v>
      </c>
      <c r="Q267" s="13" t="n">
        <f aca="false">IFERROR(K267/J267,0)</f>
        <v>0.07241126295515</v>
      </c>
      <c r="R267" s="11" t="str">
        <f aca="false">IF(COUNTIF($A$2:A267,A267)&gt;1,"Duplicate - Remove","Unique")</f>
        <v>Unique</v>
      </c>
      <c r="S267" s="11" t="str">
        <f aca="false">TRIM(IF(Raw_Data!G267="","Region missing; ","")&amp;IF(Raw_Data!H267="","Spend imputed; ","")&amp;IF(Raw_Data!L267="","Revenue imputed; ","")&amp;IF(Raw_Data!J267&lt;0,"Clicks corrected; ",""))</f>
        <v/>
      </c>
    </row>
    <row r="268" customFormat="false" ht="15" hidden="false" customHeight="true" outlineLevel="0" collapsed="false">
      <c r="A268" s="11" t="n">
        <f aca="false">Raw_Data!A268</f>
        <v>1506</v>
      </c>
      <c r="B268" s="11" t="str">
        <f aca="false">PROPER(TRIM(Raw_Data!B268))</f>
        <v>Men'S Grooming Drive</v>
      </c>
      <c r="C268" s="11" t="str">
        <f aca="false">IFERROR(INDEX(Lookup_Tables!$B$2:$B$26,MATCH(UPPER(TRIM(Raw_Data!C268)),Lookup_Tables!$C$2:$C$26,0)),"Unknown")</f>
        <v>YouTube</v>
      </c>
      <c r="D268" s="12" t="n">
        <f aca="false">IFERROR(IF(ISNUMBER(SEARCH("/",Raw_Data!D268)),DATE(VALUE(RIGHT(Raw_Data!D268,4)),VALUE(MID(Raw_Data!D268,FIND("/",Raw_Data!D268)+1,FIND("/",Raw_Data!D268,FIND("/",Raw_Data!D268)+1)-FIND("/",Raw_Data!D268)-1)),VALUE(LEFT(Raw_Data!D268,FIND("/",Raw_Data!D268)-1))),IF(ISNUMBER(VALUE(LEFT(Raw_Data!D268,4))),DATE(VALUE(LEFT(Raw_Data!D268,4)),VALUE(MID(Raw_Data!D268,6,2)),VALUE(MID(Raw_Data!D268,9,2))),DATEVALUE(Raw_Data!D268))),"")</f>
        <v>45402</v>
      </c>
      <c r="E268" s="12" t="n">
        <f aca="false">IFERROR(IF(ISNUMBER(SEARCH("/",Raw_Data!E268)),DATE(VALUE(RIGHT(Raw_Data!E268,4)),VALUE(MID(Raw_Data!E268,FIND("/",Raw_Data!E268)+1,FIND("/",Raw_Data!E268,FIND("/",Raw_Data!E268)+1)-FIND("/",Raw_Data!E268)-1)),VALUE(LEFT(Raw_Data!E268,FIND("/",Raw_Data!E268)-1))),IF(ISNUMBER(VALUE(LEFT(Raw_Data!E268,4))),DATE(VALUE(LEFT(Raw_Data!E268,4)),VALUE(MID(Raw_Data!E268,6,2)),VALUE(MID(Raw_Data!E268,9,2))),DATEVALUE(Raw_Data!E268))),"")</f>
        <v>45432</v>
      </c>
      <c r="F268" s="11" t="str">
        <f aca="false">Raw_Data!F268</f>
        <v>Male 18-24</v>
      </c>
      <c r="G268" s="11" t="str">
        <f aca="false">IF(TRIM(Raw_Data!G268)="","Unspecified",IFERROR(INDEX(Lookup_Tables!$F$2:$F$24,MATCH(UPPER(TRIM(Raw_Data!G268)),Lookup_Tables!$G$2:$G$24,0)),"Unknown"))</f>
        <v>North</v>
      </c>
      <c r="H268" s="11" t="n">
        <f aca="false">IF(Raw_Data!H268="",ROUND(AVERAGEIFS(Raw_Data!$H$2:$H$839,Raw_Data!$C$2:$C$839,Raw_Data!C268),2),Raw_Data!H268)</f>
        <v>64066.51</v>
      </c>
      <c r="I268" s="11" t="n">
        <f aca="false">Raw_Data!I268</f>
        <v>2192397</v>
      </c>
      <c r="J268" s="11" t="n">
        <f aca="false">IF(Raw_Data!J268&lt;0,ABS(Raw_Data!J268),Raw_Data!J268)</f>
        <v>21554</v>
      </c>
      <c r="K268" s="11" t="n">
        <f aca="false">Raw_Data!K268</f>
        <v>1669</v>
      </c>
      <c r="L268" s="11" t="n">
        <f aca="false">IF(Raw_Data!L268="",ROUND(AVERAGEIFS(Raw_Data!$L$2:$L$839,Raw_Data!$C$2:$C$839,Raw_Data!C268),2),Raw_Data!L268)</f>
        <v>1833623.74</v>
      </c>
      <c r="M268" s="13" t="n">
        <f aca="false">IFERROR(J268/I268,0)</f>
        <v>0.00983124862878393</v>
      </c>
      <c r="N268" s="14" t="n">
        <f aca="false">IFERROR(H268/J268,0)</f>
        <v>2.97237218149763</v>
      </c>
      <c r="O268" s="14" t="n">
        <f aca="false">IFERROR(H268/K268,0)</f>
        <v>38.3861653684841</v>
      </c>
      <c r="P268" s="15" t="n">
        <f aca="false">IFERROR(L268/H268,0)</f>
        <v>28.6206278444073</v>
      </c>
      <c r="Q268" s="13" t="n">
        <f aca="false">IFERROR(K268/J268,0)</f>
        <v>0.077433423030528</v>
      </c>
      <c r="R268" s="11" t="str">
        <f aca="false">IF(COUNTIF($A$2:A268,A268)&gt;1,"Duplicate - Remove","Unique")</f>
        <v>Unique</v>
      </c>
      <c r="S268" s="11" t="str">
        <f aca="false">TRIM(IF(Raw_Data!G268="","Region missing; ","")&amp;IF(Raw_Data!H268="","Spend imputed; ","")&amp;IF(Raw_Data!L268="","Revenue imputed; ","")&amp;IF(Raw_Data!J268&lt;0,"Clicks corrected; ",""))</f>
        <v/>
      </c>
    </row>
    <row r="269" customFormat="false" ht="15" hidden="false" customHeight="true" outlineLevel="0" collapsed="false">
      <c r="A269" s="11" t="n">
        <f aca="false">Raw_Data!A269</f>
        <v>1137</v>
      </c>
      <c r="B269" s="11" t="str">
        <f aca="false">PROPER(TRIM(Raw_Data!B269))</f>
        <v>Hair Care Revamp</v>
      </c>
      <c r="C269" s="11" t="str">
        <f aca="false">IFERROR(INDEX(Lookup_Tables!$B$2:$B$26,MATCH(UPPER(TRIM(Raw_Data!C269)),Lookup_Tables!$C$2:$C$26,0)),"Unknown")</f>
        <v>YouTube</v>
      </c>
      <c r="D269" s="12" t="n">
        <f aca="false">IFERROR(IF(ISNUMBER(SEARCH("/",Raw_Data!D269)),DATE(VALUE(RIGHT(Raw_Data!D269,4)),VALUE(MID(Raw_Data!D269,FIND("/",Raw_Data!D269)+1,FIND("/",Raw_Data!D269,FIND("/",Raw_Data!D269)+1)-FIND("/",Raw_Data!D269)-1)),VALUE(LEFT(Raw_Data!D269,FIND("/",Raw_Data!D269)-1))),IF(ISNUMBER(VALUE(LEFT(Raw_Data!D269,4))),DATE(VALUE(LEFT(Raw_Data!D269,4)),VALUE(MID(Raw_Data!D269,6,2)),VALUE(MID(Raw_Data!D269,9,2))),DATEVALUE(Raw_Data!D269))),"")</f>
        <v>45475</v>
      </c>
      <c r="E269" s="12" t="n">
        <f aca="false">IFERROR(IF(ISNUMBER(SEARCH("/",Raw_Data!E269)),DATE(VALUE(RIGHT(Raw_Data!E269,4)),VALUE(MID(Raw_Data!E269,FIND("/",Raw_Data!E269)+1,FIND("/",Raw_Data!E269,FIND("/",Raw_Data!E269)+1)-FIND("/",Raw_Data!E269)-1)),VALUE(LEFT(Raw_Data!E269,FIND("/",Raw_Data!E269)-1))),IF(ISNUMBER(VALUE(LEFT(Raw_Data!E269,4))),DATE(VALUE(LEFT(Raw_Data!E269,4)),VALUE(MID(Raw_Data!E269,6,2)),VALUE(MID(Raw_Data!E269,9,2))),DATEVALUE(Raw_Data!E269))),"")</f>
        <v>45480</v>
      </c>
      <c r="F269" s="11" t="str">
        <f aca="false">Raw_Data!F269</f>
        <v>Female 18-24</v>
      </c>
      <c r="G269" s="11" t="str">
        <f aca="false">IF(TRIM(Raw_Data!G269)="","Unspecified",IFERROR(INDEX(Lookup_Tables!$F$2:$F$24,MATCH(UPPER(TRIM(Raw_Data!G269)),Lookup_Tables!$G$2:$G$24,0)),"Unknown"))</f>
        <v>South</v>
      </c>
      <c r="H269" s="11" t="n">
        <f aca="false">IF(Raw_Data!H269="",ROUND(AVERAGEIFS(Raw_Data!$H$2:$H$839,Raw_Data!$C$2:$C$839,Raw_Data!C269),2),Raw_Data!H269)</f>
        <v>25240.1</v>
      </c>
      <c r="I269" s="11" t="n">
        <f aca="false">Raw_Data!I269</f>
        <v>893004</v>
      </c>
      <c r="J269" s="11" t="n">
        <f aca="false">IF(Raw_Data!J269&lt;0,ABS(Raw_Data!J269),Raw_Data!J269)</f>
        <v>30286</v>
      </c>
      <c r="K269" s="11" t="n">
        <f aca="false">Raw_Data!K269</f>
        <v>1374</v>
      </c>
      <c r="L269" s="11" t="n">
        <f aca="false">IF(Raw_Data!L269="",ROUND(AVERAGEIFS(Raw_Data!$L$2:$L$839,Raw_Data!$C$2:$C$839,Raw_Data!C269),2),Raw_Data!L269)</f>
        <v>1467028.43</v>
      </c>
      <c r="M269" s="13" t="n">
        <f aca="false">IFERROR(J269/I269,0)</f>
        <v>0.0339147417032846</v>
      </c>
      <c r="N269" s="14" t="n">
        <f aca="false">IFERROR(H269/J269,0)</f>
        <v>0.833391666116357</v>
      </c>
      <c r="O269" s="14" t="n">
        <f aca="false">IFERROR(H269/K269,0)</f>
        <v>18.3697962154294</v>
      </c>
      <c r="P269" s="15" t="n">
        <f aca="false">IFERROR(L269/H269,0)</f>
        <v>58.1229246318359</v>
      </c>
      <c r="Q269" s="13" t="n">
        <f aca="false">IFERROR(K269/J269,0)</f>
        <v>0.0453674965330516</v>
      </c>
      <c r="R269" s="11" t="str">
        <f aca="false">IF(COUNTIF($A$2:A269,A269)&gt;1,"Duplicate - Remove","Unique")</f>
        <v>Unique</v>
      </c>
      <c r="S269" s="11" t="str">
        <f aca="false">TRIM(IF(Raw_Data!G269="","Region missing; ","")&amp;IF(Raw_Data!H269="","Spend imputed; ","")&amp;IF(Raw_Data!L269="","Revenue imputed; ","")&amp;IF(Raw_Data!J269&lt;0,"Clicks corrected; ",""))</f>
        <v/>
      </c>
    </row>
    <row r="270" customFormat="false" ht="15" hidden="false" customHeight="true" outlineLevel="0" collapsed="false">
      <c r="A270" s="11" t="n">
        <f aca="false">Raw_Data!A270</f>
        <v>1753</v>
      </c>
      <c r="B270" s="11" t="str">
        <f aca="false">PROPER(TRIM(Raw_Data!B270))</f>
        <v>Ayurvedic Range Launch</v>
      </c>
      <c r="C270" s="11" t="str">
        <f aca="false">IFERROR(INDEX(Lookup_Tables!$B$2:$B$26,MATCH(UPPER(TRIM(Raw_Data!C270)),Lookup_Tables!$C$2:$C$26,0)),"Unknown")</f>
        <v>Facebook</v>
      </c>
      <c r="D270" s="12" t="n">
        <f aca="false">IFERROR(IF(ISNUMBER(SEARCH("/",Raw_Data!D270)),DATE(VALUE(RIGHT(Raw_Data!D270,4)),VALUE(MID(Raw_Data!D270,FIND("/",Raw_Data!D270)+1,FIND("/",Raw_Data!D270,FIND("/",Raw_Data!D270)+1)-FIND("/",Raw_Data!D270)-1)),VALUE(LEFT(Raw_Data!D270,FIND("/",Raw_Data!D270)-1))),IF(ISNUMBER(VALUE(LEFT(Raw_Data!D270,4))),DATE(VALUE(LEFT(Raw_Data!D270,4)),VALUE(MID(Raw_Data!D270,6,2)),VALUE(MID(Raw_Data!D270,9,2))),DATEVALUE(Raw_Data!D270))),"")</f>
        <v>45366</v>
      </c>
      <c r="E270" s="12" t="n">
        <f aca="false">IFERROR(IF(ISNUMBER(SEARCH("/",Raw_Data!E270)),DATE(VALUE(RIGHT(Raw_Data!E270,4)),VALUE(MID(Raw_Data!E270,FIND("/",Raw_Data!E270)+1,FIND("/",Raw_Data!E270,FIND("/",Raw_Data!E270)+1)-FIND("/",Raw_Data!E270)-1)),VALUE(LEFT(Raw_Data!E270,FIND("/",Raw_Data!E270)-1))),IF(ISNUMBER(VALUE(LEFT(Raw_Data!E270,4))),DATE(VALUE(LEFT(Raw_Data!E270,4)),VALUE(MID(Raw_Data!E270,6,2)),VALUE(MID(Raw_Data!E270,9,2))),DATEVALUE(Raw_Data!E270))),"")</f>
        <v>45392</v>
      </c>
      <c r="F270" s="11" t="str">
        <f aca="false">Raw_Data!F270</f>
        <v>Female 25-34</v>
      </c>
      <c r="G270" s="11" t="str">
        <f aca="false">IF(TRIM(Raw_Data!G270)="","Unspecified",IFERROR(INDEX(Lookup_Tables!$F$2:$F$24,MATCH(UPPER(TRIM(Raw_Data!G270)),Lookup_Tables!$G$2:$G$24,0)),"Unknown"))</f>
        <v>North</v>
      </c>
      <c r="H270" s="11" t="n">
        <f aca="false">IF(Raw_Data!H270="",ROUND(AVERAGEIFS(Raw_Data!$H$2:$H$839,Raw_Data!$C$2:$C$839,Raw_Data!C270),2),Raw_Data!H270)</f>
        <v>43745.21</v>
      </c>
      <c r="I270" s="11" t="n">
        <f aca="false">Raw_Data!I270</f>
        <v>815194</v>
      </c>
      <c r="J270" s="11" t="n">
        <f aca="false">IF(Raw_Data!J270&lt;0,ABS(Raw_Data!J270),Raw_Data!J270)</f>
        <v>22675</v>
      </c>
      <c r="K270" s="11" t="n">
        <f aca="false">Raw_Data!K270</f>
        <v>984</v>
      </c>
      <c r="L270" s="11" t="n">
        <f aca="false">IF(Raw_Data!L270="",ROUND(AVERAGEIFS(Raw_Data!$L$2:$L$839,Raw_Data!$C$2:$C$839,Raw_Data!C270),2),Raw_Data!L270)</f>
        <v>1756742.13</v>
      </c>
      <c r="M270" s="13" t="n">
        <f aca="false">IFERROR(J270/I270,0)</f>
        <v>0.0278154647850696</v>
      </c>
      <c r="N270" s="14" t="n">
        <f aca="false">IFERROR(H270/J270,0)</f>
        <v>1.92922646085998</v>
      </c>
      <c r="O270" s="14" t="n">
        <f aca="false">IFERROR(H270/K270,0)</f>
        <v>44.4565142276423</v>
      </c>
      <c r="P270" s="15" t="n">
        <f aca="false">IFERROR(L270/H270,0)</f>
        <v>40.1585026109144</v>
      </c>
      <c r="Q270" s="13" t="n">
        <f aca="false">IFERROR(K270/J270,0)</f>
        <v>0.0433958103638368</v>
      </c>
      <c r="R270" s="11" t="str">
        <f aca="false">IF(COUNTIF($A$2:A270,A270)&gt;1,"Duplicate - Remove","Unique")</f>
        <v>Unique</v>
      </c>
      <c r="S270" s="11" t="str">
        <f aca="false">TRIM(IF(Raw_Data!G270="","Region missing; ","")&amp;IF(Raw_Data!H270="","Spend imputed; ","")&amp;IF(Raw_Data!L270="","Revenue imputed; ","")&amp;IF(Raw_Data!J270&lt;0,"Clicks corrected; ",""))</f>
        <v/>
      </c>
    </row>
    <row r="271" customFormat="false" ht="15" hidden="false" customHeight="true" outlineLevel="0" collapsed="false">
      <c r="A271" s="11" t="n">
        <f aca="false">Raw_Data!A271</f>
        <v>1273</v>
      </c>
      <c r="B271" s="11" t="str">
        <f aca="false">PROPER(TRIM(Raw_Data!B271))</f>
        <v>Festive Gift Bundle</v>
      </c>
      <c r="C271" s="11" t="str">
        <f aca="false">IFERROR(INDEX(Lookup_Tables!$B$2:$B$26,MATCH(UPPER(TRIM(Raw_Data!C271)),Lookup_Tables!$C$2:$C$26,0)),"Unknown")</f>
        <v>Facebook</v>
      </c>
      <c r="D271" s="12" t="n">
        <f aca="false">IFERROR(IF(ISNUMBER(SEARCH("/",Raw_Data!D271)),DATE(VALUE(RIGHT(Raw_Data!D271,4)),VALUE(MID(Raw_Data!D271,FIND("/",Raw_Data!D271)+1,FIND("/",Raw_Data!D271,FIND("/",Raw_Data!D271)+1)-FIND("/",Raw_Data!D271)-1)),VALUE(LEFT(Raw_Data!D271,FIND("/",Raw_Data!D271)-1))),IF(ISNUMBER(VALUE(LEFT(Raw_Data!D271,4))),DATE(VALUE(LEFT(Raw_Data!D271,4)),VALUE(MID(Raw_Data!D271,6,2)),VALUE(MID(Raw_Data!D271,9,2))),DATEVALUE(Raw_Data!D271))),"")</f>
        <v>45597</v>
      </c>
      <c r="E271" s="12" t="n">
        <f aca="false">IFERROR(IF(ISNUMBER(SEARCH("/",Raw_Data!E271)),DATE(VALUE(RIGHT(Raw_Data!E271,4)),VALUE(MID(Raw_Data!E271,FIND("/",Raw_Data!E271)+1,FIND("/",Raw_Data!E271,FIND("/",Raw_Data!E271)+1)-FIND("/",Raw_Data!E271)-1)),VALUE(LEFT(Raw_Data!E271,FIND("/",Raw_Data!E271)-1))),IF(ISNUMBER(VALUE(LEFT(Raw_Data!E271,4))),DATE(VALUE(LEFT(Raw_Data!E271,4)),VALUE(MID(Raw_Data!E271,6,2)),VALUE(MID(Raw_Data!E271,9,2))),DATEVALUE(Raw_Data!E271))),"")</f>
        <v>45609</v>
      </c>
      <c r="F271" s="11" t="str">
        <f aca="false">Raw_Data!F271</f>
        <v>Male 18-24</v>
      </c>
      <c r="G271" s="11" t="str">
        <f aca="false">IF(TRIM(Raw_Data!G271)="","Unspecified",IFERROR(INDEX(Lookup_Tables!$F$2:$F$24,MATCH(UPPER(TRIM(Raw_Data!G271)),Lookup_Tables!$G$2:$G$24,0)),"Unknown"))</f>
        <v>Central</v>
      </c>
      <c r="H271" s="11" t="n">
        <f aca="false">IF(Raw_Data!H271="",ROUND(AVERAGEIFS(Raw_Data!$H$2:$H$839,Raw_Data!$C$2:$C$839,Raw_Data!C271),2),Raw_Data!H271)</f>
        <v>36244.63</v>
      </c>
      <c r="I271" s="11" t="n">
        <f aca="false">Raw_Data!I271</f>
        <v>869201</v>
      </c>
      <c r="J271" s="11" t="n">
        <f aca="false">IF(Raw_Data!J271&lt;0,ABS(Raw_Data!J271),Raw_Data!J271)</f>
        <v>22289</v>
      </c>
      <c r="K271" s="11" t="n">
        <f aca="false">Raw_Data!K271</f>
        <v>966</v>
      </c>
      <c r="L271" s="11" t="n">
        <f aca="false">IF(Raw_Data!L271="",ROUND(AVERAGEIFS(Raw_Data!$L$2:$L$839,Raw_Data!$C$2:$C$839,Raw_Data!C271),2),Raw_Data!L271)</f>
        <v>1041706.05</v>
      </c>
      <c r="M271" s="13" t="n">
        <f aca="false">IFERROR(J271/I271,0)</f>
        <v>0.0256430906085014</v>
      </c>
      <c r="N271" s="14" t="n">
        <f aca="false">IFERROR(H271/J271,0)</f>
        <v>1.62612185382924</v>
      </c>
      <c r="O271" s="14" t="n">
        <f aca="false">IFERROR(H271/K271,0)</f>
        <v>37.5203209109731</v>
      </c>
      <c r="P271" s="15" t="n">
        <f aca="false">IFERROR(L271/H271,0)</f>
        <v>28.7409762494472</v>
      </c>
      <c r="Q271" s="13" t="n">
        <f aca="false">IFERROR(K271/J271,0)</f>
        <v>0.0433397640091525</v>
      </c>
      <c r="R271" s="11" t="str">
        <f aca="false">IF(COUNTIF($A$2:A271,A271)&gt;1,"Duplicate - Remove","Unique")</f>
        <v>Unique</v>
      </c>
      <c r="S271" s="11" t="str">
        <f aca="false">TRIM(IF(Raw_Data!G271="","Region missing; ","")&amp;IF(Raw_Data!H271="","Spend imputed; ","")&amp;IF(Raw_Data!L271="","Revenue imputed; ","")&amp;IF(Raw_Data!J271&lt;0,"Clicks corrected; ",""))</f>
        <v/>
      </c>
    </row>
    <row r="272" customFormat="false" ht="15" hidden="false" customHeight="true" outlineLevel="0" collapsed="false">
      <c r="A272" s="11" t="n">
        <f aca="false">Raw_Data!A272</f>
        <v>1184</v>
      </c>
      <c r="B272" s="11" t="str">
        <f aca="false">PROPER(TRIM(Raw_Data!B272))</f>
        <v>Wedding Season Special</v>
      </c>
      <c r="C272" s="11" t="str">
        <f aca="false">IFERROR(INDEX(Lookup_Tables!$B$2:$B$26,MATCH(UPPER(TRIM(Raw_Data!C272)),Lookup_Tables!$C$2:$C$26,0)),"Unknown")</f>
        <v>YouTube</v>
      </c>
      <c r="D272" s="12" t="n">
        <f aca="false">IFERROR(IF(ISNUMBER(SEARCH("/",Raw_Data!D272)),DATE(VALUE(RIGHT(Raw_Data!D272,4)),VALUE(MID(Raw_Data!D272,FIND("/",Raw_Data!D272)+1,FIND("/",Raw_Data!D272,FIND("/",Raw_Data!D272)+1)-FIND("/",Raw_Data!D272)-1)),VALUE(LEFT(Raw_Data!D272,FIND("/",Raw_Data!D272)-1))),IF(ISNUMBER(VALUE(LEFT(Raw_Data!D272,4))),DATE(VALUE(LEFT(Raw_Data!D272,4)),VALUE(MID(Raw_Data!D272,6,2)),VALUE(MID(Raw_Data!D272,9,2))),DATEVALUE(Raw_Data!D272))),"")</f>
        <v>45305</v>
      </c>
      <c r="E272" s="12" t="n">
        <f aca="false">IFERROR(IF(ISNUMBER(SEARCH("/",Raw_Data!E272)),DATE(VALUE(RIGHT(Raw_Data!E272,4)),VALUE(MID(Raw_Data!E272,FIND("/",Raw_Data!E272)+1,FIND("/",Raw_Data!E272,FIND("/",Raw_Data!E272)+1)-FIND("/",Raw_Data!E272)-1)),VALUE(LEFT(Raw_Data!E272,FIND("/",Raw_Data!E272)-1))),IF(ISNUMBER(VALUE(LEFT(Raw_Data!E272,4))),DATE(VALUE(LEFT(Raw_Data!E272,4)),VALUE(MID(Raw_Data!E272,6,2)),VALUE(MID(Raw_Data!E272,9,2))),DATEVALUE(Raw_Data!E272))),"")</f>
        <v>45330</v>
      </c>
      <c r="F272" s="11" t="str">
        <f aca="false">Raw_Data!F272</f>
        <v>Female 35-44</v>
      </c>
      <c r="G272" s="11" t="str">
        <f aca="false">IF(TRIM(Raw_Data!G272)="","Unspecified",IFERROR(INDEX(Lookup_Tables!$F$2:$F$24,MATCH(UPPER(TRIM(Raw_Data!G272)),Lookup_Tables!$G$2:$G$24,0)),"Unknown"))</f>
        <v>Central</v>
      </c>
      <c r="H272" s="11" t="n">
        <f aca="false">IF(Raw_Data!H272="",ROUND(AVERAGEIFS(Raw_Data!$H$2:$H$839,Raw_Data!$C$2:$C$839,Raw_Data!C272),2),Raw_Data!H272)</f>
        <v>89810.18</v>
      </c>
      <c r="I272" s="11" t="n">
        <f aca="false">Raw_Data!I272</f>
        <v>1929630</v>
      </c>
      <c r="J272" s="11" t="n">
        <f aca="false">IF(Raw_Data!J272&lt;0,ABS(Raw_Data!J272),Raw_Data!J272)</f>
        <v>33878</v>
      </c>
      <c r="K272" s="11" t="n">
        <f aca="false">Raw_Data!K272</f>
        <v>1259</v>
      </c>
      <c r="L272" s="11" t="n">
        <f aca="false">IF(Raw_Data!L272="",ROUND(AVERAGEIFS(Raw_Data!$L$2:$L$839,Raw_Data!$C$2:$C$839,Raw_Data!C272),2),Raw_Data!L272)</f>
        <v>505126.61</v>
      </c>
      <c r="M272" s="13" t="n">
        <f aca="false">IFERROR(J272/I272,0)</f>
        <v>0.0175567336743314</v>
      </c>
      <c r="N272" s="14" t="n">
        <f aca="false">IFERROR(H272/J272,0)</f>
        <v>2.65098825196293</v>
      </c>
      <c r="O272" s="14" t="n">
        <f aca="false">IFERROR(H272/K272,0)</f>
        <v>71.3345353455123</v>
      </c>
      <c r="P272" s="15" t="n">
        <f aca="false">IFERROR(L272/H272,0)</f>
        <v>5.6243803319401</v>
      </c>
      <c r="Q272" s="13" t="n">
        <f aca="false">IFERROR(K272/J272,0)</f>
        <v>0.0371627604935356</v>
      </c>
      <c r="R272" s="11" t="str">
        <f aca="false">IF(COUNTIF($A$2:A272,A272)&gt;1,"Duplicate - Remove","Unique")</f>
        <v>Unique</v>
      </c>
      <c r="S272" s="11" t="str">
        <f aca="false">TRIM(IF(Raw_Data!G272="","Region missing; ","")&amp;IF(Raw_Data!H272="","Spend imputed; ","")&amp;IF(Raw_Data!L272="","Revenue imputed; ","")&amp;IF(Raw_Data!J272&lt;0,"Clicks corrected; ",""))</f>
        <v/>
      </c>
    </row>
    <row r="273" customFormat="false" ht="15" hidden="false" customHeight="true" outlineLevel="0" collapsed="false">
      <c r="A273" s="11" t="n">
        <f aca="false">Raw_Data!A273</f>
        <v>1208</v>
      </c>
      <c r="B273" s="11" t="str">
        <f aca="false">PROPER(TRIM(Raw_Data!B273))</f>
        <v>Anti-Ageing Serum Push</v>
      </c>
      <c r="C273" s="11" t="str">
        <f aca="false">IFERROR(INDEX(Lookup_Tables!$B$2:$B$26,MATCH(UPPER(TRIM(Raw_Data!C273)),Lookup_Tables!$C$2:$C$26,0)),"Unknown")</f>
        <v>YouTube</v>
      </c>
      <c r="D273" s="12" t="n">
        <f aca="false">IFERROR(IF(ISNUMBER(SEARCH("/",Raw_Data!D273)),DATE(VALUE(RIGHT(Raw_Data!D273,4)),VALUE(MID(Raw_Data!D273,FIND("/",Raw_Data!D273)+1,FIND("/",Raw_Data!D273,FIND("/",Raw_Data!D273)+1)-FIND("/",Raw_Data!D273)-1)),VALUE(LEFT(Raw_Data!D273,FIND("/",Raw_Data!D273)-1))),IF(ISNUMBER(VALUE(LEFT(Raw_Data!D273,4))),DATE(VALUE(LEFT(Raw_Data!D273,4)),VALUE(MID(Raw_Data!D273,6,2)),VALUE(MID(Raw_Data!D273,9,2))),DATEVALUE(Raw_Data!D273))),"")</f>
        <v>45294</v>
      </c>
      <c r="E273" s="12" t="n">
        <f aca="false">IFERROR(IF(ISNUMBER(SEARCH("/",Raw_Data!E273)),DATE(VALUE(RIGHT(Raw_Data!E273,4)),VALUE(MID(Raw_Data!E273,FIND("/",Raw_Data!E273)+1,FIND("/",Raw_Data!E273,FIND("/",Raw_Data!E273)+1)-FIND("/",Raw_Data!E273)-1)),VALUE(LEFT(Raw_Data!E273,FIND("/",Raw_Data!E273)-1))),IF(ISNUMBER(VALUE(LEFT(Raw_Data!E273,4))),DATE(VALUE(LEFT(Raw_Data!E273,4)),VALUE(MID(Raw_Data!E273,6,2)),VALUE(MID(Raw_Data!E273,9,2))),DATEVALUE(Raw_Data!E273))),"")</f>
        <v>45309</v>
      </c>
      <c r="F273" s="11" t="str">
        <f aca="false">Raw_Data!F273</f>
        <v>Male 25-34</v>
      </c>
      <c r="G273" s="11" t="str">
        <f aca="false">IF(TRIM(Raw_Data!G273)="","Unspecified",IFERROR(INDEX(Lookup_Tables!$F$2:$F$24,MATCH(UPPER(TRIM(Raw_Data!G273)),Lookup_Tables!$G$2:$G$24,0)),"Unknown"))</f>
        <v>East</v>
      </c>
      <c r="H273" s="11" t="n">
        <f aca="false">IF(Raw_Data!H273="",ROUND(AVERAGEIFS(Raw_Data!$H$2:$H$839,Raw_Data!$C$2:$C$839,Raw_Data!C273),2),Raw_Data!H273)</f>
        <v>68226.7</v>
      </c>
      <c r="I273" s="11" t="n">
        <f aca="false">Raw_Data!I273</f>
        <v>1287447</v>
      </c>
      <c r="J273" s="11" t="n">
        <f aca="false">IF(Raw_Data!J273&lt;0,ABS(Raw_Data!J273),Raw_Data!J273)</f>
        <v>12373</v>
      </c>
      <c r="K273" s="11" t="n">
        <f aca="false">Raw_Data!K273</f>
        <v>403</v>
      </c>
      <c r="L273" s="11" t="n">
        <f aca="false">IF(Raw_Data!L273="",ROUND(AVERAGEIFS(Raw_Data!$L$2:$L$839,Raw_Data!$C$2:$C$839,Raw_Data!C273),2),Raw_Data!L273)</f>
        <v>170767.38</v>
      </c>
      <c r="M273" s="13" t="n">
        <f aca="false">IFERROR(J273/I273,0)</f>
        <v>0.00961049270377732</v>
      </c>
      <c r="N273" s="14" t="n">
        <f aca="false">IFERROR(H273/J273,0)</f>
        <v>5.51415986422048</v>
      </c>
      <c r="O273" s="14" t="n">
        <f aca="false">IFERROR(H273/K273,0)</f>
        <v>169.297022332506</v>
      </c>
      <c r="P273" s="15" t="n">
        <f aca="false">IFERROR(L273/H273,0)</f>
        <v>2.50294063760962</v>
      </c>
      <c r="Q273" s="13" t="n">
        <f aca="false">IFERROR(K273/J273,0)</f>
        <v>0.0325709205528166</v>
      </c>
      <c r="R273" s="11" t="str">
        <f aca="false">IF(COUNTIF($A$2:A273,A273)&gt;1,"Duplicate - Remove","Unique")</f>
        <v>Unique</v>
      </c>
      <c r="S273" s="11" t="str">
        <f aca="false">TRIM(IF(Raw_Data!G273="","Region missing; ","")&amp;IF(Raw_Data!H273="","Spend imputed; ","")&amp;IF(Raw_Data!L273="","Revenue imputed; ","")&amp;IF(Raw_Data!J273&lt;0,"Clicks corrected; ",""))</f>
        <v/>
      </c>
    </row>
    <row r="274" customFormat="false" ht="15" hidden="false" customHeight="true" outlineLevel="0" collapsed="false">
      <c r="A274" s="11" t="n">
        <f aca="false">Raw_Data!A274</f>
        <v>1344</v>
      </c>
      <c r="B274" s="11" t="str">
        <f aca="false">PROPER(TRIM(Raw_Data!B274))</f>
        <v>Back To College Offer</v>
      </c>
      <c r="C274" s="11" t="str">
        <f aca="false">IFERROR(INDEX(Lookup_Tables!$B$2:$B$26,MATCH(UPPER(TRIM(Raw_Data!C274)),Lookup_Tables!$C$2:$C$26,0)),"Unknown")</f>
        <v>Instagram</v>
      </c>
      <c r="D274" s="12" t="n">
        <f aca="false">IFERROR(IF(ISNUMBER(SEARCH("/",Raw_Data!D274)),DATE(VALUE(RIGHT(Raw_Data!D274,4)),VALUE(MID(Raw_Data!D274,FIND("/",Raw_Data!D274)+1,FIND("/",Raw_Data!D274,FIND("/",Raw_Data!D274)+1)-FIND("/",Raw_Data!D274)-1)),VALUE(LEFT(Raw_Data!D274,FIND("/",Raw_Data!D274)-1))),IF(ISNUMBER(VALUE(LEFT(Raw_Data!D274,4))),DATE(VALUE(LEFT(Raw_Data!D274,4)),VALUE(MID(Raw_Data!D274,6,2)),VALUE(MID(Raw_Data!D274,9,2))),DATEVALUE(Raw_Data!D274))),"")</f>
        <v>45550</v>
      </c>
      <c r="E274" s="12" t="n">
        <f aca="false">IFERROR(IF(ISNUMBER(SEARCH("/",Raw_Data!E274)),DATE(VALUE(RIGHT(Raw_Data!E274,4)),VALUE(MID(Raw_Data!E274,FIND("/",Raw_Data!E274)+1,FIND("/",Raw_Data!E274,FIND("/",Raw_Data!E274)+1)-FIND("/",Raw_Data!E274)-1)),VALUE(LEFT(Raw_Data!E274,FIND("/",Raw_Data!E274)-1))),IF(ISNUMBER(VALUE(LEFT(Raw_Data!E274,4))),DATE(VALUE(LEFT(Raw_Data!E274,4)),VALUE(MID(Raw_Data!E274,6,2)),VALUE(MID(Raw_Data!E274,9,2))),DATEVALUE(Raw_Data!E274))),"")</f>
        <v>45573</v>
      </c>
      <c r="F274" s="11" t="str">
        <f aca="false">Raw_Data!F274</f>
        <v>Male 18-24</v>
      </c>
      <c r="G274" s="11" t="str">
        <f aca="false">IF(TRIM(Raw_Data!G274)="","Unspecified",IFERROR(INDEX(Lookup_Tables!$F$2:$F$24,MATCH(UPPER(TRIM(Raw_Data!G274)),Lookup_Tables!$G$2:$G$24,0)),"Unknown"))</f>
        <v>Central</v>
      </c>
      <c r="H274" s="11" t="n">
        <f aca="false">IF(Raw_Data!H274="",ROUND(AVERAGEIFS(Raw_Data!$H$2:$H$839,Raw_Data!$C$2:$C$839,Raw_Data!C274),2),Raw_Data!H274)</f>
        <v>13153.5</v>
      </c>
      <c r="I274" s="11" t="n">
        <f aca="false">Raw_Data!I274</f>
        <v>387414</v>
      </c>
      <c r="J274" s="11" t="n">
        <f aca="false">IF(Raw_Data!J274&lt;0,ABS(Raw_Data!J274),Raw_Data!J274)</f>
        <v>2099</v>
      </c>
      <c r="K274" s="11" t="n">
        <f aca="false">Raw_Data!K274</f>
        <v>52</v>
      </c>
      <c r="L274" s="11" t="n">
        <f aca="false">IF(Raw_Data!L274="",ROUND(AVERAGEIFS(Raw_Data!$L$2:$L$839,Raw_Data!$C$2:$C$839,Raw_Data!C274),2),Raw_Data!L274)</f>
        <v>32642.68</v>
      </c>
      <c r="M274" s="13" t="n">
        <f aca="false">IFERROR(J274/I274,0)</f>
        <v>0.00541797663481444</v>
      </c>
      <c r="N274" s="14" t="n">
        <f aca="false">IFERROR(H274/J274,0)</f>
        <v>6.2665555026203</v>
      </c>
      <c r="O274" s="14" t="n">
        <f aca="false">IFERROR(H274/K274,0)</f>
        <v>252.951923076923</v>
      </c>
      <c r="P274" s="15" t="n">
        <f aca="false">IFERROR(L274/H274,0)</f>
        <v>2.48167255863458</v>
      </c>
      <c r="Q274" s="13" t="n">
        <f aca="false">IFERROR(K274/J274,0)</f>
        <v>0.0247737017627442</v>
      </c>
      <c r="R274" s="11" t="str">
        <f aca="false">IF(COUNTIF($A$2:A274,A274)&gt;1,"Duplicate - Remove","Unique")</f>
        <v>Unique</v>
      </c>
      <c r="S274" s="11" t="str">
        <f aca="false">TRIM(IF(Raw_Data!G274="","Region missing; ","")&amp;IF(Raw_Data!H274="","Spend imputed; ","")&amp;IF(Raw_Data!L274="","Revenue imputed; ","")&amp;IF(Raw_Data!J274&lt;0,"Clicks corrected; ",""))</f>
        <v/>
      </c>
    </row>
    <row r="275" customFormat="false" ht="15" hidden="false" customHeight="true" outlineLevel="0" collapsed="false">
      <c r="A275" s="11" t="n">
        <f aca="false">Raw_Data!A275</f>
        <v>1334</v>
      </c>
      <c r="B275" s="11" t="str">
        <f aca="false">PROPER(TRIM(Raw_Data!B275))</f>
        <v>Summer Glow Launch</v>
      </c>
      <c r="C275" s="11" t="str">
        <f aca="false">IFERROR(INDEX(Lookup_Tables!$B$2:$B$26,MATCH(UPPER(TRIM(Raw_Data!C275)),Lookup_Tables!$C$2:$C$26,0)),"Unknown")</f>
        <v>Google Ads</v>
      </c>
      <c r="D275" s="12" t="n">
        <f aca="false">IFERROR(IF(ISNUMBER(SEARCH("/",Raw_Data!D275)),DATE(VALUE(RIGHT(Raw_Data!D275,4)),VALUE(MID(Raw_Data!D275,FIND("/",Raw_Data!D275)+1,FIND("/",Raw_Data!D275,FIND("/",Raw_Data!D275)+1)-FIND("/",Raw_Data!D275)-1)),VALUE(LEFT(Raw_Data!D275,FIND("/",Raw_Data!D275)-1))),IF(ISNUMBER(VALUE(LEFT(Raw_Data!D275,4))),DATE(VALUE(LEFT(Raw_Data!D275,4)),VALUE(MID(Raw_Data!D275,6,2)),VALUE(MID(Raw_Data!D275,9,2))),DATEVALUE(Raw_Data!D275))),"")</f>
        <v>45454</v>
      </c>
      <c r="E275" s="12" t="n">
        <f aca="false">IFERROR(IF(ISNUMBER(SEARCH("/",Raw_Data!E275)),DATE(VALUE(RIGHT(Raw_Data!E275,4)),VALUE(MID(Raw_Data!E275,FIND("/",Raw_Data!E275)+1,FIND("/",Raw_Data!E275,FIND("/",Raw_Data!E275)+1)-FIND("/",Raw_Data!E275)-1)),VALUE(LEFT(Raw_Data!E275,FIND("/",Raw_Data!E275)-1))),IF(ISNUMBER(VALUE(LEFT(Raw_Data!E275,4))),DATE(VALUE(LEFT(Raw_Data!E275,4)),VALUE(MID(Raw_Data!E275,6,2)),VALUE(MID(Raw_Data!E275,9,2))),DATEVALUE(Raw_Data!E275))),"")</f>
        <v>45478</v>
      </c>
      <c r="F275" s="11" t="str">
        <f aca="false">Raw_Data!F275</f>
        <v>Male 45+</v>
      </c>
      <c r="G275" s="11" t="str">
        <f aca="false">IF(TRIM(Raw_Data!G275)="","Unspecified",IFERROR(INDEX(Lookup_Tables!$F$2:$F$24,MATCH(UPPER(TRIM(Raw_Data!G275)),Lookup_Tables!$G$2:$G$24,0)),"Unknown"))</f>
        <v>North</v>
      </c>
      <c r="H275" s="11" t="n">
        <f aca="false">IF(Raw_Data!H275="",ROUND(AVERAGEIFS(Raw_Data!$H$2:$H$839,Raw_Data!$C$2:$C$839,Raw_Data!C275),2),Raw_Data!H275)</f>
        <v>45808.91</v>
      </c>
      <c r="I275" s="11" t="n">
        <f aca="false">Raw_Data!I275</f>
        <v>751320</v>
      </c>
      <c r="J275" s="11" t="n">
        <f aca="false">IF(Raw_Data!J275&lt;0,ABS(Raw_Data!J275),Raw_Data!J275)</f>
        <v>18785</v>
      </c>
      <c r="K275" s="11" t="n">
        <f aca="false">Raw_Data!K275</f>
        <v>710</v>
      </c>
      <c r="L275" s="11" t="n">
        <f aca="false">IF(Raw_Data!L275="",ROUND(AVERAGEIFS(Raw_Data!$L$2:$L$839,Raw_Data!$C$2:$C$839,Raw_Data!C275),2),Raw_Data!L275)</f>
        <v>985584.7</v>
      </c>
      <c r="M275" s="13" t="n">
        <f aca="false">IFERROR(J275/I275,0)</f>
        <v>0.0250026619815791</v>
      </c>
      <c r="N275" s="14" t="n">
        <f aca="false">IFERROR(H275/J275,0)</f>
        <v>2.43858983231302</v>
      </c>
      <c r="O275" s="14" t="n">
        <f aca="false">IFERROR(H275/K275,0)</f>
        <v>64.5195915492958</v>
      </c>
      <c r="P275" s="15" t="n">
        <f aca="false">IFERROR(L275/H275,0)</f>
        <v>21.5151310083562</v>
      </c>
      <c r="Q275" s="13" t="n">
        <f aca="false">IFERROR(K275/J275,0)</f>
        <v>0.0377961139206814</v>
      </c>
      <c r="R275" s="11" t="str">
        <f aca="false">IF(COUNTIF($A$2:A275,A275)&gt;1,"Duplicate - Remove","Unique")</f>
        <v>Unique</v>
      </c>
      <c r="S275" s="11" t="str">
        <f aca="false">TRIM(IF(Raw_Data!G275="","Region missing; ","")&amp;IF(Raw_Data!H275="","Spend imputed; ","")&amp;IF(Raw_Data!L275="","Revenue imputed; ","")&amp;IF(Raw_Data!J275&lt;0,"Clicks corrected; ",""))</f>
        <v/>
      </c>
    </row>
    <row r="276" customFormat="false" ht="15" hidden="false" customHeight="true" outlineLevel="0" collapsed="false">
      <c r="A276" s="11" t="n">
        <f aca="false">Raw_Data!A276</f>
        <v>1593</v>
      </c>
      <c r="B276" s="11" t="str">
        <f aca="false">PROPER(TRIM(Raw_Data!B276))</f>
        <v>Anti-Ageing Serum Push</v>
      </c>
      <c r="C276" s="11" t="str">
        <f aca="false">IFERROR(INDEX(Lookup_Tables!$B$2:$B$26,MATCH(UPPER(TRIM(Raw_Data!C276)),Lookup_Tables!$C$2:$C$26,0)),"Unknown")</f>
        <v>Instagram</v>
      </c>
      <c r="D276" s="12" t="n">
        <f aca="false">IFERROR(IF(ISNUMBER(SEARCH("/",Raw_Data!D276)),DATE(VALUE(RIGHT(Raw_Data!D276,4)),VALUE(MID(Raw_Data!D276,FIND("/",Raw_Data!D276)+1,FIND("/",Raw_Data!D276,FIND("/",Raw_Data!D276)+1)-FIND("/",Raw_Data!D276)-1)),VALUE(LEFT(Raw_Data!D276,FIND("/",Raw_Data!D276)-1))),IF(ISNUMBER(VALUE(LEFT(Raw_Data!D276,4))),DATE(VALUE(LEFT(Raw_Data!D276,4)),VALUE(MID(Raw_Data!D276,6,2)),VALUE(MID(Raw_Data!D276,9,2))),DATEVALUE(Raw_Data!D276))),"")</f>
        <v>45309</v>
      </c>
      <c r="E276" s="12" t="n">
        <f aca="false">IFERROR(IF(ISNUMBER(SEARCH("/",Raw_Data!E276)),DATE(VALUE(RIGHT(Raw_Data!E276,4)),VALUE(MID(Raw_Data!E276,FIND("/",Raw_Data!E276)+1,FIND("/",Raw_Data!E276,FIND("/",Raw_Data!E276)+1)-FIND("/",Raw_Data!E276)-1)),VALUE(LEFT(Raw_Data!E276,FIND("/",Raw_Data!E276)-1))),IF(ISNUMBER(VALUE(LEFT(Raw_Data!E276,4))),DATE(VALUE(LEFT(Raw_Data!E276,4)),VALUE(MID(Raw_Data!E276,6,2)),VALUE(MID(Raw_Data!E276,9,2))),DATEVALUE(Raw_Data!E276))),"")</f>
        <v>45322</v>
      </c>
      <c r="F276" s="11" t="str">
        <f aca="false">Raw_Data!F276</f>
        <v>Male 18-24</v>
      </c>
      <c r="G276" s="11" t="str">
        <f aca="false">IF(TRIM(Raw_Data!G276)="","Unspecified",IFERROR(INDEX(Lookup_Tables!$F$2:$F$24,MATCH(UPPER(TRIM(Raw_Data!G276)),Lookup_Tables!$G$2:$G$24,0)),"Unknown"))</f>
        <v>Unspecified</v>
      </c>
      <c r="H276" s="11" t="n">
        <f aca="false">IF(Raw_Data!H276="",ROUND(AVERAGEIFS(Raw_Data!$H$2:$H$839,Raw_Data!$C$2:$C$839,Raw_Data!C276),2),Raw_Data!H276)</f>
        <v>14429.43</v>
      </c>
      <c r="I276" s="11" t="n">
        <f aca="false">Raw_Data!I276</f>
        <v>499277</v>
      </c>
      <c r="J276" s="11" t="n">
        <f aca="false">IF(Raw_Data!J276&lt;0,ABS(Raw_Data!J276),Raw_Data!J276)</f>
        <v>12311</v>
      </c>
      <c r="K276" s="11" t="n">
        <f aca="false">Raw_Data!K276</f>
        <v>236</v>
      </c>
      <c r="L276" s="11" t="n">
        <f aca="false">IF(Raw_Data!L276="",ROUND(AVERAGEIFS(Raw_Data!$L$2:$L$839,Raw_Data!$C$2:$C$839,Raw_Data!C276),2),Raw_Data!L276)</f>
        <v>336007.91</v>
      </c>
      <c r="M276" s="13" t="n">
        <f aca="false">IFERROR(J276/I276,0)</f>
        <v>0.0246576549690853</v>
      </c>
      <c r="N276" s="14" t="n">
        <f aca="false">IFERROR(H276/J276,0)</f>
        <v>1.17207619202339</v>
      </c>
      <c r="O276" s="14" t="n">
        <f aca="false">IFERROR(H276/K276,0)</f>
        <v>61.1416525423729</v>
      </c>
      <c r="P276" s="15" t="n">
        <f aca="false">IFERROR(L276/H276,0)</f>
        <v>23.2862912810832</v>
      </c>
      <c r="Q276" s="13" t="n">
        <f aca="false">IFERROR(K276/J276,0)</f>
        <v>0.0191698481033222</v>
      </c>
      <c r="R276" s="11" t="str">
        <f aca="false">IF(COUNTIF($A$2:A276,A276)&gt;1,"Duplicate - Remove","Unique")</f>
        <v>Unique</v>
      </c>
      <c r="S276" s="11" t="str">
        <f aca="false">TRIM(IF(Raw_Data!G276="","Region missing; ","")&amp;IF(Raw_Data!H276="","Spend imputed; ","")&amp;IF(Raw_Data!L276="","Revenue imputed; ","")&amp;IF(Raw_Data!J276&lt;0,"Clicks corrected; ",""))</f>
        <v>Region missing;</v>
      </c>
    </row>
    <row r="277" customFormat="false" ht="15" hidden="false" customHeight="true" outlineLevel="0" collapsed="false">
      <c r="A277" s="11" t="n">
        <f aca="false">Raw_Data!A277</f>
        <v>1743</v>
      </c>
      <c r="B277" s="11" t="str">
        <f aca="false">PROPER(TRIM(Raw_Data!B277))</f>
        <v>Wedding Season Special</v>
      </c>
      <c r="C277" s="11" t="str">
        <f aca="false">IFERROR(INDEX(Lookup_Tables!$B$2:$B$26,MATCH(UPPER(TRIM(Raw_Data!C277)),Lookup_Tables!$C$2:$C$26,0)),"Unknown")</f>
        <v>Google Ads</v>
      </c>
      <c r="D277" s="12" t="n">
        <f aca="false">IFERROR(IF(ISNUMBER(SEARCH("/",Raw_Data!D277)),DATE(VALUE(RIGHT(Raw_Data!D277,4)),VALUE(MID(Raw_Data!D277,FIND("/",Raw_Data!D277)+1,FIND("/",Raw_Data!D277,FIND("/",Raw_Data!D277)+1)-FIND("/",Raw_Data!D277)-1)),VALUE(LEFT(Raw_Data!D277,FIND("/",Raw_Data!D277)-1))),IF(ISNUMBER(VALUE(LEFT(Raw_Data!D277,4))),DATE(VALUE(LEFT(Raw_Data!D277,4)),VALUE(MID(Raw_Data!D277,6,2)),VALUE(MID(Raw_Data!D277,9,2))),DATEVALUE(Raw_Data!D277))),"")</f>
        <v>45346</v>
      </c>
      <c r="E277" s="12" t="n">
        <f aca="false">IFERROR(IF(ISNUMBER(SEARCH("/",Raw_Data!E277)),DATE(VALUE(RIGHT(Raw_Data!E277,4)),VALUE(MID(Raw_Data!E277,FIND("/",Raw_Data!E277)+1,FIND("/",Raw_Data!E277,FIND("/",Raw_Data!E277)+1)-FIND("/",Raw_Data!E277)-1)),VALUE(LEFT(Raw_Data!E277,FIND("/",Raw_Data!E277)-1))),IF(ISNUMBER(VALUE(LEFT(Raw_Data!E277,4))),DATE(VALUE(LEFT(Raw_Data!E277,4)),VALUE(MID(Raw_Data!E277,6,2)),VALUE(MID(Raw_Data!E277,9,2))),DATEVALUE(Raw_Data!E277))),"")</f>
        <v>45358</v>
      </c>
      <c r="F277" s="11" t="str">
        <f aca="false">Raw_Data!F277</f>
        <v>Female 45+</v>
      </c>
      <c r="G277" s="11" t="str">
        <f aca="false">IF(TRIM(Raw_Data!G277)="","Unspecified",IFERROR(INDEX(Lookup_Tables!$F$2:$F$24,MATCH(UPPER(TRIM(Raw_Data!G277)),Lookup_Tables!$G$2:$G$24,0)),"Unknown"))</f>
        <v>West</v>
      </c>
      <c r="H277" s="11" t="n">
        <f aca="false">IF(Raw_Data!H277="",ROUND(AVERAGEIFS(Raw_Data!$H$2:$H$839,Raw_Data!$C$2:$C$839,Raw_Data!C277),2),Raw_Data!H277)</f>
        <v>55073.16</v>
      </c>
      <c r="I277" s="11" t="n">
        <f aca="false">Raw_Data!I277</f>
        <v>1040471</v>
      </c>
      <c r="J277" s="11" t="n">
        <f aca="false">IF(Raw_Data!J277&lt;0,ABS(Raw_Data!J277),Raw_Data!J277)</f>
        <v>26863</v>
      </c>
      <c r="K277" s="11" t="n">
        <f aca="false">Raw_Data!K277</f>
        <v>1685</v>
      </c>
      <c r="L277" s="11" t="n">
        <f aca="false">IF(Raw_Data!L277="",ROUND(AVERAGEIFS(Raw_Data!$L$2:$L$839,Raw_Data!$C$2:$C$839,Raw_Data!C277),2),Raw_Data!L277)</f>
        <v>2339610.26</v>
      </c>
      <c r="M277" s="13" t="n">
        <f aca="false">IFERROR(J277/I277,0)</f>
        <v>0.0258181150651964</v>
      </c>
      <c r="N277" s="14" t="n">
        <f aca="false">IFERROR(H277/J277,0)</f>
        <v>2.05014927595578</v>
      </c>
      <c r="O277" s="14" t="n">
        <f aca="false">IFERROR(H277/K277,0)</f>
        <v>32.6843679525223</v>
      </c>
      <c r="P277" s="15" t="n">
        <f aca="false">IFERROR(L277/H277,0)</f>
        <v>42.4818597661728</v>
      </c>
      <c r="Q277" s="13" t="n">
        <f aca="false">IFERROR(K277/J277,0)</f>
        <v>0.0627256821650598</v>
      </c>
      <c r="R277" s="11" t="str">
        <f aca="false">IF(COUNTIF($A$2:A277,A277)&gt;1,"Duplicate - Remove","Unique")</f>
        <v>Unique</v>
      </c>
      <c r="S277" s="11" t="str">
        <f aca="false">TRIM(IF(Raw_Data!G277="","Region missing; ","")&amp;IF(Raw_Data!H277="","Spend imputed; ","")&amp;IF(Raw_Data!L277="","Revenue imputed; ","")&amp;IF(Raw_Data!J277&lt;0,"Clicks corrected; ",""))</f>
        <v/>
      </c>
    </row>
    <row r="278" customFormat="false" ht="15" hidden="false" customHeight="true" outlineLevel="0" collapsed="false">
      <c r="A278" s="11" t="n">
        <f aca="false">Raw_Data!A278</f>
        <v>1459</v>
      </c>
      <c r="B278" s="11" t="str">
        <f aca="false">PROPER(TRIM(Raw_Data!B278))</f>
        <v>Baby Care Trust Campaign</v>
      </c>
      <c r="C278" s="11" t="str">
        <f aca="false">IFERROR(INDEX(Lookup_Tables!$B$2:$B$26,MATCH(UPPER(TRIM(Raw_Data!C278)),Lookup_Tables!$C$2:$C$26,0)),"Unknown")</f>
        <v>Google Ads</v>
      </c>
      <c r="D278" s="12" t="n">
        <f aca="false">IFERROR(IF(ISNUMBER(SEARCH("/",Raw_Data!D278)),DATE(VALUE(RIGHT(Raw_Data!D278,4)),VALUE(MID(Raw_Data!D278,FIND("/",Raw_Data!D278)+1,FIND("/",Raw_Data!D278,FIND("/",Raw_Data!D278)+1)-FIND("/",Raw_Data!D278)-1)),VALUE(LEFT(Raw_Data!D278,FIND("/",Raw_Data!D278)-1))),IF(ISNUMBER(VALUE(LEFT(Raw_Data!D278,4))),DATE(VALUE(LEFT(Raw_Data!D278,4)),VALUE(MID(Raw_Data!D278,6,2)),VALUE(MID(Raw_Data!D278,9,2))),DATEVALUE(Raw_Data!D278))),"")</f>
        <v>45558</v>
      </c>
      <c r="E278" s="12" t="n">
        <f aca="false">IFERROR(IF(ISNUMBER(SEARCH("/",Raw_Data!E278)),DATE(VALUE(RIGHT(Raw_Data!E278,4)),VALUE(MID(Raw_Data!E278,FIND("/",Raw_Data!E278)+1,FIND("/",Raw_Data!E278,FIND("/",Raw_Data!E278)+1)-FIND("/",Raw_Data!E278)-1)),VALUE(LEFT(Raw_Data!E278,FIND("/",Raw_Data!E278)-1))),IF(ISNUMBER(VALUE(LEFT(Raw_Data!E278,4))),DATE(VALUE(LEFT(Raw_Data!E278,4)),VALUE(MID(Raw_Data!E278,6,2)),VALUE(MID(Raw_Data!E278,9,2))),DATEVALUE(Raw_Data!E278))),"")</f>
        <v>45584</v>
      </c>
      <c r="F278" s="11" t="str">
        <f aca="false">Raw_Data!F278</f>
        <v>Female 35-44</v>
      </c>
      <c r="G278" s="11" t="str">
        <f aca="false">IF(TRIM(Raw_Data!G278)="","Unspecified",IFERROR(INDEX(Lookup_Tables!$F$2:$F$24,MATCH(UPPER(TRIM(Raw_Data!G278)),Lookup_Tables!$G$2:$G$24,0)),"Unknown"))</f>
        <v>West</v>
      </c>
      <c r="H278" s="11" t="n">
        <f aca="false">IF(Raw_Data!H278="",ROUND(AVERAGEIFS(Raw_Data!$H$2:$H$839,Raw_Data!$C$2:$C$839,Raw_Data!C278),2),Raw_Data!H278)</f>
        <v>51354.32</v>
      </c>
      <c r="I278" s="11" t="n">
        <f aca="false">Raw_Data!I278</f>
        <v>907155</v>
      </c>
      <c r="J278" s="11" t="n">
        <f aca="false">IF(Raw_Data!J278&lt;0,ABS(Raw_Data!J278),Raw_Data!J278)</f>
        <v>4785</v>
      </c>
      <c r="K278" s="11" t="n">
        <f aca="false">Raw_Data!K278</f>
        <v>333</v>
      </c>
      <c r="L278" s="11" t="n">
        <f aca="false">IF(Raw_Data!L278="",ROUND(AVERAGEIFS(Raw_Data!$L$2:$L$839,Raw_Data!$C$2:$C$839,Raw_Data!C278),2),Raw_Data!L278)</f>
        <v>269094.98</v>
      </c>
      <c r="M278" s="13" t="n">
        <f aca="false">IFERROR(J278/I278,0)</f>
        <v>0.00527473254295021</v>
      </c>
      <c r="N278" s="14" t="n">
        <f aca="false">IFERROR(H278/J278,0)</f>
        <v>10.732355276907</v>
      </c>
      <c r="O278" s="14" t="n">
        <f aca="false">IFERROR(H278/K278,0)</f>
        <v>154.217177177177</v>
      </c>
      <c r="P278" s="15" t="n">
        <f aca="false">IFERROR(L278/H278,0)</f>
        <v>5.23996773786509</v>
      </c>
      <c r="Q278" s="13" t="n">
        <f aca="false">IFERROR(K278/J278,0)</f>
        <v>0.0695924764890282</v>
      </c>
      <c r="R278" s="11" t="str">
        <f aca="false">IF(COUNTIF($A$2:A278,A278)&gt;1,"Duplicate - Remove","Unique")</f>
        <v>Unique</v>
      </c>
      <c r="S278" s="11" t="str">
        <f aca="false">TRIM(IF(Raw_Data!G278="","Region missing; ","")&amp;IF(Raw_Data!H278="","Spend imputed; ","")&amp;IF(Raw_Data!L278="","Revenue imputed; ","")&amp;IF(Raw_Data!J278&lt;0,"Clicks corrected; ",""))</f>
        <v/>
      </c>
    </row>
    <row r="279" customFormat="false" ht="15" hidden="false" customHeight="true" outlineLevel="0" collapsed="false">
      <c r="A279" s="11" t="n">
        <f aca="false">Raw_Data!A279</f>
        <v>1528</v>
      </c>
      <c r="B279" s="11" t="str">
        <f aca="false">PROPER(TRIM(Raw_Data!B279))</f>
        <v>Baby Care Trust Campaign</v>
      </c>
      <c r="C279" s="11" t="str">
        <f aca="false">IFERROR(INDEX(Lookup_Tables!$B$2:$B$26,MATCH(UPPER(TRIM(Raw_Data!C279)),Lookup_Tables!$C$2:$C$26,0)),"Unknown")</f>
        <v>Email</v>
      </c>
      <c r="D279" s="12" t="n">
        <f aca="false">IFERROR(IF(ISNUMBER(SEARCH("/",Raw_Data!D279)),DATE(VALUE(RIGHT(Raw_Data!D279,4)),VALUE(MID(Raw_Data!D279,FIND("/",Raw_Data!D279)+1,FIND("/",Raw_Data!D279,FIND("/",Raw_Data!D279)+1)-FIND("/",Raw_Data!D279)-1)),VALUE(LEFT(Raw_Data!D279,FIND("/",Raw_Data!D279)-1))),IF(ISNUMBER(VALUE(LEFT(Raw_Data!D279,4))),DATE(VALUE(LEFT(Raw_Data!D279,4)),VALUE(MID(Raw_Data!D279,6,2)),VALUE(MID(Raw_Data!D279,9,2))),DATEVALUE(Raw_Data!D279))),"")</f>
        <v>45553</v>
      </c>
      <c r="E279" s="12" t="n">
        <f aca="false">IFERROR(IF(ISNUMBER(SEARCH("/",Raw_Data!E279)),DATE(VALUE(RIGHT(Raw_Data!E279,4)),VALUE(MID(Raw_Data!E279,FIND("/",Raw_Data!E279)+1,FIND("/",Raw_Data!E279,FIND("/",Raw_Data!E279)+1)-FIND("/",Raw_Data!E279)-1)),VALUE(LEFT(Raw_Data!E279,FIND("/",Raw_Data!E279)-1))),IF(ISNUMBER(VALUE(LEFT(Raw_Data!E279,4))),DATE(VALUE(LEFT(Raw_Data!E279,4)),VALUE(MID(Raw_Data!E279,6,2)),VALUE(MID(Raw_Data!E279,9,2))),DATEVALUE(Raw_Data!E279))),"")</f>
        <v>45566</v>
      </c>
      <c r="F279" s="11" t="str">
        <f aca="false">Raw_Data!F279</f>
        <v>Female 18-24</v>
      </c>
      <c r="G279" s="11" t="str">
        <f aca="false">IF(TRIM(Raw_Data!G279)="","Unspecified",IFERROR(INDEX(Lookup_Tables!$F$2:$F$24,MATCH(UPPER(TRIM(Raw_Data!G279)),Lookup_Tables!$G$2:$G$24,0)),"Unknown"))</f>
        <v>North</v>
      </c>
      <c r="H279" s="11" t="n">
        <f aca="false">IF(Raw_Data!H279="",ROUND(AVERAGEIFS(Raw_Data!$H$2:$H$839,Raw_Data!$C$2:$C$839,Raw_Data!C279),2),Raw_Data!H279)</f>
        <v>3868.66</v>
      </c>
      <c r="I279" s="11" t="n">
        <f aca="false">Raw_Data!I279</f>
        <v>116435</v>
      </c>
      <c r="J279" s="11" t="n">
        <f aca="false">IF(Raw_Data!J279&lt;0,ABS(Raw_Data!J279),Raw_Data!J279)</f>
        <v>3646</v>
      </c>
      <c r="K279" s="11" t="n">
        <f aca="false">Raw_Data!K279</f>
        <v>279</v>
      </c>
      <c r="L279" s="11" t="n">
        <f aca="false">IF(Raw_Data!L279="",ROUND(AVERAGEIFS(Raw_Data!$L$2:$L$839,Raw_Data!$C$2:$C$839,Raw_Data!C279),2),Raw_Data!L279)</f>
        <v>312263.04</v>
      </c>
      <c r="M279" s="13" t="n">
        <f aca="false">IFERROR(J279/I279,0)</f>
        <v>0.0313136084510671</v>
      </c>
      <c r="N279" s="14" t="n">
        <f aca="false">IFERROR(H279/J279,0)</f>
        <v>1.06106966538673</v>
      </c>
      <c r="O279" s="14" t="n">
        <f aca="false">IFERROR(H279/K279,0)</f>
        <v>13.866164874552</v>
      </c>
      <c r="P279" s="15" t="n">
        <f aca="false">IFERROR(L279/H279,0)</f>
        <v>80.7160722317288</v>
      </c>
      <c r="Q279" s="13" t="n">
        <f aca="false">IFERROR(K279/J279,0)</f>
        <v>0.0765222161272628</v>
      </c>
      <c r="R279" s="11" t="str">
        <f aca="false">IF(COUNTIF($A$2:A279,A279)&gt;1,"Duplicate - Remove","Unique")</f>
        <v>Unique</v>
      </c>
      <c r="S279" s="11" t="str">
        <f aca="false">TRIM(IF(Raw_Data!G279="","Region missing; ","")&amp;IF(Raw_Data!H279="","Spend imputed; ","")&amp;IF(Raw_Data!L279="","Revenue imputed; ","")&amp;IF(Raw_Data!J279&lt;0,"Clicks corrected; ",""))</f>
        <v/>
      </c>
    </row>
    <row r="280" customFormat="false" ht="15" hidden="false" customHeight="true" outlineLevel="0" collapsed="false">
      <c r="A280" s="11" t="n">
        <f aca="false">Raw_Data!A280</f>
        <v>1306</v>
      </c>
      <c r="B280" s="11" t="str">
        <f aca="false">PROPER(TRIM(Raw_Data!B280))</f>
        <v>Ayurvedic Range Launch</v>
      </c>
      <c r="C280" s="11" t="str">
        <f aca="false">IFERROR(INDEX(Lookup_Tables!$B$2:$B$26,MATCH(UPPER(TRIM(Raw_Data!C280)),Lookup_Tables!$C$2:$C$26,0)),"Unknown")</f>
        <v>Instagram</v>
      </c>
      <c r="D280" s="12" t="n">
        <f aca="false">IFERROR(IF(ISNUMBER(SEARCH("/",Raw_Data!D280)),DATE(VALUE(RIGHT(Raw_Data!D280,4)),VALUE(MID(Raw_Data!D280,FIND("/",Raw_Data!D280)+1,FIND("/",Raw_Data!D280,FIND("/",Raw_Data!D280)+1)-FIND("/",Raw_Data!D280)-1)),VALUE(LEFT(Raw_Data!D280,FIND("/",Raw_Data!D280)-1))),IF(ISNUMBER(VALUE(LEFT(Raw_Data!D280,4))),DATE(VALUE(LEFT(Raw_Data!D280,4)),VALUE(MID(Raw_Data!D280,6,2)),VALUE(MID(Raw_Data!D280,9,2))),DATEVALUE(Raw_Data!D280))),"")</f>
        <v>45342</v>
      </c>
      <c r="E280" s="12" t="n">
        <f aca="false">IFERROR(IF(ISNUMBER(SEARCH("/",Raw_Data!E280)),DATE(VALUE(RIGHT(Raw_Data!E280,4)),VALUE(MID(Raw_Data!E280,FIND("/",Raw_Data!E280)+1,FIND("/",Raw_Data!E280,FIND("/",Raw_Data!E280)+1)-FIND("/",Raw_Data!E280)-1)),VALUE(LEFT(Raw_Data!E280,FIND("/",Raw_Data!E280)-1))),IF(ISNUMBER(VALUE(LEFT(Raw_Data!E280,4))),DATE(VALUE(LEFT(Raw_Data!E280,4)),VALUE(MID(Raw_Data!E280,6,2)),VALUE(MID(Raw_Data!E280,9,2))),DATEVALUE(Raw_Data!E280))),"")</f>
        <v>45355</v>
      </c>
      <c r="F280" s="11" t="str">
        <f aca="false">Raw_Data!F280</f>
        <v>Male 25-34</v>
      </c>
      <c r="G280" s="11" t="str">
        <f aca="false">IF(TRIM(Raw_Data!G280)="","Unspecified",IFERROR(INDEX(Lookup_Tables!$F$2:$F$24,MATCH(UPPER(TRIM(Raw_Data!G280)),Lookup_Tables!$G$2:$G$24,0)),"Unknown"))</f>
        <v>Central</v>
      </c>
      <c r="H280" s="11" t="n">
        <f aca="false">IF(Raw_Data!H280="",ROUND(AVERAGEIFS(Raw_Data!$H$2:$H$839,Raw_Data!$C$2:$C$839,Raw_Data!C280),2),Raw_Data!H280)</f>
        <v>38377.2</v>
      </c>
      <c r="I280" s="11" t="n">
        <f aca="false">Raw_Data!I280</f>
        <v>1018059</v>
      </c>
      <c r="J280" s="11" t="n">
        <f aca="false">IF(Raw_Data!J280&lt;0,ABS(Raw_Data!J280),Raw_Data!J280)</f>
        <v>25714</v>
      </c>
      <c r="K280" s="11" t="n">
        <f aca="false">Raw_Data!K280</f>
        <v>692</v>
      </c>
      <c r="L280" s="11" t="n">
        <f aca="false">IF(Raw_Data!L280="",ROUND(AVERAGEIFS(Raw_Data!$L$2:$L$839,Raw_Data!$C$2:$C$839,Raw_Data!C280),2),Raw_Data!L280)</f>
        <v>916374.28</v>
      </c>
      <c r="M280" s="13" t="n">
        <f aca="false">IFERROR(J280/I280,0)</f>
        <v>0.0252578681589181</v>
      </c>
      <c r="N280" s="14" t="n">
        <f aca="false">IFERROR(H280/J280,0)</f>
        <v>1.49246324959166</v>
      </c>
      <c r="O280" s="14" t="n">
        <f aca="false">IFERROR(H280/K280,0)</f>
        <v>55.4583815028902</v>
      </c>
      <c r="P280" s="15" t="n">
        <f aca="false">IFERROR(L280/H280,0)</f>
        <v>23.8780911582919</v>
      </c>
      <c r="Q280" s="13" t="n">
        <f aca="false">IFERROR(K280/J280,0)</f>
        <v>0.0269114101267792</v>
      </c>
      <c r="R280" s="11" t="str">
        <f aca="false">IF(COUNTIF($A$2:A280,A280)&gt;1,"Duplicate - Remove","Unique")</f>
        <v>Unique</v>
      </c>
      <c r="S280" s="11" t="str">
        <f aca="false">TRIM(IF(Raw_Data!G280="","Region missing; ","")&amp;IF(Raw_Data!H280="","Spend imputed; ","")&amp;IF(Raw_Data!L280="","Revenue imputed; ","")&amp;IF(Raw_Data!J280&lt;0,"Clicks corrected; ",""))</f>
        <v/>
      </c>
    </row>
    <row r="281" customFormat="false" ht="15" hidden="false" customHeight="true" outlineLevel="0" collapsed="false">
      <c r="A281" s="11" t="n">
        <f aca="false">Raw_Data!A281</f>
        <v>1177</v>
      </c>
      <c r="B281" s="11" t="str">
        <f aca="false">PROPER(TRIM(Raw_Data!B281))</f>
        <v>Back To College Offer</v>
      </c>
      <c r="C281" s="11" t="str">
        <f aca="false">IFERROR(INDEX(Lookup_Tables!$B$2:$B$26,MATCH(UPPER(TRIM(Raw_Data!C281)),Lookup_Tables!$C$2:$C$26,0)),"Unknown")</f>
        <v>Instagram</v>
      </c>
      <c r="D281" s="12" t="n">
        <f aca="false">IFERROR(IF(ISNUMBER(SEARCH("/",Raw_Data!D281)),DATE(VALUE(RIGHT(Raw_Data!D281,4)),VALUE(MID(Raw_Data!D281,FIND("/",Raw_Data!D281)+1,FIND("/",Raw_Data!D281,FIND("/",Raw_Data!D281)+1)-FIND("/",Raw_Data!D281)-1)),VALUE(LEFT(Raw_Data!D281,FIND("/",Raw_Data!D281)-1))),IF(ISNUMBER(VALUE(LEFT(Raw_Data!D281,4))),DATE(VALUE(LEFT(Raw_Data!D281,4)),VALUE(MID(Raw_Data!D281,6,2)),VALUE(MID(Raw_Data!D281,9,2))),DATEVALUE(Raw_Data!D281))),"")</f>
        <v>45584</v>
      </c>
      <c r="E281" s="12" t="n">
        <f aca="false">IFERROR(IF(ISNUMBER(SEARCH("/",Raw_Data!E281)),DATE(VALUE(RIGHT(Raw_Data!E281,4)),VALUE(MID(Raw_Data!E281,FIND("/",Raw_Data!E281)+1,FIND("/",Raw_Data!E281,FIND("/",Raw_Data!E281)+1)-FIND("/",Raw_Data!E281)-1)),VALUE(LEFT(Raw_Data!E281,FIND("/",Raw_Data!E281)-1))),IF(ISNUMBER(VALUE(LEFT(Raw_Data!E281,4))),DATE(VALUE(LEFT(Raw_Data!E281,4)),VALUE(MID(Raw_Data!E281,6,2)),VALUE(MID(Raw_Data!E281,9,2))),DATEVALUE(Raw_Data!E281))),"")</f>
        <v>45608</v>
      </c>
      <c r="F281" s="11" t="str">
        <f aca="false">Raw_Data!F281</f>
        <v>Male 45+</v>
      </c>
      <c r="G281" s="11" t="str">
        <f aca="false">IF(TRIM(Raw_Data!G281)="","Unspecified",IFERROR(INDEX(Lookup_Tables!$F$2:$F$24,MATCH(UPPER(TRIM(Raw_Data!G281)),Lookup_Tables!$G$2:$G$24,0)),"Unknown"))</f>
        <v>West</v>
      </c>
      <c r="H281" s="11" t="n">
        <f aca="false">IF(Raw_Data!H281="",ROUND(AVERAGEIFS(Raw_Data!$H$2:$H$839,Raw_Data!$C$2:$C$839,Raw_Data!C281),2),Raw_Data!H281)</f>
        <v>9948.21</v>
      </c>
      <c r="I281" s="11" t="n">
        <f aca="false">Raw_Data!I281</f>
        <v>217720</v>
      </c>
      <c r="J281" s="11" t="n">
        <f aca="false">IF(Raw_Data!J281&lt;0,ABS(Raw_Data!J281),Raw_Data!J281)</f>
        <v>2028</v>
      </c>
      <c r="K281" s="11" t="n">
        <f aca="false">Raw_Data!K281</f>
        <v>106</v>
      </c>
      <c r="L281" s="11" t="n">
        <f aca="false">IF(Raw_Data!L281="",ROUND(AVERAGEIFS(Raw_Data!$L$2:$L$839,Raw_Data!$C$2:$C$839,Raw_Data!C281),2),Raw_Data!L281)</f>
        <v>956998.6</v>
      </c>
      <c r="M281" s="13" t="n">
        <f aca="false">IFERROR(J281/I281,0)</f>
        <v>0.00931471614918244</v>
      </c>
      <c r="N281" s="14" t="n">
        <f aca="false">IFERROR(H281/J281,0)</f>
        <v>4.90542899408284</v>
      </c>
      <c r="O281" s="14" t="n">
        <f aca="false">IFERROR(H281/K281,0)</f>
        <v>93.8510377358491</v>
      </c>
      <c r="P281" s="15" t="n">
        <f aca="false">IFERROR(L281/H281,0)</f>
        <v>96.1980698035124</v>
      </c>
      <c r="Q281" s="13" t="n">
        <f aca="false">IFERROR(K281/J281,0)</f>
        <v>0.0522682445759369</v>
      </c>
      <c r="R281" s="11" t="str">
        <f aca="false">IF(COUNTIF($A$2:A281,A281)&gt;1,"Duplicate - Remove","Unique")</f>
        <v>Unique</v>
      </c>
      <c r="S281" s="11" t="str">
        <f aca="false">TRIM(IF(Raw_Data!G281="","Region missing; ","")&amp;IF(Raw_Data!H281="","Spend imputed; ","")&amp;IF(Raw_Data!L281="","Revenue imputed; ","")&amp;IF(Raw_Data!J281&lt;0,"Clicks corrected; ",""))</f>
        <v>Revenue imputed;</v>
      </c>
    </row>
    <row r="282" customFormat="false" ht="15" hidden="false" customHeight="true" outlineLevel="0" collapsed="false">
      <c r="A282" s="11" t="n">
        <f aca="false">Raw_Data!A282</f>
        <v>1002</v>
      </c>
      <c r="B282" s="11" t="str">
        <f aca="false">PROPER(TRIM(Raw_Data!B282))</f>
        <v>Clearance Sale Push</v>
      </c>
      <c r="C282" s="11" t="str">
        <f aca="false">IFERROR(INDEX(Lookup_Tables!$B$2:$B$26,MATCH(UPPER(TRIM(Raw_Data!C282)),Lookup_Tables!$C$2:$C$26,0)),"Unknown")</f>
        <v>Instagram</v>
      </c>
      <c r="D282" s="12" t="n">
        <f aca="false">IFERROR(IF(ISNUMBER(SEARCH("/",Raw_Data!D282)),DATE(VALUE(RIGHT(Raw_Data!D282,4)),VALUE(MID(Raw_Data!D282,FIND("/",Raw_Data!D282)+1,FIND("/",Raw_Data!D282,FIND("/",Raw_Data!D282)+1)-FIND("/",Raw_Data!D282)-1)),VALUE(LEFT(Raw_Data!D282,FIND("/",Raw_Data!D282)-1))),IF(ISNUMBER(VALUE(LEFT(Raw_Data!D282,4))),DATE(VALUE(LEFT(Raw_Data!D282,4)),VALUE(MID(Raw_Data!D282,6,2)),VALUE(MID(Raw_Data!D282,9,2))),DATEVALUE(Raw_Data!D282))),"")</f>
        <v>45341</v>
      </c>
      <c r="E282" s="12" t="n">
        <f aca="false">IFERROR(IF(ISNUMBER(SEARCH("/",Raw_Data!E282)),DATE(VALUE(RIGHT(Raw_Data!E282,4)),VALUE(MID(Raw_Data!E282,FIND("/",Raw_Data!E282)+1,FIND("/",Raw_Data!E282,FIND("/",Raw_Data!E282)+1)-FIND("/",Raw_Data!E282)-1)),VALUE(LEFT(Raw_Data!E282,FIND("/",Raw_Data!E282)-1))),IF(ISNUMBER(VALUE(LEFT(Raw_Data!E282,4))),DATE(VALUE(LEFT(Raw_Data!E282,4)),VALUE(MID(Raw_Data!E282,6,2)),VALUE(MID(Raw_Data!E282,9,2))),DATEVALUE(Raw_Data!E282))),"")</f>
        <v>45357</v>
      </c>
      <c r="F282" s="11" t="str">
        <f aca="false">Raw_Data!F282</f>
        <v>Female 45+</v>
      </c>
      <c r="G282" s="11" t="str">
        <f aca="false">IF(TRIM(Raw_Data!G282)="","Unspecified",IFERROR(INDEX(Lookup_Tables!$F$2:$F$24,MATCH(UPPER(TRIM(Raw_Data!G282)),Lookup_Tables!$G$2:$G$24,0)),"Unknown"))</f>
        <v>South</v>
      </c>
      <c r="H282" s="11" t="n">
        <f aca="false">IF(Raw_Data!H282="",ROUND(AVERAGEIFS(Raw_Data!$H$2:$H$839,Raw_Data!$C$2:$C$839,Raw_Data!C282),2),Raw_Data!H282)</f>
        <v>39393.75</v>
      </c>
      <c r="I282" s="11" t="n">
        <f aca="false">Raw_Data!I282</f>
        <v>1385801</v>
      </c>
      <c r="J282" s="11" t="n">
        <f aca="false">IF(Raw_Data!J282&lt;0,ABS(Raw_Data!J282),Raw_Data!J282)</f>
        <v>37266</v>
      </c>
      <c r="K282" s="11" t="n">
        <f aca="false">Raw_Data!K282</f>
        <v>1771</v>
      </c>
      <c r="L282" s="11" t="n">
        <f aca="false">IF(Raw_Data!L282="",ROUND(AVERAGEIFS(Raw_Data!$L$2:$L$839,Raw_Data!$C$2:$C$839,Raw_Data!C282),2),Raw_Data!L282)</f>
        <v>3118762.63</v>
      </c>
      <c r="M282" s="13" t="n">
        <f aca="false">IFERROR(J282/I282,0)</f>
        <v>0.0268913069048153</v>
      </c>
      <c r="N282" s="14" t="n">
        <f aca="false">IFERROR(H282/J282,0)</f>
        <v>1.05709628079214</v>
      </c>
      <c r="O282" s="14" t="n">
        <f aca="false">IFERROR(H282/K282,0)</f>
        <v>22.2437888198758</v>
      </c>
      <c r="P282" s="15" t="n">
        <f aca="false">IFERROR(L282/H282,0)</f>
        <v>79.1689704585118</v>
      </c>
      <c r="Q282" s="13" t="n">
        <f aca="false">IFERROR(K282/J282,0)</f>
        <v>0.047523211506467</v>
      </c>
      <c r="R282" s="11" t="str">
        <f aca="false">IF(COUNTIF($A$2:A282,A282)&gt;1,"Duplicate - Remove","Unique")</f>
        <v>Unique</v>
      </c>
      <c r="S282" s="11" t="str">
        <f aca="false">TRIM(IF(Raw_Data!G282="","Region missing; ","")&amp;IF(Raw_Data!H282="","Spend imputed; ","")&amp;IF(Raw_Data!L282="","Revenue imputed; ","")&amp;IF(Raw_Data!J282&lt;0,"Clicks corrected; ",""))</f>
        <v/>
      </c>
    </row>
    <row r="283" customFormat="false" ht="15" hidden="false" customHeight="true" outlineLevel="0" collapsed="false">
      <c r="A283" s="11" t="n">
        <f aca="false">Raw_Data!A283</f>
        <v>1146</v>
      </c>
      <c r="B283" s="11" t="str">
        <f aca="false">PROPER(TRIM(Raw_Data!B283))</f>
        <v>Clearance Sale Push</v>
      </c>
      <c r="C283" s="11" t="str">
        <f aca="false">IFERROR(INDEX(Lookup_Tables!$B$2:$B$26,MATCH(UPPER(TRIM(Raw_Data!C283)),Lookup_Tables!$C$2:$C$26,0)),"Unknown")</f>
        <v>Email</v>
      </c>
      <c r="D283" s="12" t="n">
        <f aca="false">IFERROR(IF(ISNUMBER(SEARCH("/",Raw_Data!D283)),DATE(VALUE(RIGHT(Raw_Data!D283,4)),VALUE(MID(Raw_Data!D283,FIND("/",Raw_Data!D283)+1,FIND("/",Raw_Data!D283,FIND("/",Raw_Data!D283)+1)-FIND("/",Raw_Data!D283)-1)),VALUE(LEFT(Raw_Data!D283,FIND("/",Raw_Data!D283)-1))),IF(ISNUMBER(VALUE(LEFT(Raw_Data!D283,4))),DATE(VALUE(LEFT(Raw_Data!D283,4)),VALUE(MID(Raw_Data!D283,6,2)),VALUE(MID(Raw_Data!D283,9,2))),DATEVALUE(Raw_Data!D283))),"")</f>
        <v>45620</v>
      </c>
      <c r="E283" s="12" t="n">
        <f aca="false">IFERROR(IF(ISNUMBER(SEARCH("/",Raw_Data!E283)),DATE(VALUE(RIGHT(Raw_Data!E283,4)),VALUE(MID(Raw_Data!E283,FIND("/",Raw_Data!E283)+1,FIND("/",Raw_Data!E283,FIND("/",Raw_Data!E283)+1)-FIND("/",Raw_Data!E283)-1)),VALUE(LEFT(Raw_Data!E283,FIND("/",Raw_Data!E283)-1))),IF(ISNUMBER(VALUE(LEFT(Raw_Data!E283,4))),DATE(VALUE(LEFT(Raw_Data!E283,4)),VALUE(MID(Raw_Data!E283,6,2)),VALUE(MID(Raw_Data!E283,9,2))),DATEVALUE(Raw_Data!E283))),"")</f>
        <v>45646</v>
      </c>
      <c r="F283" s="11" t="str">
        <f aca="false">Raw_Data!F283</f>
        <v>Female 35-44</v>
      </c>
      <c r="G283" s="11" t="str">
        <f aca="false">IF(TRIM(Raw_Data!G283)="","Unspecified",IFERROR(INDEX(Lookup_Tables!$F$2:$F$24,MATCH(UPPER(TRIM(Raw_Data!G283)),Lookup_Tables!$G$2:$G$24,0)),"Unknown"))</f>
        <v>East</v>
      </c>
      <c r="H283" s="11" t="n">
        <f aca="false">IF(Raw_Data!H283="",ROUND(AVERAGEIFS(Raw_Data!$H$2:$H$839,Raw_Data!$C$2:$C$839,Raw_Data!C283),2),Raw_Data!H283)</f>
        <v>1478.88</v>
      </c>
      <c r="I283" s="11" t="n">
        <f aca="false">Raw_Data!I283</f>
        <v>43009</v>
      </c>
      <c r="J283" s="11" t="n">
        <f aca="false">IF(Raw_Data!J283&lt;0,ABS(Raw_Data!J283),Raw_Data!J283)</f>
        <v>1002</v>
      </c>
      <c r="K283" s="11" t="n">
        <f aca="false">Raw_Data!K283</f>
        <v>21</v>
      </c>
      <c r="L283" s="11" t="n">
        <f aca="false">IF(Raw_Data!L283="",ROUND(AVERAGEIFS(Raw_Data!$L$2:$L$839,Raw_Data!$C$2:$C$839,Raw_Data!C283),2),Raw_Data!L283)</f>
        <v>18043.67</v>
      </c>
      <c r="M283" s="13" t="n">
        <f aca="false">IFERROR(J283/I283,0)</f>
        <v>0.0232974493710619</v>
      </c>
      <c r="N283" s="14" t="n">
        <f aca="false">IFERROR(H283/J283,0)</f>
        <v>1.47592814371257</v>
      </c>
      <c r="O283" s="14" t="n">
        <f aca="false">IFERROR(H283/K283,0)</f>
        <v>70.4228571428572</v>
      </c>
      <c r="P283" s="15" t="n">
        <f aca="false">IFERROR(L283/H283,0)</f>
        <v>12.2009020339717</v>
      </c>
      <c r="Q283" s="13" t="n">
        <f aca="false">IFERROR(K283/J283,0)</f>
        <v>0.0209580838323353</v>
      </c>
      <c r="R283" s="11" t="str">
        <f aca="false">IF(COUNTIF($A$2:A283,A283)&gt;1,"Duplicate - Remove","Unique")</f>
        <v>Unique</v>
      </c>
      <c r="S283" s="11" t="str">
        <f aca="false">TRIM(IF(Raw_Data!G283="","Region missing; ","")&amp;IF(Raw_Data!H283="","Spend imputed; ","")&amp;IF(Raw_Data!L283="","Revenue imputed; ","")&amp;IF(Raw_Data!J283&lt;0,"Clicks corrected; ",""))</f>
        <v/>
      </c>
    </row>
    <row r="284" customFormat="false" ht="15" hidden="false" customHeight="true" outlineLevel="0" collapsed="false">
      <c r="A284" s="11" t="n">
        <f aca="false">Raw_Data!A284</f>
        <v>1361</v>
      </c>
      <c r="B284" s="11" t="str">
        <f aca="false">PROPER(TRIM(Raw_Data!B284))</f>
        <v>Summer Glow Launch</v>
      </c>
      <c r="C284" s="11" t="str">
        <f aca="false">IFERROR(INDEX(Lookup_Tables!$B$2:$B$26,MATCH(UPPER(TRIM(Raw_Data!C284)),Lookup_Tables!$C$2:$C$26,0)),"Unknown")</f>
        <v>Google Ads</v>
      </c>
      <c r="D284" s="12" t="n">
        <f aca="false">IFERROR(IF(ISNUMBER(SEARCH("/",Raw_Data!D284)),DATE(VALUE(RIGHT(Raw_Data!D284,4)),VALUE(MID(Raw_Data!D284,FIND("/",Raw_Data!D284)+1,FIND("/",Raw_Data!D284,FIND("/",Raw_Data!D284)+1)-FIND("/",Raw_Data!D284)-1)),VALUE(LEFT(Raw_Data!D284,FIND("/",Raw_Data!D284)-1))),IF(ISNUMBER(VALUE(LEFT(Raw_Data!D284,4))),DATE(VALUE(LEFT(Raw_Data!D284,4)),VALUE(MID(Raw_Data!D284,6,2)),VALUE(MID(Raw_Data!D284,9,2))),DATEVALUE(Raw_Data!D284))),"")</f>
        <v>45418</v>
      </c>
      <c r="E284" s="12" t="n">
        <f aca="false">IFERROR(IF(ISNUMBER(SEARCH("/",Raw_Data!E284)),DATE(VALUE(RIGHT(Raw_Data!E284,4)),VALUE(MID(Raw_Data!E284,FIND("/",Raw_Data!E284)+1,FIND("/",Raw_Data!E284,FIND("/",Raw_Data!E284)+1)-FIND("/",Raw_Data!E284)-1)),VALUE(LEFT(Raw_Data!E284,FIND("/",Raw_Data!E284)-1))),IF(ISNUMBER(VALUE(LEFT(Raw_Data!E284,4))),DATE(VALUE(LEFT(Raw_Data!E284,4)),VALUE(MID(Raw_Data!E284,6,2)),VALUE(MID(Raw_Data!E284,9,2))),DATEVALUE(Raw_Data!E284))),"")</f>
        <v>45431</v>
      </c>
      <c r="F284" s="11" t="str">
        <f aca="false">Raw_Data!F284</f>
        <v>Male 45+</v>
      </c>
      <c r="G284" s="11" t="str">
        <f aca="false">IF(TRIM(Raw_Data!G284)="","Unspecified",IFERROR(INDEX(Lookup_Tables!$F$2:$F$24,MATCH(UPPER(TRIM(Raw_Data!G284)),Lookup_Tables!$G$2:$G$24,0)),"Unknown"))</f>
        <v>North</v>
      </c>
      <c r="H284" s="11" t="n">
        <f aca="false">IF(Raw_Data!H284="",ROUND(AVERAGEIFS(Raw_Data!$H$2:$H$839,Raw_Data!$C$2:$C$839,Raw_Data!C284),2),Raw_Data!H284)</f>
        <v>35409.86</v>
      </c>
      <c r="I284" s="11" t="n">
        <f aca="false">Raw_Data!I284</f>
        <v>1164693</v>
      </c>
      <c r="J284" s="11" t="n">
        <f aca="false">IF(Raw_Data!J284&lt;0,ABS(Raw_Data!J284),Raw_Data!J284)</f>
        <v>34522</v>
      </c>
      <c r="K284" s="11" t="n">
        <f aca="false">Raw_Data!K284</f>
        <v>396</v>
      </c>
      <c r="L284" s="11" t="n">
        <f aca="false">IF(Raw_Data!L284="",ROUND(AVERAGEIFS(Raw_Data!$L$2:$L$839,Raw_Data!$C$2:$C$839,Raw_Data!C284),2),Raw_Data!L284)</f>
        <v>693739.52</v>
      </c>
      <c r="M284" s="13" t="n">
        <f aca="false">IFERROR(J284/I284,0)</f>
        <v>0.029640428851208</v>
      </c>
      <c r="N284" s="14" t="n">
        <f aca="false">IFERROR(H284/J284,0)</f>
        <v>1.02571867215109</v>
      </c>
      <c r="O284" s="14" t="n">
        <f aca="false">IFERROR(H284/K284,0)</f>
        <v>89.4188383838384</v>
      </c>
      <c r="P284" s="15" t="n">
        <f aca="false">IFERROR(L284/H284,0)</f>
        <v>19.5917046833848</v>
      </c>
      <c r="Q284" s="13" t="n">
        <f aca="false">IFERROR(K284/J284,0)</f>
        <v>0.0114709460633799</v>
      </c>
      <c r="R284" s="11" t="str">
        <f aca="false">IF(COUNTIF($A$2:A284,A284)&gt;1,"Duplicate - Remove","Unique")</f>
        <v>Unique</v>
      </c>
      <c r="S284" s="11" t="str">
        <f aca="false">TRIM(IF(Raw_Data!G284="","Region missing; ","")&amp;IF(Raw_Data!H284="","Spend imputed; ","")&amp;IF(Raw_Data!L284="","Revenue imputed; ","")&amp;IF(Raw_Data!J284&lt;0,"Clicks corrected; ",""))</f>
        <v/>
      </c>
    </row>
    <row r="285" customFormat="false" ht="15" hidden="false" customHeight="true" outlineLevel="0" collapsed="false">
      <c r="A285" s="11" t="n">
        <f aca="false">Raw_Data!A285</f>
        <v>1071</v>
      </c>
      <c r="B285" s="11" t="str">
        <f aca="false">PROPER(TRIM(Raw_Data!B285))</f>
        <v>Monsoon Skincare Push</v>
      </c>
      <c r="C285" s="11" t="str">
        <f aca="false">IFERROR(INDEX(Lookup_Tables!$B$2:$B$26,MATCH(UPPER(TRIM(Raw_Data!C285)),Lookup_Tables!$C$2:$C$26,0)),"Unknown")</f>
        <v>Google Ads</v>
      </c>
      <c r="D285" s="12" t="n">
        <f aca="false">IFERROR(IF(ISNUMBER(SEARCH("/",Raw_Data!D285)),DATE(VALUE(RIGHT(Raw_Data!D285,4)),VALUE(MID(Raw_Data!D285,FIND("/",Raw_Data!D285)+1,FIND("/",Raw_Data!D285,FIND("/",Raw_Data!D285)+1)-FIND("/",Raw_Data!D285)-1)),VALUE(LEFT(Raw_Data!D285,FIND("/",Raw_Data!D285)-1))),IF(ISNUMBER(VALUE(LEFT(Raw_Data!D285,4))),DATE(VALUE(LEFT(Raw_Data!D285,4)),VALUE(MID(Raw_Data!D285,6,2)),VALUE(MID(Raw_Data!D285,9,2))),DATEVALUE(Raw_Data!D285))),"")</f>
        <v>45528</v>
      </c>
      <c r="E285" s="12" t="n">
        <f aca="false">IFERROR(IF(ISNUMBER(SEARCH("/",Raw_Data!E285)),DATE(VALUE(RIGHT(Raw_Data!E285,4)),VALUE(MID(Raw_Data!E285,FIND("/",Raw_Data!E285)+1,FIND("/",Raw_Data!E285,FIND("/",Raw_Data!E285)+1)-FIND("/",Raw_Data!E285)-1)),VALUE(LEFT(Raw_Data!E285,FIND("/",Raw_Data!E285)-1))),IF(ISNUMBER(VALUE(LEFT(Raw_Data!E285,4))),DATE(VALUE(LEFT(Raw_Data!E285,4)),VALUE(MID(Raw_Data!E285,6,2)),VALUE(MID(Raw_Data!E285,9,2))),DATEVALUE(Raw_Data!E285))),"")</f>
        <v>45551</v>
      </c>
      <c r="F285" s="11" t="str">
        <f aca="false">Raw_Data!F285</f>
        <v>Female 45+</v>
      </c>
      <c r="G285" s="11" t="str">
        <f aca="false">IF(TRIM(Raw_Data!G285)="","Unspecified",IFERROR(INDEX(Lookup_Tables!$F$2:$F$24,MATCH(UPPER(TRIM(Raw_Data!G285)),Lookup_Tables!$G$2:$G$24,0)),"Unknown"))</f>
        <v>North</v>
      </c>
      <c r="H285" s="11" t="n">
        <f aca="false">IF(Raw_Data!H285="",ROUND(AVERAGEIFS(Raw_Data!$H$2:$H$839,Raw_Data!$C$2:$C$839,Raw_Data!C285),2),Raw_Data!H285)</f>
        <v>76796.2</v>
      </c>
      <c r="I285" s="11" t="n">
        <f aca="false">Raw_Data!I285</f>
        <v>2570601</v>
      </c>
      <c r="J285" s="11" t="n">
        <f aca="false">IF(Raw_Data!J285&lt;0,ABS(Raw_Data!J285),Raw_Data!J285)</f>
        <v>16016</v>
      </c>
      <c r="K285" s="11" t="n">
        <f aca="false">Raw_Data!K285</f>
        <v>1179</v>
      </c>
      <c r="L285" s="11" t="n">
        <f aca="false">IF(Raw_Data!L285="",ROUND(AVERAGEIFS(Raw_Data!$L$2:$L$839,Raw_Data!$C$2:$C$839,Raw_Data!C285),2),Raw_Data!L285)</f>
        <v>1389925.69</v>
      </c>
      <c r="M285" s="13" t="n">
        <f aca="false">IFERROR(J285/I285,0)</f>
        <v>0.00623044961081086</v>
      </c>
      <c r="N285" s="14" t="n">
        <f aca="false">IFERROR(H285/J285,0)</f>
        <v>4.79496753246753</v>
      </c>
      <c r="O285" s="14" t="n">
        <f aca="false">IFERROR(H285/K285,0)</f>
        <v>65.1367260390161</v>
      </c>
      <c r="P285" s="15" t="n">
        <f aca="false">IFERROR(L285/H285,0)</f>
        <v>18.0988862730187</v>
      </c>
      <c r="Q285" s="13" t="n">
        <f aca="false">IFERROR(K285/J285,0)</f>
        <v>0.0736138861138861</v>
      </c>
      <c r="R285" s="11" t="str">
        <f aca="false">IF(COUNTIF($A$2:A285,A285)&gt;1,"Duplicate - Remove","Unique")</f>
        <v>Unique</v>
      </c>
      <c r="S285" s="11" t="str">
        <f aca="false">TRIM(IF(Raw_Data!G285="","Region missing; ","")&amp;IF(Raw_Data!H285="","Spend imputed; ","")&amp;IF(Raw_Data!L285="","Revenue imputed; ","")&amp;IF(Raw_Data!J285&lt;0,"Clicks corrected; ",""))</f>
        <v/>
      </c>
    </row>
    <row r="286" customFormat="false" ht="15" hidden="false" customHeight="true" outlineLevel="0" collapsed="false">
      <c r="A286" s="11" t="n">
        <f aca="false">Raw_Data!A286</f>
        <v>1332</v>
      </c>
      <c r="B286" s="11" t="str">
        <f aca="false">PROPER(TRIM(Raw_Data!B286))</f>
        <v>Men'S Grooming Drive</v>
      </c>
      <c r="C286" s="11" t="str">
        <f aca="false">IFERROR(INDEX(Lookup_Tables!$B$2:$B$26,MATCH(UPPER(TRIM(Raw_Data!C286)),Lookup_Tables!$C$2:$C$26,0)),"Unknown")</f>
        <v>Facebook</v>
      </c>
      <c r="D286" s="12" t="n">
        <f aca="false">IFERROR(IF(ISNUMBER(SEARCH("/",Raw_Data!D286)),DATE(VALUE(RIGHT(Raw_Data!D286,4)),VALUE(MID(Raw_Data!D286,FIND("/",Raw_Data!D286)+1,FIND("/",Raw_Data!D286,FIND("/",Raw_Data!D286)+1)-FIND("/",Raw_Data!D286)-1)),VALUE(LEFT(Raw_Data!D286,FIND("/",Raw_Data!D286)-1))),IF(ISNUMBER(VALUE(LEFT(Raw_Data!D286,4))),DATE(VALUE(LEFT(Raw_Data!D286,4)),VALUE(MID(Raw_Data!D286,6,2)),VALUE(MID(Raw_Data!D286,9,2))),DATEVALUE(Raw_Data!D286))),"")</f>
        <v>45371</v>
      </c>
      <c r="E286" s="12" t="n">
        <f aca="false">IFERROR(IF(ISNUMBER(SEARCH("/",Raw_Data!E286)),DATE(VALUE(RIGHT(Raw_Data!E286,4)),VALUE(MID(Raw_Data!E286,FIND("/",Raw_Data!E286)+1,FIND("/",Raw_Data!E286,FIND("/",Raw_Data!E286)+1)-FIND("/",Raw_Data!E286)-1)),VALUE(LEFT(Raw_Data!E286,FIND("/",Raw_Data!E286)-1))),IF(ISNUMBER(VALUE(LEFT(Raw_Data!E286,4))),DATE(VALUE(LEFT(Raw_Data!E286,4)),VALUE(MID(Raw_Data!E286,6,2)),VALUE(MID(Raw_Data!E286,9,2))),DATEVALUE(Raw_Data!E286))),"")</f>
        <v>45376</v>
      </c>
      <c r="F286" s="11" t="str">
        <f aca="false">Raw_Data!F286</f>
        <v>Male 35-44</v>
      </c>
      <c r="G286" s="11" t="str">
        <f aca="false">IF(TRIM(Raw_Data!G286)="","Unspecified",IFERROR(INDEX(Lookup_Tables!$F$2:$F$24,MATCH(UPPER(TRIM(Raw_Data!G286)),Lookup_Tables!$G$2:$G$24,0)),"Unknown"))</f>
        <v>West</v>
      </c>
      <c r="H286" s="11" t="n">
        <f aca="false">IF(Raw_Data!H286="",ROUND(AVERAGEIFS(Raw_Data!$H$2:$H$839,Raw_Data!$C$2:$C$839,Raw_Data!C286),2),Raw_Data!H286)</f>
        <v>30030.41</v>
      </c>
      <c r="I286" s="11" t="n">
        <f aca="false">Raw_Data!I286</f>
        <v>831398</v>
      </c>
      <c r="J286" s="11" t="n">
        <f aca="false">IF(Raw_Data!J286&lt;0,ABS(Raw_Data!J286),Raw_Data!J286)</f>
        <v>20300</v>
      </c>
      <c r="K286" s="11" t="n">
        <f aca="false">Raw_Data!K286</f>
        <v>622</v>
      </c>
      <c r="L286" s="11" t="n">
        <f aca="false">IF(Raw_Data!L286="",ROUND(AVERAGEIFS(Raw_Data!$L$2:$L$839,Raw_Data!$C$2:$C$839,Raw_Data!C286),2),Raw_Data!L286)</f>
        <v>1025782.07</v>
      </c>
      <c r="M286" s="13" t="n">
        <f aca="false">IFERROR(J286/I286,0)</f>
        <v>0.02441670535652</v>
      </c>
      <c r="N286" s="14" t="n">
        <f aca="false">IFERROR(H286/J286,0)</f>
        <v>1.47933054187192</v>
      </c>
      <c r="O286" s="14" t="n">
        <f aca="false">IFERROR(H286/K286,0)</f>
        <v>48.2804019292605</v>
      </c>
      <c r="P286" s="15" t="n">
        <f aca="false">IFERROR(L286/H286,0)</f>
        <v>34.158110728425</v>
      </c>
      <c r="Q286" s="13" t="n">
        <f aca="false">IFERROR(K286/J286,0)</f>
        <v>0.03064039408867</v>
      </c>
      <c r="R286" s="11" t="str">
        <f aca="false">IF(COUNTIF($A$2:A286,A286)&gt;1,"Duplicate - Remove","Unique")</f>
        <v>Unique</v>
      </c>
      <c r="S286" s="11" t="str">
        <f aca="false">TRIM(IF(Raw_Data!G286="","Region missing; ","")&amp;IF(Raw_Data!H286="","Spend imputed; ","")&amp;IF(Raw_Data!L286="","Revenue imputed; ","")&amp;IF(Raw_Data!J286&lt;0,"Clicks corrected; ",""))</f>
        <v/>
      </c>
    </row>
    <row r="287" customFormat="false" ht="15" hidden="false" customHeight="true" outlineLevel="0" collapsed="false">
      <c r="A287" s="11" t="n">
        <f aca="false">Raw_Data!A287</f>
        <v>1125</v>
      </c>
      <c r="B287" s="11" t="str">
        <f aca="false">PROPER(TRIM(Raw_Data!B287))</f>
        <v>Festive Gift Bundle</v>
      </c>
      <c r="C287" s="11" t="str">
        <f aca="false">IFERROR(INDEX(Lookup_Tables!$B$2:$B$26,MATCH(UPPER(TRIM(Raw_Data!C287)),Lookup_Tables!$C$2:$C$26,0)),"Unknown")</f>
        <v>Email</v>
      </c>
      <c r="D287" s="12" t="n">
        <f aca="false">IFERROR(IF(ISNUMBER(SEARCH("/",Raw_Data!D287)),DATE(VALUE(RIGHT(Raw_Data!D287,4)),VALUE(MID(Raw_Data!D287,FIND("/",Raw_Data!D287)+1,FIND("/",Raw_Data!D287,FIND("/",Raw_Data!D287)+1)-FIND("/",Raw_Data!D287)-1)),VALUE(LEFT(Raw_Data!D287,FIND("/",Raw_Data!D287)-1))),IF(ISNUMBER(VALUE(LEFT(Raw_Data!D287,4))),DATE(VALUE(LEFT(Raw_Data!D287,4)),VALUE(MID(Raw_Data!D287,6,2)),VALUE(MID(Raw_Data!D287,9,2))),DATEVALUE(Raw_Data!D287))),"")</f>
        <v>45329</v>
      </c>
      <c r="E287" s="12" t="n">
        <f aca="false">IFERROR(IF(ISNUMBER(SEARCH("/",Raw_Data!E287)),DATE(VALUE(RIGHT(Raw_Data!E287,4)),VALUE(MID(Raw_Data!E287,FIND("/",Raw_Data!E287)+1,FIND("/",Raw_Data!E287,FIND("/",Raw_Data!E287)+1)-FIND("/",Raw_Data!E287)-1)),VALUE(LEFT(Raw_Data!E287,FIND("/",Raw_Data!E287)-1))),IF(ISNUMBER(VALUE(LEFT(Raw_Data!E287,4))),DATE(VALUE(LEFT(Raw_Data!E287,4)),VALUE(MID(Raw_Data!E287,6,2)),VALUE(MID(Raw_Data!E287,9,2))),DATEVALUE(Raw_Data!E287))),"")</f>
        <v>45336</v>
      </c>
      <c r="F287" s="11" t="str">
        <f aca="false">Raw_Data!F287</f>
        <v>Male 18-24</v>
      </c>
      <c r="G287" s="11" t="str">
        <f aca="false">IF(TRIM(Raw_Data!G287)="","Unspecified",IFERROR(INDEX(Lookup_Tables!$F$2:$F$24,MATCH(UPPER(TRIM(Raw_Data!G287)),Lookup_Tables!$G$2:$G$24,0)),"Unknown"))</f>
        <v>North</v>
      </c>
      <c r="H287" s="11" t="n">
        <f aca="false">IF(Raw_Data!H287="",ROUND(AVERAGEIFS(Raw_Data!$H$2:$H$839,Raw_Data!$C$2:$C$839,Raw_Data!C287),2),Raw_Data!H287)</f>
        <v>4466.26</v>
      </c>
      <c r="I287" s="11" t="n">
        <f aca="false">Raw_Data!I287</f>
        <v>68192</v>
      </c>
      <c r="J287" s="11" t="n">
        <f aca="false">IF(Raw_Data!J287&lt;0,ABS(Raw_Data!J287),Raw_Data!J287)</f>
        <v>1637</v>
      </c>
      <c r="K287" s="11" t="n">
        <f aca="false">Raw_Data!K287</f>
        <v>101</v>
      </c>
      <c r="L287" s="11" t="n">
        <f aca="false">IF(Raw_Data!L287="",ROUND(AVERAGEIFS(Raw_Data!$L$2:$L$839,Raw_Data!$C$2:$C$839,Raw_Data!C287),2),Raw_Data!L287)</f>
        <v>81727.53</v>
      </c>
      <c r="M287" s="13" t="n">
        <f aca="false">IFERROR(J287/I287,0)</f>
        <v>0.0240057484748944</v>
      </c>
      <c r="N287" s="14" t="n">
        <f aca="false">IFERROR(H287/J287,0)</f>
        <v>2.72832009773977</v>
      </c>
      <c r="O287" s="14" t="n">
        <f aca="false">IFERROR(H287/K287,0)</f>
        <v>44.220396039604</v>
      </c>
      <c r="P287" s="15" t="n">
        <f aca="false">IFERROR(L287/H287,0)</f>
        <v>18.2988742258624</v>
      </c>
      <c r="Q287" s="13" t="n">
        <f aca="false">IFERROR(K287/J287,0)</f>
        <v>0.0616982284667074</v>
      </c>
      <c r="R287" s="11" t="str">
        <f aca="false">IF(COUNTIF($A$2:A287,A287)&gt;1,"Duplicate - Remove","Unique")</f>
        <v>Unique</v>
      </c>
      <c r="S287" s="11" t="str">
        <f aca="false">TRIM(IF(Raw_Data!G287="","Region missing; ","")&amp;IF(Raw_Data!H287="","Spend imputed; ","")&amp;IF(Raw_Data!L287="","Revenue imputed; ","")&amp;IF(Raw_Data!J287&lt;0,"Clicks corrected; ",""))</f>
        <v>Spend imputed;</v>
      </c>
    </row>
    <row r="288" customFormat="false" ht="15" hidden="false" customHeight="true" outlineLevel="0" collapsed="false">
      <c r="A288" s="11" t="n">
        <f aca="false">Raw_Data!A288</f>
        <v>1186</v>
      </c>
      <c r="B288" s="11" t="str">
        <f aca="false">PROPER(TRIM(Raw_Data!B288))</f>
        <v>Herbal Range Awareness</v>
      </c>
      <c r="C288" s="11" t="str">
        <f aca="false">IFERROR(INDEX(Lookup_Tables!$B$2:$B$26,MATCH(UPPER(TRIM(Raw_Data!C288)),Lookup_Tables!$C$2:$C$26,0)),"Unknown")</f>
        <v>Instagram</v>
      </c>
      <c r="D288" s="12" t="n">
        <f aca="false">IFERROR(IF(ISNUMBER(SEARCH("/",Raw_Data!D288)),DATE(VALUE(RIGHT(Raw_Data!D288,4)),VALUE(MID(Raw_Data!D288,FIND("/",Raw_Data!D288)+1,FIND("/",Raw_Data!D288,FIND("/",Raw_Data!D288)+1)-FIND("/",Raw_Data!D288)-1)),VALUE(LEFT(Raw_Data!D288,FIND("/",Raw_Data!D288)-1))),IF(ISNUMBER(VALUE(LEFT(Raw_Data!D288,4))),DATE(VALUE(LEFT(Raw_Data!D288,4)),VALUE(MID(Raw_Data!D288,6,2)),VALUE(MID(Raw_Data!D288,9,2))),DATEVALUE(Raw_Data!D288))),"")</f>
        <v>45529</v>
      </c>
      <c r="E288" s="12" t="n">
        <f aca="false">IFERROR(IF(ISNUMBER(SEARCH("/",Raw_Data!E288)),DATE(VALUE(RIGHT(Raw_Data!E288,4)),VALUE(MID(Raw_Data!E288,FIND("/",Raw_Data!E288)+1,FIND("/",Raw_Data!E288,FIND("/",Raw_Data!E288)+1)-FIND("/",Raw_Data!E288)-1)),VALUE(LEFT(Raw_Data!E288,FIND("/",Raw_Data!E288)-1))),IF(ISNUMBER(VALUE(LEFT(Raw_Data!E288,4))),DATE(VALUE(LEFT(Raw_Data!E288,4)),VALUE(MID(Raw_Data!E288,6,2)),VALUE(MID(Raw_Data!E288,9,2))),DATEVALUE(Raw_Data!E288))),"")</f>
        <v>45537</v>
      </c>
      <c r="F288" s="11" t="str">
        <f aca="false">Raw_Data!F288</f>
        <v>Male 25-34</v>
      </c>
      <c r="G288" s="11" t="str">
        <f aca="false">IF(TRIM(Raw_Data!G288)="","Unspecified",IFERROR(INDEX(Lookup_Tables!$F$2:$F$24,MATCH(UPPER(TRIM(Raw_Data!G288)),Lookup_Tables!$G$2:$G$24,0)),"Unknown"))</f>
        <v>West</v>
      </c>
      <c r="H288" s="11" t="n">
        <f aca="false">IF(Raw_Data!H288="",ROUND(AVERAGEIFS(Raw_Data!$H$2:$H$839,Raw_Data!$C$2:$C$839,Raw_Data!C288),2),Raw_Data!H288)</f>
        <v>10791.2</v>
      </c>
      <c r="I288" s="11" t="n">
        <f aca="false">Raw_Data!I288</f>
        <v>333015</v>
      </c>
      <c r="J288" s="11" t="n">
        <f aca="false">IF(Raw_Data!J288&lt;0,ABS(Raw_Data!J288),Raw_Data!J288)</f>
        <v>7462</v>
      </c>
      <c r="K288" s="11" t="n">
        <f aca="false">Raw_Data!K288</f>
        <v>398</v>
      </c>
      <c r="L288" s="11" t="n">
        <f aca="false">IF(Raw_Data!L288="",ROUND(AVERAGEIFS(Raw_Data!$L$2:$L$839,Raw_Data!$C$2:$C$839,Raw_Data!C288),2),Raw_Data!L288)</f>
        <v>411817.98</v>
      </c>
      <c r="M288" s="13" t="n">
        <f aca="false">IFERROR(J288/I288,0)</f>
        <v>0.0224073990661081</v>
      </c>
      <c r="N288" s="14" t="n">
        <f aca="false">IFERROR(H288/J288,0)</f>
        <v>1.44615384615385</v>
      </c>
      <c r="O288" s="14" t="n">
        <f aca="false">IFERROR(H288/K288,0)</f>
        <v>27.113567839196</v>
      </c>
      <c r="P288" s="15" t="n">
        <f aca="false">IFERROR(L288/H288,0)</f>
        <v>38.1623897249611</v>
      </c>
      <c r="Q288" s="13" t="n">
        <f aca="false">IFERROR(K288/J288,0)</f>
        <v>0.0533369069954436</v>
      </c>
      <c r="R288" s="11" t="str">
        <f aca="false">IF(COUNTIF($A$2:A288,A288)&gt;1,"Duplicate - Remove","Unique")</f>
        <v>Unique</v>
      </c>
      <c r="S288" s="11" t="str">
        <f aca="false">TRIM(IF(Raw_Data!G288="","Region missing; ","")&amp;IF(Raw_Data!H288="","Spend imputed; ","")&amp;IF(Raw_Data!L288="","Revenue imputed; ","")&amp;IF(Raw_Data!J288&lt;0,"Clicks corrected; ",""))</f>
        <v/>
      </c>
    </row>
    <row r="289" customFormat="false" ht="15" hidden="false" customHeight="true" outlineLevel="0" collapsed="false">
      <c r="A289" s="11" t="n">
        <f aca="false">Raw_Data!A289</f>
        <v>1167</v>
      </c>
      <c r="B289" s="11" t="str">
        <f aca="false">PROPER(TRIM(Raw_Data!B289))</f>
        <v>Influencer Collab - Skincare</v>
      </c>
      <c r="C289" s="11" t="str">
        <f aca="false">IFERROR(INDEX(Lookup_Tables!$B$2:$B$26,MATCH(UPPER(TRIM(Raw_Data!C289)),Lookup_Tables!$C$2:$C$26,0)),"Unknown")</f>
        <v>YouTube</v>
      </c>
      <c r="D289" s="12" t="n">
        <f aca="false">IFERROR(IF(ISNUMBER(SEARCH("/",Raw_Data!D289)),DATE(VALUE(RIGHT(Raw_Data!D289,4)),VALUE(MID(Raw_Data!D289,FIND("/",Raw_Data!D289)+1,FIND("/",Raw_Data!D289,FIND("/",Raw_Data!D289)+1)-FIND("/",Raw_Data!D289)-1)),VALUE(LEFT(Raw_Data!D289,FIND("/",Raw_Data!D289)-1))),IF(ISNUMBER(VALUE(LEFT(Raw_Data!D289,4))),DATE(VALUE(LEFT(Raw_Data!D289,4)),VALUE(MID(Raw_Data!D289,6,2)),VALUE(MID(Raw_Data!D289,9,2))),DATEVALUE(Raw_Data!D289))),"")</f>
        <v>45357</v>
      </c>
      <c r="E289" s="12" t="n">
        <f aca="false">IFERROR(IF(ISNUMBER(SEARCH("/",Raw_Data!E289)),DATE(VALUE(RIGHT(Raw_Data!E289,4)),VALUE(MID(Raw_Data!E289,FIND("/",Raw_Data!E289)+1,FIND("/",Raw_Data!E289,FIND("/",Raw_Data!E289)+1)-FIND("/",Raw_Data!E289)-1)),VALUE(LEFT(Raw_Data!E289,FIND("/",Raw_Data!E289)-1))),IF(ISNUMBER(VALUE(LEFT(Raw_Data!E289,4))),DATE(VALUE(LEFT(Raw_Data!E289,4)),VALUE(MID(Raw_Data!E289,6,2)),VALUE(MID(Raw_Data!E289,9,2))),DATEVALUE(Raw_Data!E289))),"")</f>
        <v>45367</v>
      </c>
      <c r="F289" s="11" t="str">
        <f aca="false">Raw_Data!F289</f>
        <v>Male 25-34</v>
      </c>
      <c r="G289" s="11" t="str">
        <f aca="false">IF(TRIM(Raw_Data!G289)="","Unspecified",IFERROR(INDEX(Lookup_Tables!$F$2:$F$24,MATCH(UPPER(TRIM(Raw_Data!G289)),Lookup_Tables!$G$2:$G$24,0)),"Unknown"))</f>
        <v>South</v>
      </c>
      <c r="H289" s="11" t="n">
        <f aca="false">IF(Raw_Data!H289="",ROUND(AVERAGEIFS(Raw_Data!$H$2:$H$839,Raw_Data!$C$2:$C$839,Raw_Data!C289),2),Raw_Data!H289)</f>
        <v>15134.84</v>
      </c>
      <c r="I289" s="11" t="n">
        <f aca="false">Raw_Data!I289</f>
        <v>492642</v>
      </c>
      <c r="J289" s="11" t="n">
        <f aca="false">IF(Raw_Data!J289&lt;0,ABS(Raw_Data!J289),Raw_Data!J289)</f>
        <v>10929</v>
      </c>
      <c r="K289" s="11" t="n">
        <f aca="false">Raw_Data!K289</f>
        <v>760</v>
      </c>
      <c r="L289" s="11" t="n">
        <f aca="false">IF(Raw_Data!L289="",ROUND(AVERAGEIFS(Raw_Data!$L$2:$L$839,Raw_Data!$C$2:$C$839,Raw_Data!C289),2),Raw_Data!L289)</f>
        <v>1115455.09</v>
      </c>
      <c r="M289" s="13" t="n">
        <f aca="false">IFERROR(J289/I289,0)</f>
        <v>0.0221844666106422</v>
      </c>
      <c r="N289" s="14" t="n">
        <f aca="false">IFERROR(H289/J289,0)</f>
        <v>1.38483301308445</v>
      </c>
      <c r="O289" s="14" t="n">
        <f aca="false">IFERROR(H289/K289,0)</f>
        <v>19.9142631578947</v>
      </c>
      <c r="P289" s="15" t="n">
        <f aca="false">IFERROR(L289/H289,0)</f>
        <v>73.7011484759667</v>
      </c>
      <c r="Q289" s="13" t="n">
        <f aca="false">IFERROR(K289/J289,0)</f>
        <v>0.0695397566108519</v>
      </c>
      <c r="R289" s="11" t="str">
        <f aca="false">IF(COUNTIF($A$2:A289,A289)&gt;1,"Duplicate - Remove","Unique")</f>
        <v>Unique</v>
      </c>
      <c r="S289" s="11" t="str">
        <f aca="false">TRIM(IF(Raw_Data!G289="","Region missing; ","")&amp;IF(Raw_Data!H289="","Spend imputed; ","")&amp;IF(Raw_Data!L289="","Revenue imputed; ","")&amp;IF(Raw_Data!J289&lt;0,"Clicks corrected; ",""))</f>
        <v/>
      </c>
    </row>
    <row r="290" customFormat="false" ht="15" hidden="false" customHeight="true" outlineLevel="0" collapsed="false">
      <c r="A290" s="11" t="n">
        <f aca="false">Raw_Data!A290</f>
        <v>1113</v>
      </c>
      <c r="B290" s="11" t="str">
        <f aca="false">PROPER(TRIM(Raw_Data!B290))</f>
        <v>Baby Care Trust Campaign</v>
      </c>
      <c r="C290" s="11" t="str">
        <f aca="false">IFERROR(INDEX(Lookup_Tables!$B$2:$B$26,MATCH(UPPER(TRIM(Raw_Data!C290)),Lookup_Tables!$C$2:$C$26,0)),"Unknown")</f>
        <v>YouTube</v>
      </c>
      <c r="D290" s="12" t="n">
        <f aca="false">IFERROR(IF(ISNUMBER(SEARCH("/",Raw_Data!D290)),DATE(VALUE(RIGHT(Raw_Data!D290,4)),VALUE(MID(Raw_Data!D290,FIND("/",Raw_Data!D290)+1,FIND("/",Raw_Data!D290,FIND("/",Raw_Data!D290)+1)-FIND("/",Raw_Data!D290)-1)),VALUE(LEFT(Raw_Data!D290,FIND("/",Raw_Data!D290)-1))),IF(ISNUMBER(VALUE(LEFT(Raw_Data!D290,4))),DATE(VALUE(LEFT(Raw_Data!D290,4)),VALUE(MID(Raw_Data!D290,6,2)),VALUE(MID(Raw_Data!D290,9,2))),DATEVALUE(Raw_Data!D290))),"")</f>
        <v>45558</v>
      </c>
      <c r="E290" s="12" t="n">
        <f aca="false">IFERROR(IF(ISNUMBER(SEARCH("/",Raw_Data!E290)),DATE(VALUE(RIGHT(Raw_Data!E290,4)),VALUE(MID(Raw_Data!E290,FIND("/",Raw_Data!E290)+1,FIND("/",Raw_Data!E290,FIND("/",Raw_Data!E290)+1)-FIND("/",Raw_Data!E290)-1)),VALUE(LEFT(Raw_Data!E290,FIND("/",Raw_Data!E290)-1))),IF(ISNUMBER(VALUE(LEFT(Raw_Data!E290,4))),DATE(VALUE(LEFT(Raw_Data!E290,4)),VALUE(MID(Raw_Data!E290,6,2)),VALUE(MID(Raw_Data!E290,9,2))),DATEVALUE(Raw_Data!E290))),"")</f>
        <v>45570</v>
      </c>
      <c r="F290" s="11" t="str">
        <f aca="false">Raw_Data!F290</f>
        <v>Female 35-44</v>
      </c>
      <c r="G290" s="11" t="str">
        <f aca="false">IF(TRIM(Raw_Data!G290)="","Unspecified",IFERROR(INDEX(Lookup_Tables!$F$2:$F$24,MATCH(UPPER(TRIM(Raw_Data!G290)),Lookup_Tables!$G$2:$G$24,0)),"Unknown"))</f>
        <v>East</v>
      </c>
      <c r="H290" s="11" t="n">
        <f aca="false">IF(Raw_Data!H290="",ROUND(AVERAGEIFS(Raw_Data!$H$2:$H$839,Raw_Data!$C$2:$C$839,Raw_Data!C290),2),Raw_Data!H290)</f>
        <v>37537.57</v>
      </c>
      <c r="I290" s="11" t="n">
        <f aca="false">Raw_Data!I290</f>
        <v>620268</v>
      </c>
      <c r="J290" s="11" t="n">
        <f aca="false">IF(Raw_Data!J290&lt;0,ABS(Raw_Data!J290),Raw_Data!J290)</f>
        <v>20751</v>
      </c>
      <c r="K290" s="11" t="n">
        <f aca="false">Raw_Data!K290</f>
        <v>1485</v>
      </c>
      <c r="L290" s="11" t="n">
        <f aca="false">IF(Raw_Data!L290="",ROUND(AVERAGEIFS(Raw_Data!$L$2:$L$839,Raw_Data!$C$2:$C$839,Raw_Data!C290),2),Raw_Data!L290)</f>
        <v>2482604.61</v>
      </c>
      <c r="M290" s="13" t="n">
        <f aca="false">IFERROR(J290/I290,0)</f>
        <v>0.0334548936911142</v>
      </c>
      <c r="N290" s="14" t="n">
        <f aca="false">IFERROR(H290/J290,0)</f>
        <v>1.80895233964628</v>
      </c>
      <c r="O290" s="14" t="n">
        <f aca="false">IFERROR(H290/K290,0)</f>
        <v>25.2778249158249</v>
      </c>
      <c r="P290" s="15" t="n">
        <f aca="false">IFERROR(L290/H290,0)</f>
        <v>66.1365296155292</v>
      </c>
      <c r="Q290" s="13" t="n">
        <f aca="false">IFERROR(K290/J290,0)</f>
        <v>0.0715628162498193</v>
      </c>
      <c r="R290" s="11" t="str">
        <f aca="false">IF(COUNTIF($A$2:A290,A290)&gt;1,"Duplicate - Remove","Unique")</f>
        <v>Unique</v>
      </c>
      <c r="S290" s="11" t="str">
        <f aca="false">TRIM(IF(Raw_Data!G290="","Region missing; ","")&amp;IF(Raw_Data!H290="","Spend imputed; ","")&amp;IF(Raw_Data!L290="","Revenue imputed; ","")&amp;IF(Raw_Data!J290&lt;0,"Clicks corrected; ",""))</f>
        <v/>
      </c>
    </row>
    <row r="291" customFormat="false" ht="15" hidden="false" customHeight="true" outlineLevel="0" collapsed="false">
      <c r="A291" s="11" t="n">
        <f aca="false">Raw_Data!A291</f>
        <v>1460</v>
      </c>
      <c r="B291" s="11" t="str">
        <f aca="false">PROPER(TRIM(Raw_Data!B291))</f>
        <v>Baby Care Trust Campaign</v>
      </c>
      <c r="C291" s="11" t="str">
        <f aca="false">IFERROR(INDEX(Lookup_Tables!$B$2:$B$26,MATCH(UPPER(TRIM(Raw_Data!C291)),Lookup_Tables!$C$2:$C$26,0)),"Unknown")</f>
        <v>Email</v>
      </c>
      <c r="D291" s="12" t="n">
        <f aca="false">IFERROR(IF(ISNUMBER(SEARCH("/",Raw_Data!D291)),DATE(VALUE(RIGHT(Raw_Data!D291,4)),VALUE(MID(Raw_Data!D291,FIND("/",Raw_Data!D291)+1,FIND("/",Raw_Data!D291,FIND("/",Raw_Data!D291)+1)-FIND("/",Raw_Data!D291)-1)),VALUE(LEFT(Raw_Data!D291,FIND("/",Raw_Data!D291)-1))),IF(ISNUMBER(VALUE(LEFT(Raw_Data!D291,4))),DATE(VALUE(LEFT(Raw_Data!D291,4)),VALUE(MID(Raw_Data!D291,6,2)),VALUE(MID(Raw_Data!D291,9,2))),DATEVALUE(Raw_Data!D291))),"")</f>
        <v>45432</v>
      </c>
      <c r="E291" s="12" t="n">
        <f aca="false">IFERROR(IF(ISNUMBER(SEARCH("/",Raw_Data!E291)),DATE(VALUE(RIGHT(Raw_Data!E291,4)),VALUE(MID(Raw_Data!E291,FIND("/",Raw_Data!E291)+1,FIND("/",Raw_Data!E291,FIND("/",Raw_Data!E291)+1)-FIND("/",Raw_Data!E291)-1)),VALUE(LEFT(Raw_Data!E291,FIND("/",Raw_Data!E291)-1))),IF(ISNUMBER(VALUE(LEFT(Raw_Data!E291,4))),DATE(VALUE(LEFT(Raw_Data!E291,4)),VALUE(MID(Raw_Data!E291,6,2)),VALUE(MID(Raw_Data!E291,9,2))),DATEVALUE(Raw_Data!E291))),"")</f>
        <v>45459</v>
      </c>
      <c r="F291" s="11" t="str">
        <f aca="false">Raw_Data!F291</f>
        <v>Female 25-34</v>
      </c>
      <c r="G291" s="11" t="str">
        <f aca="false">IF(TRIM(Raw_Data!G291)="","Unspecified",IFERROR(INDEX(Lookup_Tables!$F$2:$F$24,MATCH(UPPER(TRIM(Raw_Data!G291)),Lookup_Tables!$G$2:$G$24,0)),"Unknown"))</f>
        <v>North</v>
      </c>
      <c r="H291" s="11" t="n">
        <f aca="false">IF(Raw_Data!H291="",ROUND(AVERAGEIFS(Raw_Data!$H$2:$H$839,Raw_Data!$C$2:$C$839,Raw_Data!C291),2),Raw_Data!H291)</f>
        <v>4347.98</v>
      </c>
      <c r="I291" s="11" t="n">
        <f aca="false">Raw_Data!I291</f>
        <v>155297</v>
      </c>
      <c r="J291" s="11" t="n">
        <f aca="false">IF(Raw_Data!J291&lt;0,ABS(Raw_Data!J291),Raw_Data!J291)</f>
        <v>3082</v>
      </c>
      <c r="K291" s="11" t="n">
        <f aca="false">Raw_Data!K291</f>
        <v>182</v>
      </c>
      <c r="L291" s="11" t="n">
        <f aca="false">IF(Raw_Data!L291="",ROUND(AVERAGEIFS(Raw_Data!$L$2:$L$839,Raw_Data!$C$2:$C$839,Raw_Data!C291),2),Raw_Data!L291)</f>
        <v>163113.41</v>
      </c>
      <c r="M291" s="13" t="n">
        <f aca="false">IFERROR(J291/I291,0)</f>
        <v>0.019845843770324</v>
      </c>
      <c r="N291" s="14" t="n">
        <f aca="false">IFERROR(H291/J291,0)</f>
        <v>1.41076573653472</v>
      </c>
      <c r="O291" s="14" t="n">
        <f aca="false">IFERROR(H291/K291,0)</f>
        <v>23.89</v>
      </c>
      <c r="P291" s="15" t="n">
        <f aca="false">IFERROR(L291/H291,0)</f>
        <v>37.5147562776278</v>
      </c>
      <c r="Q291" s="13" t="n">
        <f aca="false">IFERROR(K291/J291,0)</f>
        <v>0.0590525632706035</v>
      </c>
      <c r="R291" s="11" t="str">
        <f aca="false">IF(COUNTIF($A$2:A291,A291)&gt;1,"Duplicate - Remove","Unique")</f>
        <v>Unique</v>
      </c>
      <c r="S291" s="11" t="str">
        <f aca="false">TRIM(IF(Raw_Data!G291="","Region missing; ","")&amp;IF(Raw_Data!H291="","Spend imputed; ","")&amp;IF(Raw_Data!L291="","Revenue imputed; ","")&amp;IF(Raw_Data!J291&lt;0,"Clicks corrected; ",""))</f>
        <v/>
      </c>
    </row>
    <row r="292" customFormat="false" ht="15" hidden="false" customHeight="true" outlineLevel="0" collapsed="false">
      <c r="A292" s="11" t="n">
        <f aca="false">Raw_Data!A292</f>
        <v>1117</v>
      </c>
      <c r="B292" s="11" t="str">
        <f aca="false">PROPER(TRIM(Raw_Data!B292))</f>
        <v>Hair Care Revamp</v>
      </c>
      <c r="C292" s="11" t="str">
        <f aca="false">IFERROR(INDEX(Lookup_Tables!$B$2:$B$26,MATCH(UPPER(TRIM(Raw_Data!C292)),Lookup_Tables!$C$2:$C$26,0)),"Unknown")</f>
        <v>Google Ads</v>
      </c>
      <c r="D292" s="12" t="n">
        <f aca="false">IFERROR(IF(ISNUMBER(SEARCH("/",Raw_Data!D292)),DATE(VALUE(RIGHT(Raw_Data!D292,4)),VALUE(MID(Raw_Data!D292,FIND("/",Raw_Data!D292)+1,FIND("/",Raw_Data!D292,FIND("/",Raw_Data!D292)+1)-FIND("/",Raw_Data!D292)-1)),VALUE(LEFT(Raw_Data!D292,FIND("/",Raw_Data!D292)-1))),IF(ISNUMBER(VALUE(LEFT(Raw_Data!D292,4))),DATE(VALUE(LEFT(Raw_Data!D292,4)),VALUE(MID(Raw_Data!D292,6,2)),VALUE(MID(Raw_Data!D292,9,2))),DATEVALUE(Raw_Data!D292))),"")</f>
        <v>45452</v>
      </c>
      <c r="E292" s="12" t="n">
        <f aca="false">IFERROR(IF(ISNUMBER(SEARCH("/",Raw_Data!E292)),DATE(VALUE(RIGHT(Raw_Data!E292,4)),VALUE(MID(Raw_Data!E292,FIND("/",Raw_Data!E292)+1,FIND("/",Raw_Data!E292,FIND("/",Raw_Data!E292)+1)-FIND("/",Raw_Data!E292)-1)),VALUE(LEFT(Raw_Data!E292,FIND("/",Raw_Data!E292)-1))),IF(ISNUMBER(VALUE(LEFT(Raw_Data!E292,4))),DATE(VALUE(LEFT(Raw_Data!E292,4)),VALUE(MID(Raw_Data!E292,6,2)),VALUE(MID(Raw_Data!E292,9,2))),DATEVALUE(Raw_Data!E292))),"")</f>
        <v>45470</v>
      </c>
      <c r="F292" s="11" t="str">
        <f aca="false">Raw_Data!F292</f>
        <v>Male 35-44</v>
      </c>
      <c r="G292" s="11" t="str">
        <f aca="false">IF(TRIM(Raw_Data!G292)="","Unspecified",IFERROR(INDEX(Lookup_Tables!$F$2:$F$24,MATCH(UPPER(TRIM(Raw_Data!G292)),Lookup_Tables!$G$2:$G$24,0)),"Unknown"))</f>
        <v>West</v>
      </c>
      <c r="H292" s="11" t="n">
        <f aca="false">IF(Raw_Data!H292="",ROUND(AVERAGEIFS(Raw_Data!$H$2:$H$839,Raw_Data!$C$2:$C$839,Raw_Data!C292),2),Raw_Data!H292)</f>
        <v>49376.73</v>
      </c>
      <c r="I292" s="11" t="n">
        <f aca="false">Raw_Data!I292</f>
        <v>1013795</v>
      </c>
      <c r="J292" s="11" t="n">
        <f aca="false">IF(Raw_Data!J292&lt;0,ABS(Raw_Data!J292),Raw_Data!J292)</f>
        <v>9507</v>
      </c>
      <c r="K292" s="11" t="n">
        <f aca="false">Raw_Data!K292</f>
        <v>268</v>
      </c>
      <c r="L292" s="11" t="n">
        <f aca="false">IF(Raw_Data!L292="",ROUND(AVERAGEIFS(Raw_Data!$L$2:$L$839,Raw_Data!$C$2:$C$839,Raw_Data!C292),2),Raw_Data!L292)</f>
        <v>457047.06</v>
      </c>
      <c r="M292" s="13" t="n">
        <f aca="false">IFERROR(J292/I292,0)</f>
        <v>0.00937763551802879</v>
      </c>
      <c r="N292" s="14" t="n">
        <f aca="false">IFERROR(H292/J292,0)</f>
        <v>5.19372357210477</v>
      </c>
      <c r="O292" s="14" t="n">
        <f aca="false">IFERROR(H292/K292,0)</f>
        <v>184.241529850746</v>
      </c>
      <c r="P292" s="15" t="n">
        <f aca="false">IFERROR(L292/H292,0)</f>
        <v>9.25632499357491</v>
      </c>
      <c r="Q292" s="13" t="n">
        <f aca="false">IFERROR(K292/J292,0)</f>
        <v>0.0281897549174293</v>
      </c>
      <c r="R292" s="11" t="str">
        <f aca="false">IF(COUNTIF($A$2:A292,A292)&gt;1,"Duplicate - Remove","Unique")</f>
        <v>Unique</v>
      </c>
      <c r="S292" s="11" t="str">
        <f aca="false">TRIM(IF(Raw_Data!G292="","Region missing; ","")&amp;IF(Raw_Data!H292="","Spend imputed; ","")&amp;IF(Raw_Data!L292="","Revenue imputed; ","")&amp;IF(Raw_Data!J292&lt;0,"Clicks corrected; ",""))</f>
        <v/>
      </c>
    </row>
    <row r="293" customFormat="false" ht="15" hidden="false" customHeight="true" outlineLevel="0" collapsed="false">
      <c r="A293" s="11" t="n">
        <f aca="false">Raw_Data!A293</f>
        <v>1791</v>
      </c>
      <c r="B293" s="11" t="str">
        <f aca="false">PROPER(TRIM(Raw_Data!B293))</f>
        <v>Wedding Season Special</v>
      </c>
      <c r="C293" s="11" t="str">
        <f aca="false">IFERROR(INDEX(Lookup_Tables!$B$2:$B$26,MATCH(UPPER(TRIM(Raw_Data!C293)),Lookup_Tables!$C$2:$C$26,0)),"Unknown")</f>
        <v>YouTube</v>
      </c>
      <c r="D293" s="12" t="n">
        <f aca="false">IFERROR(IF(ISNUMBER(SEARCH("/",Raw_Data!D293)),DATE(VALUE(RIGHT(Raw_Data!D293,4)),VALUE(MID(Raw_Data!D293,FIND("/",Raw_Data!D293)+1,FIND("/",Raw_Data!D293,FIND("/",Raw_Data!D293)+1)-FIND("/",Raw_Data!D293)-1)),VALUE(LEFT(Raw_Data!D293,FIND("/",Raw_Data!D293)-1))),IF(ISNUMBER(VALUE(LEFT(Raw_Data!D293,4))),DATE(VALUE(LEFT(Raw_Data!D293,4)),VALUE(MID(Raw_Data!D293,6,2)),VALUE(MID(Raw_Data!D293,9,2))),DATEVALUE(Raw_Data!D293))),"")</f>
        <v>45409</v>
      </c>
      <c r="E293" s="12" t="n">
        <f aca="false">IFERROR(IF(ISNUMBER(SEARCH("/",Raw_Data!E293)),DATE(VALUE(RIGHT(Raw_Data!E293,4)),VALUE(MID(Raw_Data!E293,FIND("/",Raw_Data!E293)+1,FIND("/",Raw_Data!E293,FIND("/",Raw_Data!E293)+1)-FIND("/",Raw_Data!E293)-1)),VALUE(LEFT(Raw_Data!E293,FIND("/",Raw_Data!E293)-1))),IF(ISNUMBER(VALUE(LEFT(Raw_Data!E293,4))),DATE(VALUE(LEFT(Raw_Data!E293,4)),VALUE(MID(Raw_Data!E293,6,2)),VALUE(MID(Raw_Data!E293,9,2))),DATEVALUE(Raw_Data!E293))),"")</f>
        <v>45435</v>
      </c>
      <c r="F293" s="11" t="str">
        <f aca="false">Raw_Data!F293</f>
        <v>Female 18-24</v>
      </c>
      <c r="G293" s="11" t="str">
        <f aca="false">IF(TRIM(Raw_Data!G293)="","Unspecified",IFERROR(INDEX(Lookup_Tables!$F$2:$F$24,MATCH(UPPER(TRIM(Raw_Data!G293)),Lookup_Tables!$G$2:$G$24,0)),"Unknown"))</f>
        <v>West</v>
      </c>
      <c r="H293" s="11" t="n">
        <f aca="false">IF(Raw_Data!H293="",ROUND(AVERAGEIFS(Raw_Data!$H$2:$H$839,Raw_Data!$C$2:$C$839,Raw_Data!C293),2),Raw_Data!H293)</f>
        <v>34060.64</v>
      </c>
      <c r="I293" s="11" t="n">
        <f aca="false">Raw_Data!I293</f>
        <v>736872</v>
      </c>
      <c r="J293" s="11" t="n">
        <f aca="false">IF(Raw_Data!J293&lt;0,ABS(Raw_Data!J293),Raw_Data!J293)</f>
        <v>15417</v>
      </c>
      <c r="K293" s="11" t="n">
        <f aca="false">Raw_Data!K293</f>
        <v>197</v>
      </c>
      <c r="L293" s="11" t="n">
        <f aca="false">IF(Raw_Data!L293="",ROUND(AVERAGEIFS(Raw_Data!$L$2:$L$839,Raw_Data!$C$2:$C$839,Raw_Data!C293),2),Raw_Data!L293)</f>
        <v>340891.25</v>
      </c>
      <c r="M293" s="13" t="n">
        <f aca="false">IFERROR(J293/I293,0)</f>
        <v>0.0209222225841123</v>
      </c>
      <c r="N293" s="14" t="n">
        <f aca="false">IFERROR(H293/J293,0)</f>
        <v>2.20929104235584</v>
      </c>
      <c r="O293" s="14" t="n">
        <f aca="false">IFERROR(H293/K293,0)</f>
        <v>172.896649746193</v>
      </c>
      <c r="P293" s="15" t="n">
        <f aca="false">IFERROR(L293/H293,0)</f>
        <v>10.0083630254746</v>
      </c>
      <c r="Q293" s="13" t="n">
        <f aca="false">IFERROR(K293/J293,0)</f>
        <v>0.0127781020950898</v>
      </c>
      <c r="R293" s="11" t="str">
        <f aca="false">IF(COUNTIF($A$2:A293,A293)&gt;1,"Duplicate - Remove","Unique")</f>
        <v>Unique</v>
      </c>
      <c r="S293" s="11" t="str">
        <f aca="false">TRIM(IF(Raw_Data!G293="","Region missing; ","")&amp;IF(Raw_Data!H293="","Spend imputed; ","")&amp;IF(Raw_Data!L293="","Revenue imputed; ","")&amp;IF(Raw_Data!J293&lt;0,"Clicks corrected; ",""))</f>
        <v/>
      </c>
    </row>
    <row r="294" customFormat="false" ht="15" hidden="false" customHeight="true" outlineLevel="0" collapsed="false">
      <c r="A294" s="11" t="n">
        <f aca="false">Raw_Data!A294</f>
        <v>1786</v>
      </c>
      <c r="B294" s="11" t="str">
        <f aca="false">PROPER(TRIM(Raw_Data!B294))</f>
        <v>Monsoon Skincare Push</v>
      </c>
      <c r="C294" s="11" t="str">
        <f aca="false">IFERROR(INDEX(Lookup_Tables!$B$2:$B$26,MATCH(UPPER(TRIM(Raw_Data!C294)),Lookup_Tables!$C$2:$C$26,0)),"Unknown")</f>
        <v>Instagram</v>
      </c>
      <c r="D294" s="12" t="n">
        <f aca="false">IFERROR(IF(ISNUMBER(SEARCH("/",Raw_Data!D294)),DATE(VALUE(RIGHT(Raw_Data!D294,4)),VALUE(MID(Raw_Data!D294,FIND("/",Raw_Data!D294)+1,FIND("/",Raw_Data!D294,FIND("/",Raw_Data!D294)+1)-FIND("/",Raw_Data!D294)-1)),VALUE(LEFT(Raw_Data!D294,FIND("/",Raw_Data!D294)-1))),IF(ISNUMBER(VALUE(LEFT(Raw_Data!D294,4))),DATE(VALUE(LEFT(Raw_Data!D294,4)),VALUE(MID(Raw_Data!D294,6,2)),VALUE(MID(Raw_Data!D294,9,2))),DATEVALUE(Raw_Data!D294))),"")</f>
        <v>45588</v>
      </c>
      <c r="E294" s="12" t="n">
        <f aca="false">IFERROR(IF(ISNUMBER(SEARCH("/",Raw_Data!E294)),DATE(VALUE(RIGHT(Raw_Data!E294,4)),VALUE(MID(Raw_Data!E294,FIND("/",Raw_Data!E294)+1,FIND("/",Raw_Data!E294,FIND("/",Raw_Data!E294)+1)-FIND("/",Raw_Data!E294)-1)),VALUE(LEFT(Raw_Data!E294,FIND("/",Raw_Data!E294)-1))),IF(ISNUMBER(VALUE(LEFT(Raw_Data!E294,4))),DATE(VALUE(LEFT(Raw_Data!E294,4)),VALUE(MID(Raw_Data!E294,6,2)),VALUE(MID(Raw_Data!E294,9,2))),DATEVALUE(Raw_Data!E294))),"")</f>
        <v>45600</v>
      </c>
      <c r="F294" s="11" t="str">
        <f aca="false">Raw_Data!F294</f>
        <v>Male 35-44</v>
      </c>
      <c r="G294" s="11" t="str">
        <f aca="false">IF(TRIM(Raw_Data!G294)="","Unspecified",IFERROR(INDEX(Lookup_Tables!$F$2:$F$24,MATCH(UPPER(TRIM(Raw_Data!G294)),Lookup_Tables!$G$2:$G$24,0)),"Unknown"))</f>
        <v>North</v>
      </c>
      <c r="H294" s="11" t="n">
        <f aca="false">IF(Raw_Data!H294="",ROUND(AVERAGEIFS(Raw_Data!$H$2:$H$839,Raw_Data!$C$2:$C$839,Raw_Data!C294),2),Raw_Data!H294)</f>
        <v>33043.03</v>
      </c>
      <c r="I294" s="11" t="n">
        <f aca="false">Raw_Data!I294</f>
        <v>834237</v>
      </c>
      <c r="J294" s="11" t="n">
        <f aca="false">IF(Raw_Data!J294&lt;0,ABS(Raw_Data!J294),Raw_Data!J294)</f>
        <v>27443</v>
      </c>
      <c r="K294" s="11" t="n">
        <f aca="false">Raw_Data!K294</f>
        <v>1558</v>
      </c>
      <c r="L294" s="11" t="n">
        <f aca="false">IF(Raw_Data!L294="",ROUND(AVERAGEIFS(Raw_Data!$L$2:$L$839,Raw_Data!$C$2:$C$839,Raw_Data!C294),2),Raw_Data!L294)</f>
        <v>2062603.48</v>
      </c>
      <c r="M294" s="13" t="n">
        <f aca="false">IFERROR(J294/I294,0)</f>
        <v>0.0328959276560498</v>
      </c>
      <c r="N294" s="14" t="n">
        <f aca="false">IFERROR(H294/J294,0)</f>
        <v>1.20406041613526</v>
      </c>
      <c r="O294" s="14" t="n">
        <f aca="false">IFERROR(H294/K294,0)</f>
        <v>21.2086200256739</v>
      </c>
      <c r="P294" s="15" t="n">
        <f aca="false">IFERROR(L294/H294,0)</f>
        <v>62.4217415896787</v>
      </c>
      <c r="Q294" s="13" t="n">
        <f aca="false">IFERROR(K294/J294,0)</f>
        <v>0.0567722187807455</v>
      </c>
      <c r="R294" s="11" t="str">
        <f aca="false">IF(COUNTIF($A$2:A294,A294)&gt;1,"Duplicate - Remove","Unique")</f>
        <v>Unique</v>
      </c>
      <c r="S294" s="11" t="str">
        <f aca="false">TRIM(IF(Raw_Data!G294="","Region missing; ","")&amp;IF(Raw_Data!H294="","Spend imputed; ","")&amp;IF(Raw_Data!L294="","Revenue imputed; ","")&amp;IF(Raw_Data!J294&lt;0,"Clicks corrected; ",""))</f>
        <v/>
      </c>
    </row>
    <row r="295" customFormat="false" ht="15" hidden="false" customHeight="true" outlineLevel="0" collapsed="false">
      <c r="A295" s="11" t="n">
        <f aca="false">Raw_Data!A295</f>
        <v>1111</v>
      </c>
      <c r="B295" s="11" t="str">
        <f aca="false">PROPER(TRIM(Raw_Data!B295))</f>
        <v>Back To College Offer</v>
      </c>
      <c r="C295" s="11" t="str">
        <f aca="false">IFERROR(INDEX(Lookup_Tables!$B$2:$B$26,MATCH(UPPER(TRIM(Raw_Data!C295)),Lookup_Tables!$C$2:$C$26,0)),"Unknown")</f>
        <v>Facebook</v>
      </c>
      <c r="D295" s="12" t="n">
        <f aca="false">IFERROR(IF(ISNUMBER(SEARCH("/",Raw_Data!D295)),DATE(VALUE(RIGHT(Raw_Data!D295,4)),VALUE(MID(Raw_Data!D295,FIND("/",Raw_Data!D295)+1,FIND("/",Raw_Data!D295,FIND("/",Raw_Data!D295)+1)-FIND("/",Raw_Data!D295)-1)),VALUE(LEFT(Raw_Data!D295,FIND("/",Raw_Data!D295)-1))),IF(ISNUMBER(VALUE(LEFT(Raw_Data!D295,4))),DATE(VALUE(LEFT(Raw_Data!D295,4)),VALUE(MID(Raw_Data!D295,6,2)),VALUE(MID(Raw_Data!D295,9,2))),DATEVALUE(Raw_Data!D295))),"")</f>
        <v>45564</v>
      </c>
      <c r="E295" s="12" t="n">
        <f aca="false">IFERROR(IF(ISNUMBER(SEARCH("/",Raw_Data!E295)),DATE(VALUE(RIGHT(Raw_Data!E295,4)),VALUE(MID(Raw_Data!E295,FIND("/",Raw_Data!E295)+1,FIND("/",Raw_Data!E295,FIND("/",Raw_Data!E295)+1)-FIND("/",Raw_Data!E295)-1)),VALUE(LEFT(Raw_Data!E295,FIND("/",Raw_Data!E295)-1))),IF(ISNUMBER(VALUE(LEFT(Raw_Data!E295,4))),DATE(VALUE(LEFT(Raw_Data!E295,4)),VALUE(MID(Raw_Data!E295,6,2)),VALUE(MID(Raw_Data!E295,9,2))),DATEVALUE(Raw_Data!E295))),"")</f>
        <v>45581</v>
      </c>
      <c r="F295" s="11" t="str">
        <f aca="false">Raw_Data!F295</f>
        <v>Female 45+</v>
      </c>
      <c r="G295" s="11" t="str">
        <f aca="false">IF(TRIM(Raw_Data!G295)="","Unspecified",IFERROR(INDEX(Lookup_Tables!$F$2:$F$24,MATCH(UPPER(TRIM(Raw_Data!G295)),Lookup_Tables!$G$2:$G$24,0)),"Unknown"))</f>
        <v>East</v>
      </c>
      <c r="H295" s="11" t="n">
        <f aca="false">IF(Raw_Data!H295="",ROUND(AVERAGEIFS(Raw_Data!$H$2:$H$839,Raw_Data!$C$2:$C$839,Raw_Data!C295),2),Raw_Data!H295)</f>
        <v>16890.53</v>
      </c>
      <c r="I295" s="11" t="n">
        <f aca="false">Raw_Data!I295</f>
        <v>399528</v>
      </c>
      <c r="J295" s="11" t="n">
        <f aca="false">IF(Raw_Data!J295&lt;0,ABS(Raw_Data!J295),Raw_Data!J295)</f>
        <v>5301</v>
      </c>
      <c r="K295" s="11" t="n">
        <f aca="false">Raw_Data!K295</f>
        <v>400</v>
      </c>
      <c r="L295" s="11" t="n">
        <f aca="false">IF(Raw_Data!L295="",ROUND(AVERAGEIFS(Raw_Data!$L$2:$L$839,Raw_Data!$C$2:$C$839,Raw_Data!C295),2),Raw_Data!L295)</f>
        <v>560513.89</v>
      </c>
      <c r="M295" s="13" t="n">
        <f aca="false">IFERROR(J295/I295,0)</f>
        <v>0.013268156424581</v>
      </c>
      <c r="N295" s="14" t="n">
        <f aca="false">IFERROR(H295/J295,0)</f>
        <v>3.18629126579891</v>
      </c>
      <c r="O295" s="14" t="n">
        <f aca="false">IFERROR(H295/K295,0)</f>
        <v>42.226325</v>
      </c>
      <c r="P295" s="15" t="n">
        <f aca="false">IFERROR(L295/H295,0)</f>
        <v>33.1850978033253</v>
      </c>
      <c r="Q295" s="13" t="n">
        <f aca="false">IFERROR(K295/J295,0)</f>
        <v>0.0754574608564422</v>
      </c>
      <c r="R295" s="11" t="str">
        <f aca="false">IF(COUNTIF($A$2:A295,A295)&gt;1,"Duplicate - Remove","Unique")</f>
        <v>Unique</v>
      </c>
      <c r="S295" s="11" t="str">
        <f aca="false">TRIM(IF(Raw_Data!G295="","Region missing; ","")&amp;IF(Raw_Data!H295="","Spend imputed; ","")&amp;IF(Raw_Data!L295="","Revenue imputed; ","")&amp;IF(Raw_Data!J295&lt;0,"Clicks corrected; ",""))</f>
        <v/>
      </c>
    </row>
    <row r="296" customFormat="false" ht="15" hidden="false" customHeight="true" outlineLevel="0" collapsed="false">
      <c r="A296" s="11" t="n">
        <f aca="false">Raw_Data!A296</f>
        <v>1692</v>
      </c>
      <c r="B296" s="11" t="str">
        <f aca="false">PROPER(TRIM(Raw_Data!B296))</f>
        <v>Herbal Range Awareness</v>
      </c>
      <c r="C296" s="11" t="str">
        <f aca="false">IFERROR(INDEX(Lookup_Tables!$B$2:$B$26,MATCH(UPPER(TRIM(Raw_Data!C296)),Lookup_Tables!$C$2:$C$26,0)),"Unknown")</f>
        <v>Email</v>
      </c>
      <c r="D296" s="12" t="n">
        <f aca="false">IFERROR(IF(ISNUMBER(SEARCH("/",Raw_Data!D296)),DATE(VALUE(RIGHT(Raw_Data!D296,4)),VALUE(MID(Raw_Data!D296,FIND("/",Raw_Data!D296)+1,FIND("/",Raw_Data!D296,FIND("/",Raw_Data!D296)+1)-FIND("/",Raw_Data!D296)-1)),VALUE(LEFT(Raw_Data!D296,FIND("/",Raw_Data!D296)-1))),IF(ISNUMBER(VALUE(LEFT(Raw_Data!D296,4))),DATE(VALUE(LEFT(Raw_Data!D296,4)),VALUE(MID(Raw_Data!D296,6,2)),VALUE(MID(Raw_Data!D296,9,2))),DATEVALUE(Raw_Data!D296))),"")</f>
        <v>45320</v>
      </c>
      <c r="E296" s="12" t="n">
        <f aca="false">IFERROR(IF(ISNUMBER(SEARCH("/",Raw_Data!E296)),DATE(VALUE(RIGHT(Raw_Data!E296,4)),VALUE(MID(Raw_Data!E296,FIND("/",Raw_Data!E296)+1,FIND("/",Raw_Data!E296,FIND("/",Raw_Data!E296)+1)-FIND("/",Raw_Data!E296)-1)),VALUE(LEFT(Raw_Data!E296,FIND("/",Raw_Data!E296)-1))),IF(ISNUMBER(VALUE(LEFT(Raw_Data!E296,4))),DATE(VALUE(LEFT(Raw_Data!E296,4)),VALUE(MID(Raw_Data!E296,6,2)),VALUE(MID(Raw_Data!E296,9,2))),DATEVALUE(Raw_Data!E296))),"")</f>
        <v>45341</v>
      </c>
      <c r="F296" s="11" t="str">
        <f aca="false">Raw_Data!F296</f>
        <v>Male 25-34</v>
      </c>
      <c r="G296" s="11" t="str">
        <f aca="false">IF(TRIM(Raw_Data!G296)="","Unspecified",IFERROR(INDEX(Lookup_Tables!$F$2:$F$24,MATCH(UPPER(TRIM(Raw_Data!G296)),Lookup_Tables!$G$2:$G$24,0)),"Unknown"))</f>
        <v>East</v>
      </c>
      <c r="H296" s="11" t="n">
        <f aca="false">IF(Raw_Data!H296="",ROUND(AVERAGEIFS(Raw_Data!$H$2:$H$839,Raw_Data!$C$2:$C$839,Raw_Data!C296),2),Raw_Data!H296)</f>
        <v>2316.55</v>
      </c>
      <c r="I296" s="11" t="n">
        <f aca="false">Raw_Data!I296</f>
        <v>39913</v>
      </c>
      <c r="J296" s="11" t="n">
        <f aca="false">IF(Raw_Data!J296&lt;0,ABS(Raw_Data!J296),Raw_Data!J296)</f>
        <v>1267</v>
      </c>
      <c r="K296" s="11" t="n">
        <f aca="false">Raw_Data!K296</f>
        <v>78</v>
      </c>
      <c r="L296" s="11" t="n">
        <f aca="false">IF(Raw_Data!L296="",ROUND(AVERAGEIFS(Raw_Data!$L$2:$L$839,Raw_Data!$C$2:$C$839,Raw_Data!C296),2),Raw_Data!L296)</f>
        <v>91911.19</v>
      </c>
      <c r="M296" s="13" t="n">
        <f aca="false">IFERROR(J296/I296,0)</f>
        <v>0.0317440432941648</v>
      </c>
      <c r="N296" s="14" t="n">
        <f aca="false">IFERROR(H296/J296,0)</f>
        <v>1.82837411207577</v>
      </c>
      <c r="O296" s="14" t="n">
        <f aca="false">IFERROR(H296/K296,0)</f>
        <v>29.699358974359</v>
      </c>
      <c r="P296" s="15" t="n">
        <f aca="false">IFERROR(L296/H296,0)</f>
        <v>39.6758930305843</v>
      </c>
      <c r="Q296" s="13" t="n">
        <f aca="false">IFERROR(K296/J296,0)</f>
        <v>0.0615627466456196</v>
      </c>
      <c r="R296" s="11" t="str">
        <f aca="false">IF(COUNTIF($A$2:A296,A296)&gt;1,"Duplicate - Remove","Unique")</f>
        <v>Unique</v>
      </c>
      <c r="S296" s="11" t="str">
        <f aca="false">TRIM(IF(Raw_Data!G296="","Region missing; ","")&amp;IF(Raw_Data!H296="","Spend imputed; ","")&amp;IF(Raw_Data!L296="","Revenue imputed; ","")&amp;IF(Raw_Data!J296&lt;0,"Clicks corrected; ",""))</f>
        <v/>
      </c>
    </row>
    <row r="297" customFormat="false" ht="15" hidden="false" customHeight="true" outlineLevel="0" collapsed="false">
      <c r="A297" s="11" t="n">
        <f aca="false">Raw_Data!A297</f>
        <v>1227</v>
      </c>
      <c r="B297" s="11" t="str">
        <f aca="false">PROPER(TRIM(Raw_Data!B297))</f>
        <v>Back To College Offer</v>
      </c>
      <c r="C297" s="11" t="str">
        <f aca="false">IFERROR(INDEX(Lookup_Tables!$B$2:$B$26,MATCH(UPPER(TRIM(Raw_Data!C297)),Lookup_Tables!$C$2:$C$26,0)),"Unknown")</f>
        <v>YouTube</v>
      </c>
      <c r="D297" s="12" t="n">
        <f aca="false">IFERROR(IF(ISNUMBER(SEARCH("/",Raw_Data!D297)),DATE(VALUE(RIGHT(Raw_Data!D297,4)),VALUE(MID(Raw_Data!D297,FIND("/",Raw_Data!D297)+1,FIND("/",Raw_Data!D297,FIND("/",Raw_Data!D297)+1)-FIND("/",Raw_Data!D297)-1)),VALUE(LEFT(Raw_Data!D297,FIND("/",Raw_Data!D297)-1))),IF(ISNUMBER(VALUE(LEFT(Raw_Data!D297,4))),DATE(VALUE(LEFT(Raw_Data!D297,4)),VALUE(MID(Raw_Data!D297,6,2)),VALUE(MID(Raw_Data!D297,9,2))),DATEVALUE(Raw_Data!D297))),"")</f>
        <v>45563</v>
      </c>
      <c r="E297" s="12" t="n">
        <f aca="false">IFERROR(IF(ISNUMBER(SEARCH("/",Raw_Data!E297)),DATE(VALUE(RIGHT(Raw_Data!E297,4)),VALUE(MID(Raw_Data!E297,FIND("/",Raw_Data!E297)+1,FIND("/",Raw_Data!E297,FIND("/",Raw_Data!E297)+1)-FIND("/",Raw_Data!E297)-1)),VALUE(LEFT(Raw_Data!E297,FIND("/",Raw_Data!E297)-1))),IF(ISNUMBER(VALUE(LEFT(Raw_Data!E297,4))),DATE(VALUE(LEFT(Raw_Data!E297,4)),VALUE(MID(Raw_Data!E297,6,2)),VALUE(MID(Raw_Data!E297,9,2))),DATEVALUE(Raw_Data!E297))),"")</f>
        <v>45581</v>
      </c>
      <c r="F297" s="11" t="str">
        <f aca="false">Raw_Data!F297</f>
        <v>Female 18-24</v>
      </c>
      <c r="G297" s="11" t="str">
        <f aca="false">IF(TRIM(Raw_Data!G297)="","Unspecified",IFERROR(INDEX(Lookup_Tables!$F$2:$F$24,MATCH(UPPER(TRIM(Raw_Data!G297)),Lookup_Tables!$G$2:$G$24,0)),"Unknown"))</f>
        <v>West</v>
      </c>
      <c r="H297" s="11" t="n">
        <f aca="false">IF(Raw_Data!H297="",ROUND(AVERAGEIFS(Raw_Data!$H$2:$H$839,Raw_Data!$C$2:$C$839,Raw_Data!C297),2),Raw_Data!H297)</f>
        <v>85381.62</v>
      </c>
      <c r="I297" s="11" t="n">
        <f aca="false">Raw_Data!I297</f>
        <v>2309836</v>
      </c>
      <c r="J297" s="11" t="n">
        <f aca="false">IF(Raw_Data!J297&lt;0,ABS(Raw_Data!J297),Raw_Data!J297)</f>
        <v>64814</v>
      </c>
      <c r="K297" s="11" t="n">
        <f aca="false">Raw_Data!K297</f>
        <v>2238</v>
      </c>
      <c r="L297" s="11" t="n">
        <f aca="false">IF(Raw_Data!L297="",ROUND(AVERAGEIFS(Raw_Data!$L$2:$L$839,Raw_Data!$C$2:$C$839,Raw_Data!C297),2),Raw_Data!L297)</f>
        <v>3394375.73</v>
      </c>
      <c r="M297" s="13" t="n">
        <f aca="false">IFERROR(J297/I297,0)</f>
        <v>0.0280600007965934</v>
      </c>
      <c r="N297" s="14" t="n">
        <f aca="false">IFERROR(H297/J297,0)</f>
        <v>1.31733298361465</v>
      </c>
      <c r="O297" s="14" t="n">
        <f aca="false">IFERROR(H297/K297,0)</f>
        <v>38.1508579088472</v>
      </c>
      <c r="P297" s="15" t="n">
        <f aca="false">IFERROR(L297/H297,0)</f>
        <v>39.7553446514601</v>
      </c>
      <c r="Q297" s="13" t="n">
        <f aca="false">IFERROR(K297/J297,0)</f>
        <v>0.034529576943253</v>
      </c>
      <c r="R297" s="11" t="str">
        <f aca="false">IF(COUNTIF($A$2:A297,A297)&gt;1,"Duplicate - Remove","Unique")</f>
        <v>Unique</v>
      </c>
      <c r="S297" s="11" t="str">
        <f aca="false">TRIM(IF(Raw_Data!G297="","Region missing; ","")&amp;IF(Raw_Data!H297="","Spend imputed; ","")&amp;IF(Raw_Data!L297="","Revenue imputed; ","")&amp;IF(Raw_Data!J297&lt;0,"Clicks corrected; ",""))</f>
        <v/>
      </c>
    </row>
    <row r="298" customFormat="false" ht="15" hidden="false" customHeight="true" outlineLevel="0" collapsed="false">
      <c r="A298" s="11" t="n">
        <f aca="false">Raw_Data!A298</f>
        <v>1016</v>
      </c>
      <c r="B298" s="11" t="str">
        <f aca="false">PROPER(TRIM(Raw_Data!B298))</f>
        <v>Influencer Collab - Skincare</v>
      </c>
      <c r="C298" s="11" t="str">
        <f aca="false">IFERROR(INDEX(Lookup_Tables!$B$2:$B$26,MATCH(UPPER(TRIM(Raw_Data!C298)),Lookup_Tables!$C$2:$C$26,0)),"Unknown")</f>
        <v>Google Ads</v>
      </c>
      <c r="D298" s="12" t="n">
        <f aca="false">IFERROR(IF(ISNUMBER(SEARCH("/",Raw_Data!D298)),DATE(VALUE(RIGHT(Raw_Data!D298,4)),VALUE(MID(Raw_Data!D298,FIND("/",Raw_Data!D298)+1,FIND("/",Raw_Data!D298,FIND("/",Raw_Data!D298)+1)-FIND("/",Raw_Data!D298)-1)),VALUE(LEFT(Raw_Data!D298,FIND("/",Raw_Data!D298)-1))),IF(ISNUMBER(VALUE(LEFT(Raw_Data!D298,4))),DATE(VALUE(LEFT(Raw_Data!D298,4)),VALUE(MID(Raw_Data!D298,6,2)),VALUE(MID(Raw_Data!D298,9,2))),DATEVALUE(Raw_Data!D298))),"")</f>
        <v>45360</v>
      </c>
      <c r="E298" s="12" t="n">
        <f aca="false">IFERROR(IF(ISNUMBER(SEARCH("/",Raw_Data!E298)),DATE(VALUE(RIGHT(Raw_Data!E298,4)),VALUE(MID(Raw_Data!E298,FIND("/",Raw_Data!E298)+1,FIND("/",Raw_Data!E298,FIND("/",Raw_Data!E298)+1)-FIND("/",Raw_Data!E298)-1)),VALUE(LEFT(Raw_Data!E298,FIND("/",Raw_Data!E298)-1))),IF(ISNUMBER(VALUE(LEFT(Raw_Data!E298,4))),DATE(VALUE(LEFT(Raw_Data!E298,4)),VALUE(MID(Raw_Data!E298,6,2)),VALUE(MID(Raw_Data!E298,9,2))),DATEVALUE(Raw_Data!E298))),"")</f>
        <v>45373</v>
      </c>
      <c r="F298" s="11" t="str">
        <f aca="false">Raw_Data!F298</f>
        <v>Female 25-34</v>
      </c>
      <c r="G298" s="11" t="str">
        <f aca="false">IF(TRIM(Raw_Data!G298)="","Unspecified",IFERROR(INDEX(Lookup_Tables!$F$2:$F$24,MATCH(UPPER(TRIM(Raw_Data!G298)),Lookup_Tables!$G$2:$G$24,0)),"Unknown"))</f>
        <v>Central</v>
      </c>
      <c r="H298" s="11" t="n">
        <f aca="false">IF(Raw_Data!H298="",ROUND(AVERAGEIFS(Raw_Data!$H$2:$H$839,Raw_Data!$C$2:$C$839,Raw_Data!C298),2),Raw_Data!H298)</f>
        <v>72279.89</v>
      </c>
      <c r="I298" s="11" t="n">
        <f aca="false">Raw_Data!I298</f>
        <v>2425743</v>
      </c>
      <c r="J298" s="11" t="n">
        <f aca="false">IF(Raw_Data!J298&lt;0,ABS(Raw_Data!J298),Raw_Data!J298)</f>
        <v>23441</v>
      </c>
      <c r="K298" s="11" t="n">
        <f aca="false">Raw_Data!K298</f>
        <v>696</v>
      </c>
      <c r="L298" s="11" t="n">
        <f aca="false">IF(Raw_Data!L298="",ROUND(AVERAGEIFS(Raw_Data!$L$2:$L$839,Raw_Data!$C$2:$C$839,Raw_Data!C298),2),Raw_Data!L298)</f>
        <v>456167.45</v>
      </c>
      <c r="M298" s="13" t="n">
        <f aca="false">IFERROR(J298/I298,0)</f>
        <v>0.00966343095703049</v>
      </c>
      <c r="N298" s="14" t="n">
        <f aca="false">IFERROR(H298/J298,0)</f>
        <v>3.08348150676166</v>
      </c>
      <c r="O298" s="14" t="n">
        <f aca="false">IFERROR(H298/K298,0)</f>
        <v>103.850416666667</v>
      </c>
      <c r="P298" s="15" t="n">
        <f aca="false">IFERROR(L298/H298,0)</f>
        <v>6.3111254043137</v>
      </c>
      <c r="Q298" s="13" t="n">
        <f aca="false">IFERROR(K298/J298,0)</f>
        <v>0.0296915660594685</v>
      </c>
      <c r="R298" s="11" t="str">
        <f aca="false">IF(COUNTIF($A$2:A298,A298)&gt;1,"Duplicate - Remove","Unique")</f>
        <v>Unique</v>
      </c>
      <c r="S298" s="11" t="str">
        <f aca="false">TRIM(IF(Raw_Data!G298="","Region missing; ","")&amp;IF(Raw_Data!H298="","Spend imputed; ","")&amp;IF(Raw_Data!L298="","Revenue imputed; ","")&amp;IF(Raw_Data!J298&lt;0,"Clicks corrected; ",""))</f>
        <v/>
      </c>
    </row>
    <row r="299" customFormat="false" ht="15" hidden="false" customHeight="true" outlineLevel="0" collapsed="false">
      <c r="A299" s="11" t="n">
        <f aca="false">Raw_Data!A299</f>
        <v>1560</v>
      </c>
      <c r="B299" s="11" t="str">
        <f aca="false">PROPER(TRIM(Raw_Data!B299))</f>
        <v>Back To College Offer</v>
      </c>
      <c r="C299" s="11" t="str">
        <f aca="false">IFERROR(INDEX(Lookup_Tables!$B$2:$B$26,MATCH(UPPER(TRIM(Raw_Data!C299)),Lookup_Tables!$C$2:$C$26,0)),"Unknown")</f>
        <v>YouTube</v>
      </c>
      <c r="D299" s="12" t="n">
        <f aca="false">IFERROR(IF(ISNUMBER(SEARCH("/",Raw_Data!D299)),DATE(VALUE(RIGHT(Raw_Data!D299,4)),VALUE(MID(Raw_Data!D299,FIND("/",Raw_Data!D299)+1,FIND("/",Raw_Data!D299,FIND("/",Raw_Data!D299)+1)-FIND("/",Raw_Data!D299)-1)),VALUE(LEFT(Raw_Data!D299,FIND("/",Raw_Data!D299)-1))),IF(ISNUMBER(VALUE(LEFT(Raw_Data!D299,4))),DATE(VALUE(LEFT(Raw_Data!D299,4)),VALUE(MID(Raw_Data!D299,6,2)),VALUE(MID(Raw_Data!D299,9,2))),DATEVALUE(Raw_Data!D299))),"")</f>
        <v>45357</v>
      </c>
      <c r="E299" s="12" t="n">
        <f aca="false">IFERROR(IF(ISNUMBER(SEARCH("/",Raw_Data!E299)),DATE(VALUE(RIGHT(Raw_Data!E299,4)),VALUE(MID(Raw_Data!E299,FIND("/",Raw_Data!E299)+1,FIND("/",Raw_Data!E299,FIND("/",Raw_Data!E299)+1)-FIND("/",Raw_Data!E299)-1)),VALUE(LEFT(Raw_Data!E299,FIND("/",Raw_Data!E299)-1))),IF(ISNUMBER(VALUE(LEFT(Raw_Data!E299,4))),DATE(VALUE(LEFT(Raw_Data!E299,4)),VALUE(MID(Raw_Data!E299,6,2)),VALUE(MID(Raw_Data!E299,9,2))),DATEVALUE(Raw_Data!E299))),"")</f>
        <v>45387</v>
      </c>
      <c r="F299" s="11" t="str">
        <f aca="false">Raw_Data!F299</f>
        <v>Female 25-34</v>
      </c>
      <c r="G299" s="11" t="str">
        <f aca="false">IF(TRIM(Raw_Data!G299)="","Unspecified",IFERROR(INDEX(Lookup_Tables!$F$2:$F$24,MATCH(UPPER(TRIM(Raw_Data!G299)),Lookup_Tables!$G$2:$G$24,0)),"Unknown"))</f>
        <v>West</v>
      </c>
      <c r="H299" s="11" t="n">
        <f aca="false">IF(Raw_Data!H299="",ROUND(AVERAGEIFS(Raw_Data!$H$2:$H$839,Raw_Data!$C$2:$C$839,Raw_Data!C299),2),Raw_Data!H299)</f>
        <v>37367.02</v>
      </c>
      <c r="I299" s="11" t="n">
        <f aca="false">Raw_Data!I299</f>
        <v>670670</v>
      </c>
      <c r="J299" s="11" t="n">
        <f aca="false">IF(Raw_Data!J299&lt;0,ABS(Raw_Data!J299),Raw_Data!J299)</f>
        <v>7992</v>
      </c>
      <c r="K299" s="11" t="n">
        <f aca="false">Raw_Data!K299</f>
        <v>416</v>
      </c>
      <c r="L299" s="11" t="n">
        <f aca="false">IF(Raw_Data!L299="",ROUND(AVERAGEIFS(Raw_Data!$L$2:$L$839,Raw_Data!$C$2:$C$839,Raw_Data!C299),2),Raw_Data!L299)</f>
        <v>345210.82</v>
      </c>
      <c r="M299" s="13" t="n">
        <f aca="false">IFERROR(J299/I299,0)</f>
        <v>0.011916441767188</v>
      </c>
      <c r="N299" s="14" t="n">
        <f aca="false">IFERROR(H299/J299,0)</f>
        <v>4.67555305305305</v>
      </c>
      <c r="O299" s="14" t="n">
        <f aca="false">IFERROR(H299/K299,0)</f>
        <v>89.8245673076923</v>
      </c>
      <c r="P299" s="15" t="n">
        <f aca="false">IFERROR(L299/H299,0)</f>
        <v>9.23838240245008</v>
      </c>
      <c r="Q299" s="13" t="n">
        <f aca="false">IFERROR(K299/J299,0)</f>
        <v>0.0520520520520521</v>
      </c>
      <c r="R299" s="11" t="str">
        <f aca="false">IF(COUNTIF($A$2:A299,A299)&gt;1,"Duplicate - Remove","Unique")</f>
        <v>Unique</v>
      </c>
      <c r="S299" s="11" t="str">
        <f aca="false">TRIM(IF(Raw_Data!G299="","Region missing; ","")&amp;IF(Raw_Data!H299="","Spend imputed; ","")&amp;IF(Raw_Data!L299="","Revenue imputed; ","")&amp;IF(Raw_Data!J299&lt;0,"Clicks corrected; ",""))</f>
        <v/>
      </c>
    </row>
    <row r="300" customFormat="false" ht="15" hidden="false" customHeight="true" outlineLevel="0" collapsed="false">
      <c r="A300" s="11" t="n">
        <f aca="false">Raw_Data!A300</f>
        <v>1648</v>
      </c>
      <c r="B300" s="11" t="str">
        <f aca="false">PROPER(TRIM(Raw_Data!B300))</f>
        <v>Anti-Ageing Serum Push</v>
      </c>
      <c r="C300" s="11" t="str">
        <f aca="false">IFERROR(INDEX(Lookup_Tables!$B$2:$B$26,MATCH(UPPER(TRIM(Raw_Data!C300)),Lookup_Tables!$C$2:$C$26,0)),"Unknown")</f>
        <v>Email</v>
      </c>
      <c r="D300" s="12" t="n">
        <f aca="false">IFERROR(IF(ISNUMBER(SEARCH("/",Raw_Data!D300)),DATE(VALUE(RIGHT(Raw_Data!D300,4)),VALUE(MID(Raw_Data!D300,FIND("/",Raw_Data!D300)+1,FIND("/",Raw_Data!D300,FIND("/",Raw_Data!D300)+1)-FIND("/",Raw_Data!D300)-1)),VALUE(LEFT(Raw_Data!D300,FIND("/",Raw_Data!D300)-1))),IF(ISNUMBER(VALUE(LEFT(Raw_Data!D300,4))),DATE(VALUE(LEFT(Raw_Data!D300,4)),VALUE(MID(Raw_Data!D300,6,2)),VALUE(MID(Raw_Data!D300,9,2))),DATEVALUE(Raw_Data!D300))),"")</f>
        <v>45398</v>
      </c>
      <c r="E300" s="12" t="n">
        <f aca="false">IFERROR(IF(ISNUMBER(SEARCH("/",Raw_Data!E300)),DATE(VALUE(RIGHT(Raw_Data!E300,4)),VALUE(MID(Raw_Data!E300,FIND("/",Raw_Data!E300)+1,FIND("/",Raw_Data!E300,FIND("/",Raw_Data!E300)+1)-FIND("/",Raw_Data!E300)-1)),VALUE(LEFT(Raw_Data!E300,FIND("/",Raw_Data!E300)-1))),IF(ISNUMBER(VALUE(LEFT(Raw_Data!E300,4))),DATE(VALUE(LEFT(Raw_Data!E300,4)),VALUE(MID(Raw_Data!E300,6,2)),VALUE(MID(Raw_Data!E300,9,2))),DATEVALUE(Raw_Data!E300))),"")</f>
        <v>45424</v>
      </c>
      <c r="F300" s="11" t="str">
        <f aca="false">Raw_Data!F300</f>
        <v>Male 18-24</v>
      </c>
      <c r="G300" s="11" t="str">
        <f aca="false">IF(TRIM(Raw_Data!G300)="","Unspecified",IFERROR(INDEX(Lookup_Tables!$F$2:$F$24,MATCH(UPPER(TRIM(Raw_Data!G300)),Lookup_Tables!$G$2:$G$24,0)),"Unknown"))</f>
        <v>Unspecified</v>
      </c>
      <c r="H300" s="11" t="n">
        <f aca="false">IF(Raw_Data!H300="",ROUND(AVERAGEIFS(Raw_Data!$H$2:$H$839,Raw_Data!$C$2:$C$839,Raw_Data!C300),2),Raw_Data!H300)</f>
        <v>2791.51</v>
      </c>
      <c r="I300" s="11" t="n">
        <f aca="false">Raw_Data!I300</f>
        <v>99974</v>
      </c>
      <c r="J300" s="11" t="n">
        <f aca="false">IF(Raw_Data!J300&lt;0,ABS(Raw_Data!J300),Raw_Data!J300)</f>
        <v>570</v>
      </c>
      <c r="K300" s="11" t="n">
        <f aca="false">Raw_Data!K300</f>
        <v>22</v>
      </c>
      <c r="L300" s="11" t="n">
        <f aca="false">IF(Raw_Data!L300="",ROUND(AVERAGEIFS(Raw_Data!$L$2:$L$839,Raw_Data!$C$2:$C$839,Raw_Data!C300),2),Raw_Data!L300)</f>
        <v>19898.76</v>
      </c>
      <c r="M300" s="13" t="n">
        <f aca="false">IFERROR(J300/I300,0)</f>
        <v>0.00570148238542021</v>
      </c>
      <c r="N300" s="14" t="n">
        <f aca="false">IFERROR(H300/J300,0)</f>
        <v>4.89738596491228</v>
      </c>
      <c r="O300" s="14" t="n">
        <f aca="false">IFERROR(H300/K300,0)</f>
        <v>126.886818181818</v>
      </c>
      <c r="P300" s="15" t="n">
        <f aca="false">IFERROR(L300/H300,0)</f>
        <v>7.12831406658045</v>
      </c>
      <c r="Q300" s="13" t="n">
        <f aca="false">IFERROR(K300/J300,0)</f>
        <v>0.0385964912280702</v>
      </c>
      <c r="R300" s="11" t="str">
        <f aca="false">IF(COUNTIF($A$2:A300,A300)&gt;1,"Duplicate - Remove","Unique")</f>
        <v>Unique</v>
      </c>
      <c r="S300" s="11" t="str">
        <f aca="false">TRIM(IF(Raw_Data!G300="","Region missing; ","")&amp;IF(Raw_Data!H300="","Spend imputed; ","")&amp;IF(Raw_Data!L300="","Revenue imputed; ","")&amp;IF(Raw_Data!J300&lt;0,"Clicks corrected; ",""))</f>
        <v>Region missing;</v>
      </c>
    </row>
    <row r="301" customFormat="false" ht="15" hidden="false" customHeight="true" outlineLevel="0" collapsed="false">
      <c r="A301" s="11" t="n">
        <f aca="false">Raw_Data!A301</f>
        <v>1061</v>
      </c>
      <c r="B301" s="11" t="str">
        <f aca="false">PROPER(TRIM(Raw_Data!B301))</f>
        <v>Baby Care Trust Campaign</v>
      </c>
      <c r="C301" s="11" t="str">
        <f aca="false">IFERROR(INDEX(Lookup_Tables!$B$2:$B$26,MATCH(UPPER(TRIM(Raw_Data!C301)),Lookup_Tables!$C$2:$C$26,0)),"Unknown")</f>
        <v>Email</v>
      </c>
      <c r="D301" s="12" t="n">
        <f aca="false">IFERROR(IF(ISNUMBER(SEARCH("/",Raw_Data!D301)),DATE(VALUE(RIGHT(Raw_Data!D301,4)),VALUE(MID(Raw_Data!D301,FIND("/",Raw_Data!D301)+1,FIND("/",Raw_Data!D301,FIND("/",Raw_Data!D301)+1)-FIND("/",Raw_Data!D301)-1)),VALUE(LEFT(Raw_Data!D301,FIND("/",Raw_Data!D301)-1))),IF(ISNUMBER(VALUE(LEFT(Raw_Data!D301,4))),DATE(VALUE(LEFT(Raw_Data!D301,4)),VALUE(MID(Raw_Data!D301,6,2)),VALUE(MID(Raw_Data!D301,9,2))),DATEVALUE(Raw_Data!D301))),"")</f>
        <v>45512</v>
      </c>
      <c r="E301" s="12" t="n">
        <f aca="false">IFERROR(IF(ISNUMBER(SEARCH("/",Raw_Data!E301)),DATE(VALUE(RIGHT(Raw_Data!E301,4)),VALUE(MID(Raw_Data!E301,FIND("/",Raw_Data!E301)+1,FIND("/",Raw_Data!E301,FIND("/",Raw_Data!E301)+1)-FIND("/",Raw_Data!E301)-1)),VALUE(LEFT(Raw_Data!E301,FIND("/",Raw_Data!E301)-1))),IF(ISNUMBER(VALUE(LEFT(Raw_Data!E301,4))),DATE(VALUE(LEFT(Raw_Data!E301,4)),VALUE(MID(Raw_Data!E301,6,2)),VALUE(MID(Raw_Data!E301,9,2))),DATEVALUE(Raw_Data!E301))),"")</f>
        <v>45531</v>
      </c>
      <c r="F301" s="11" t="str">
        <f aca="false">Raw_Data!F301</f>
        <v>Male 18-24</v>
      </c>
      <c r="G301" s="11" t="str">
        <f aca="false">IF(TRIM(Raw_Data!G301)="","Unspecified",IFERROR(INDEX(Lookup_Tables!$F$2:$F$24,MATCH(UPPER(TRIM(Raw_Data!G301)),Lookup_Tables!$G$2:$G$24,0)),"Unknown"))</f>
        <v>North</v>
      </c>
      <c r="H301" s="11" t="n">
        <f aca="false">IF(Raw_Data!H301="",ROUND(AVERAGEIFS(Raw_Data!$H$2:$H$839,Raw_Data!$C$2:$C$839,Raw_Data!C301),2),Raw_Data!H301)</f>
        <v>3896.69</v>
      </c>
      <c r="I301" s="11" t="n">
        <f aca="false">Raw_Data!I301</f>
        <v>139055</v>
      </c>
      <c r="J301" s="11" t="n">
        <f aca="false">IF(Raw_Data!J301&lt;0,ABS(Raw_Data!J301),Raw_Data!J301)</f>
        <v>2358</v>
      </c>
      <c r="K301" s="11" t="n">
        <f aca="false">Raw_Data!K301</f>
        <v>144</v>
      </c>
      <c r="L301" s="11" t="n">
        <f aca="false">IF(Raw_Data!L301="",ROUND(AVERAGEIFS(Raw_Data!$L$2:$L$839,Raw_Data!$C$2:$C$839,Raw_Data!C301),2),Raw_Data!L301)</f>
        <v>115660.1</v>
      </c>
      <c r="M301" s="13" t="n">
        <f aca="false">IFERROR(J301/I301,0)</f>
        <v>0.0169573190464205</v>
      </c>
      <c r="N301" s="14" t="n">
        <f aca="false">IFERROR(H301/J301,0)</f>
        <v>1.65254028837998</v>
      </c>
      <c r="O301" s="14" t="n">
        <f aca="false">IFERROR(H301/K301,0)</f>
        <v>27.0603472222222</v>
      </c>
      <c r="P301" s="15" t="n">
        <f aca="false">IFERROR(L301/H301,0)</f>
        <v>29.6816272272108</v>
      </c>
      <c r="Q301" s="13" t="n">
        <f aca="false">IFERROR(K301/J301,0)</f>
        <v>0.0610687022900763</v>
      </c>
      <c r="R301" s="11" t="str">
        <f aca="false">IF(COUNTIF($A$2:A301,A301)&gt;1,"Duplicate - Remove","Unique")</f>
        <v>Unique</v>
      </c>
      <c r="S301" s="11" t="str">
        <f aca="false">TRIM(IF(Raw_Data!G301="","Region missing; ","")&amp;IF(Raw_Data!H301="","Spend imputed; ","")&amp;IF(Raw_Data!L301="","Revenue imputed; ","")&amp;IF(Raw_Data!J301&lt;0,"Clicks corrected; ",""))</f>
        <v/>
      </c>
    </row>
    <row r="302" customFormat="false" ht="15" hidden="false" customHeight="true" outlineLevel="0" collapsed="false">
      <c r="A302" s="11" t="n">
        <f aca="false">Raw_Data!A302</f>
        <v>1455</v>
      </c>
      <c r="B302" s="11" t="str">
        <f aca="false">PROPER(TRIM(Raw_Data!B302))</f>
        <v>New Year Wellness</v>
      </c>
      <c r="C302" s="11" t="str">
        <f aca="false">IFERROR(INDEX(Lookup_Tables!$B$2:$B$26,MATCH(UPPER(TRIM(Raw_Data!C302)),Lookup_Tables!$C$2:$C$26,0)),"Unknown")</f>
        <v>Google Ads</v>
      </c>
      <c r="D302" s="12" t="n">
        <f aca="false">IFERROR(IF(ISNUMBER(SEARCH("/",Raw_Data!D302)),DATE(VALUE(RIGHT(Raw_Data!D302,4)),VALUE(MID(Raw_Data!D302,FIND("/",Raw_Data!D302)+1,FIND("/",Raw_Data!D302,FIND("/",Raw_Data!D302)+1)-FIND("/",Raw_Data!D302)-1)),VALUE(LEFT(Raw_Data!D302,FIND("/",Raw_Data!D302)-1))),IF(ISNUMBER(VALUE(LEFT(Raw_Data!D302,4))),DATE(VALUE(LEFT(Raw_Data!D302,4)),VALUE(MID(Raw_Data!D302,6,2)),VALUE(MID(Raw_Data!D302,9,2))),DATEVALUE(Raw_Data!D302))),"")</f>
        <v>45343</v>
      </c>
      <c r="E302" s="12" t="n">
        <f aca="false">IFERROR(IF(ISNUMBER(SEARCH("/",Raw_Data!E302)),DATE(VALUE(RIGHT(Raw_Data!E302,4)),VALUE(MID(Raw_Data!E302,FIND("/",Raw_Data!E302)+1,FIND("/",Raw_Data!E302,FIND("/",Raw_Data!E302)+1)-FIND("/",Raw_Data!E302)-1)),VALUE(LEFT(Raw_Data!E302,FIND("/",Raw_Data!E302)-1))),IF(ISNUMBER(VALUE(LEFT(Raw_Data!E302,4))),DATE(VALUE(LEFT(Raw_Data!E302,4)),VALUE(MID(Raw_Data!E302,6,2)),VALUE(MID(Raw_Data!E302,9,2))),DATEVALUE(Raw_Data!E302))),"")</f>
        <v>45371</v>
      </c>
      <c r="F302" s="11" t="str">
        <f aca="false">Raw_Data!F302</f>
        <v>Male 45+</v>
      </c>
      <c r="G302" s="11" t="str">
        <f aca="false">IF(TRIM(Raw_Data!G302)="","Unspecified",IFERROR(INDEX(Lookup_Tables!$F$2:$F$24,MATCH(UPPER(TRIM(Raw_Data!G302)),Lookup_Tables!$G$2:$G$24,0)),"Unknown"))</f>
        <v>Central</v>
      </c>
      <c r="H302" s="11" t="n">
        <f aca="false">IF(Raw_Data!H302="",ROUND(AVERAGEIFS(Raw_Data!$H$2:$H$839,Raw_Data!$C$2:$C$839,Raw_Data!C302),2),Raw_Data!H302)</f>
        <v>30570.41</v>
      </c>
      <c r="I302" s="11" t="n">
        <f aca="false">Raw_Data!I302</f>
        <v>607645</v>
      </c>
      <c r="J302" s="11" t="n">
        <f aca="false">IF(Raw_Data!J302&lt;0,ABS(Raw_Data!J302),Raw_Data!J302)</f>
        <v>5647</v>
      </c>
      <c r="K302" s="11" t="n">
        <f aca="false">Raw_Data!K302</f>
        <v>262</v>
      </c>
      <c r="L302" s="11" t="n">
        <f aca="false">IF(Raw_Data!L302="",ROUND(AVERAGEIFS(Raw_Data!$L$2:$L$839,Raw_Data!$C$2:$C$839,Raw_Data!C302),2),Raw_Data!L302)</f>
        <v>308962.01</v>
      </c>
      <c r="M302" s="13" t="n">
        <f aca="false">IFERROR(J302/I302,0)</f>
        <v>0.00929325510783434</v>
      </c>
      <c r="N302" s="14" t="n">
        <f aca="false">IFERROR(H302/J302,0)</f>
        <v>5.41356649548433</v>
      </c>
      <c r="O302" s="14" t="n">
        <f aca="false">IFERROR(H302/K302,0)</f>
        <v>116.680954198473</v>
      </c>
      <c r="P302" s="15" t="n">
        <f aca="false">IFERROR(L302/H302,0)</f>
        <v>10.1065707002294</v>
      </c>
      <c r="Q302" s="13" t="n">
        <f aca="false">IFERROR(K302/J302,0)</f>
        <v>0.0463963166282982</v>
      </c>
      <c r="R302" s="11" t="str">
        <f aca="false">IF(COUNTIF($A$2:A302,A302)&gt;1,"Duplicate - Remove","Unique")</f>
        <v>Unique</v>
      </c>
      <c r="S302" s="11" t="str">
        <f aca="false">TRIM(IF(Raw_Data!G302="","Region missing; ","")&amp;IF(Raw_Data!H302="","Spend imputed; ","")&amp;IF(Raw_Data!L302="","Revenue imputed; ","")&amp;IF(Raw_Data!J302&lt;0,"Clicks corrected; ",""))</f>
        <v/>
      </c>
    </row>
    <row r="303" customFormat="false" ht="15" hidden="false" customHeight="true" outlineLevel="0" collapsed="false">
      <c r="A303" s="11" t="n">
        <f aca="false">Raw_Data!A303</f>
        <v>1080</v>
      </c>
      <c r="B303" s="11" t="str">
        <f aca="false">PROPER(TRIM(Raw_Data!B303))</f>
        <v>Baby Care Trust Campaign</v>
      </c>
      <c r="C303" s="11" t="str">
        <f aca="false">IFERROR(INDEX(Lookup_Tables!$B$2:$B$26,MATCH(UPPER(TRIM(Raw_Data!C303)),Lookup_Tables!$C$2:$C$26,0)),"Unknown")</f>
        <v>Instagram</v>
      </c>
      <c r="D303" s="12" t="n">
        <f aca="false">IFERROR(IF(ISNUMBER(SEARCH("/",Raw_Data!D303)),DATE(VALUE(RIGHT(Raw_Data!D303,4)),VALUE(MID(Raw_Data!D303,FIND("/",Raw_Data!D303)+1,FIND("/",Raw_Data!D303,FIND("/",Raw_Data!D303)+1)-FIND("/",Raw_Data!D303)-1)),VALUE(LEFT(Raw_Data!D303,FIND("/",Raw_Data!D303)-1))),IF(ISNUMBER(VALUE(LEFT(Raw_Data!D303,4))),DATE(VALUE(LEFT(Raw_Data!D303,4)),VALUE(MID(Raw_Data!D303,6,2)),VALUE(MID(Raw_Data!D303,9,2))),DATEVALUE(Raw_Data!D303))),"")</f>
        <v>45511</v>
      </c>
      <c r="E303" s="12" t="n">
        <f aca="false">IFERROR(IF(ISNUMBER(SEARCH("/",Raw_Data!E303)),DATE(VALUE(RIGHT(Raw_Data!E303,4)),VALUE(MID(Raw_Data!E303,FIND("/",Raw_Data!E303)+1,FIND("/",Raw_Data!E303,FIND("/",Raw_Data!E303)+1)-FIND("/",Raw_Data!E303)-1)),VALUE(LEFT(Raw_Data!E303,FIND("/",Raw_Data!E303)-1))),IF(ISNUMBER(VALUE(LEFT(Raw_Data!E303,4))),DATE(VALUE(LEFT(Raw_Data!E303,4)),VALUE(MID(Raw_Data!E303,6,2)),VALUE(MID(Raw_Data!E303,9,2))),DATEVALUE(Raw_Data!E303))),"")</f>
        <v>45516</v>
      </c>
      <c r="F303" s="11" t="str">
        <f aca="false">Raw_Data!F303</f>
        <v>Male 25-34</v>
      </c>
      <c r="G303" s="11" t="str">
        <f aca="false">IF(TRIM(Raw_Data!G303)="","Unspecified",IFERROR(INDEX(Lookup_Tables!$F$2:$F$24,MATCH(UPPER(TRIM(Raw_Data!G303)),Lookup_Tables!$G$2:$G$24,0)),"Unknown"))</f>
        <v>Central</v>
      </c>
      <c r="H303" s="11" t="n">
        <f aca="false">IF(Raw_Data!H303="",ROUND(AVERAGEIFS(Raw_Data!$H$2:$H$839,Raw_Data!$C$2:$C$839,Raw_Data!C303),2),Raw_Data!H303)</f>
        <v>26346.43</v>
      </c>
      <c r="I303" s="11" t="n">
        <f aca="false">Raw_Data!I303</f>
        <v>771070</v>
      </c>
      <c r="J303" s="11" t="n">
        <f aca="false">IF(Raw_Data!J303&lt;0,ABS(Raw_Data!J303),Raw_Data!J303)</f>
        <v>8188</v>
      </c>
      <c r="K303" s="11" t="n">
        <f aca="false">Raw_Data!K303</f>
        <v>464</v>
      </c>
      <c r="L303" s="11" t="n">
        <f aca="false">IF(Raw_Data!L303="",ROUND(AVERAGEIFS(Raw_Data!$L$2:$L$839,Raw_Data!$C$2:$C$839,Raw_Data!C303),2),Raw_Data!L303)</f>
        <v>514600.41</v>
      </c>
      <c r="M303" s="13" t="n">
        <f aca="false">IFERROR(J303/I303,0)</f>
        <v>0.0106190099472162</v>
      </c>
      <c r="N303" s="14" t="n">
        <f aca="false">IFERROR(H303/J303,0)</f>
        <v>3.21768808011724</v>
      </c>
      <c r="O303" s="14" t="n">
        <f aca="false">IFERROR(H303/K303,0)</f>
        <v>56.781099137931</v>
      </c>
      <c r="P303" s="15" t="n">
        <f aca="false">IFERROR(L303/H303,0)</f>
        <v>19.5320736054183</v>
      </c>
      <c r="Q303" s="13" t="n">
        <f aca="false">IFERROR(K303/J303,0)</f>
        <v>0.0566682950659502</v>
      </c>
      <c r="R303" s="11" t="str">
        <f aca="false">IF(COUNTIF($A$2:A303,A303)&gt;1,"Duplicate - Remove","Unique")</f>
        <v>Unique</v>
      </c>
      <c r="S303" s="11" t="str">
        <f aca="false">TRIM(IF(Raw_Data!G303="","Region missing; ","")&amp;IF(Raw_Data!H303="","Spend imputed; ","")&amp;IF(Raw_Data!L303="","Revenue imputed; ","")&amp;IF(Raw_Data!J303&lt;0,"Clicks corrected; ",""))</f>
        <v/>
      </c>
    </row>
    <row r="304" customFormat="false" ht="15" hidden="false" customHeight="true" outlineLevel="0" collapsed="false">
      <c r="A304" s="11" t="n">
        <f aca="false">Raw_Data!A304</f>
        <v>1243</v>
      </c>
      <c r="B304" s="11" t="str">
        <f aca="false">PROPER(TRIM(Raw_Data!B304))</f>
        <v>Herbal Range Awareness</v>
      </c>
      <c r="C304" s="11" t="str">
        <f aca="false">IFERROR(INDEX(Lookup_Tables!$B$2:$B$26,MATCH(UPPER(TRIM(Raw_Data!C304)),Lookup_Tables!$C$2:$C$26,0)),"Unknown")</f>
        <v>Google Ads</v>
      </c>
      <c r="D304" s="12" t="n">
        <f aca="false">IFERROR(IF(ISNUMBER(SEARCH("/",Raw_Data!D304)),DATE(VALUE(RIGHT(Raw_Data!D304,4)),VALUE(MID(Raw_Data!D304,FIND("/",Raw_Data!D304)+1,FIND("/",Raw_Data!D304,FIND("/",Raw_Data!D304)+1)-FIND("/",Raw_Data!D304)-1)),VALUE(LEFT(Raw_Data!D304,FIND("/",Raw_Data!D304)-1))),IF(ISNUMBER(VALUE(LEFT(Raw_Data!D304,4))),DATE(VALUE(LEFT(Raw_Data!D304,4)),VALUE(MID(Raw_Data!D304,6,2)),VALUE(MID(Raw_Data!D304,9,2))),DATEVALUE(Raw_Data!D304))),"")</f>
        <v>45519</v>
      </c>
      <c r="E304" s="12" t="n">
        <f aca="false">IFERROR(IF(ISNUMBER(SEARCH("/",Raw_Data!E304)),DATE(VALUE(RIGHT(Raw_Data!E304,4)),VALUE(MID(Raw_Data!E304,FIND("/",Raw_Data!E304)+1,FIND("/",Raw_Data!E304,FIND("/",Raw_Data!E304)+1)-FIND("/",Raw_Data!E304)-1)),VALUE(LEFT(Raw_Data!E304,FIND("/",Raw_Data!E304)-1))),IF(ISNUMBER(VALUE(LEFT(Raw_Data!E304,4))),DATE(VALUE(LEFT(Raw_Data!E304,4)),VALUE(MID(Raw_Data!E304,6,2)),VALUE(MID(Raw_Data!E304,9,2))),DATEVALUE(Raw_Data!E304))),"")</f>
        <v>45548</v>
      </c>
      <c r="F304" s="11" t="str">
        <f aca="false">Raw_Data!F304</f>
        <v>Male 25-34</v>
      </c>
      <c r="G304" s="11" t="str">
        <f aca="false">IF(TRIM(Raw_Data!G304)="","Unspecified",IFERROR(INDEX(Lookup_Tables!$F$2:$F$24,MATCH(UPPER(TRIM(Raw_Data!G304)),Lookup_Tables!$G$2:$G$24,0)),"Unknown"))</f>
        <v>East</v>
      </c>
      <c r="H304" s="11" t="n">
        <f aca="false">IF(Raw_Data!H304="",ROUND(AVERAGEIFS(Raw_Data!$H$2:$H$839,Raw_Data!$C$2:$C$839,Raw_Data!C304),2),Raw_Data!H304)</f>
        <v>62352.68</v>
      </c>
      <c r="I304" s="11" t="n">
        <f aca="false">Raw_Data!I304</f>
        <v>1747333</v>
      </c>
      <c r="J304" s="11" t="n">
        <f aca="false">IF(Raw_Data!J304&lt;0,ABS(Raw_Data!J304),Raw_Data!J304)</f>
        <v>32340</v>
      </c>
      <c r="K304" s="11" t="n">
        <f aca="false">Raw_Data!K304</f>
        <v>702</v>
      </c>
      <c r="L304" s="11" t="n">
        <f aca="false">IF(Raw_Data!L304="",ROUND(AVERAGEIFS(Raw_Data!$L$2:$L$839,Raw_Data!$C$2:$C$839,Raw_Data!C304),2),Raw_Data!L304)</f>
        <v>1115202.24</v>
      </c>
      <c r="M304" s="13" t="n">
        <f aca="false">IFERROR(J304/I304,0)</f>
        <v>0.0185082065067162</v>
      </c>
      <c r="N304" s="14" t="n">
        <f aca="false">IFERROR(H304/J304,0)</f>
        <v>1.92803586889301</v>
      </c>
      <c r="O304" s="14" t="n">
        <f aca="false">IFERROR(H304/K304,0)</f>
        <v>88.8214814814815</v>
      </c>
      <c r="P304" s="15" t="n">
        <f aca="false">IFERROR(L304/H304,0)</f>
        <v>17.8853938595743</v>
      </c>
      <c r="Q304" s="13" t="n">
        <f aca="false">IFERROR(K304/J304,0)</f>
        <v>0.0217068645640074</v>
      </c>
      <c r="R304" s="11" t="str">
        <f aca="false">IF(COUNTIF($A$2:A304,A304)&gt;1,"Duplicate - Remove","Unique")</f>
        <v>Unique</v>
      </c>
      <c r="S304" s="11" t="str">
        <f aca="false">TRIM(IF(Raw_Data!G304="","Region missing; ","")&amp;IF(Raw_Data!H304="","Spend imputed; ","")&amp;IF(Raw_Data!L304="","Revenue imputed; ","")&amp;IF(Raw_Data!J304&lt;0,"Clicks corrected; ",""))</f>
        <v/>
      </c>
    </row>
    <row r="305" customFormat="false" ht="15" hidden="false" customHeight="true" outlineLevel="0" collapsed="false">
      <c r="A305" s="11" t="n">
        <f aca="false">Raw_Data!A305</f>
        <v>1286</v>
      </c>
      <c r="B305" s="11" t="str">
        <f aca="false">PROPER(TRIM(Raw_Data!B305))</f>
        <v>Festive Gift Bundle</v>
      </c>
      <c r="C305" s="11" t="str">
        <f aca="false">IFERROR(INDEX(Lookup_Tables!$B$2:$B$26,MATCH(UPPER(TRIM(Raw_Data!C305)),Lookup_Tables!$C$2:$C$26,0)),"Unknown")</f>
        <v>Facebook</v>
      </c>
      <c r="D305" s="12" t="n">
        <f aca="false">IFERROR(IF(ISNUMBER(SEARCH("/",Raw_Data!D305)),DATE(VALUE(RIGHT(Raw_Data!D305,4)),VALUE(MID(Raw_Data!D305,FIND("/",Raw_Data!D305)+1,FIND("/",Raw_Data!D305,FIND("/",Raw_Data!D305)+1)-FIND("/",Raw_Data!D305)-1)),VALUE(LEFT(Raw_Data!D305,FIND("/",Raw_Data!D305)-1))),IF(ISNUMBER(VALUE(LEFT(Raw_Data!D305,4))),DATE(VALUE(LEFT(Raw_Data!D305,4)),VALUE(MID(Raw_Data!D305,6,2)),VALUE(MID(Raw_Data!D305,9,2))),DATEVALUE(Raw_Data!D305))),"")</f>
        <v>45320</v>
      </c>
      <c r="E305" s="12" t="n">
        <f aca="false">IFERROR(IF(ISNUMBER(SEARCH("/",Raw_Data!E305)),DATE(VALUE(RIGHT(Raw_Data!E305,4)),VALUE(MID(Raw_Data!E305,FIND("/",Raw_Data!E305)+1,FIND("/",Raw_Data!E305,FIND("/",Raw_Data!E305)+1)-FIND("/",Raw_Data!E305)-1)),VALUE(LEFT(Raw_Data!E305,FIND("/",Raw_Data!E305)-1))),IF(ISNUMBER(VALUE(LEFT(Raw_Data!E305,4))),DATE(VALUE(LEFT(Raw_Data!E305,4)),VALUE(MID(Raw_Data!E305,6,2)),VALUE(MID(Raw_Data!E305,9,2))),DATEVALUE(Raw_Data!E305))),"")</f>
        <v>45341</v>
      </c>
      <c r="F305" s="11" t="str">
        <f aca="false">Raw_Data!F305</f>
        <v>Female 45+</v>
      </c>
      <c r="G305" s="11" t="str">
        <f aca="false">IF(TRIM(Raw_Data!G305)="","Unspecified",IFERROR(INDEX(Lookup_Tables!$F$2:$F$24,MATCH(UPPER(TRIM(Raw_Data!G305)),Lookup_Tables!$G$2:$G$24,0)),"Unknown"))</f>
        <v>Central</v>
      </c>
      <c r="H305" s="11" t="n">
        <f aca="false">IF(Raw_Data!H305="",ROUND(AVERAGEIFS(Raw_Data!$H$2:$H$839,Raw_Data!$C$2:$C$839,Raw_Data!C305),2),Raw_Data!H305)</f>
        <v>30857.48</v>
      </c>
      <c r="I305" s="11" t="n">
        <f aca="false">Raw_Data!I305</f>
        <v>986048</v>
      </c>
      <c r="J305" s="11" t="n">
        <f aca="false">IF(Raw_Data!J305&lt;0,ABS(Raw_Data!J305),Raw_Data!J305)</f>
        <v>21353</v>
      </c>
      <c r="K305" s="11" t="n">
        <f aca="false">Raw_Data!K305</f>
        <v>241</v>
      </c>
      <c r="L305" s="11" t="n">
        <f aca="false">IF(Raw_Data!L305="",ROUND(AVERAGEIFS(Raw_Data!$L$2:$L$839,Raw_Data!$C$2:$C$839,Raw_Data!C305),2),Raw_Data!L305)</f>
        <v>286121.61</v>
      </c>
      <c r="M305" s="13" t="n">
        <f aca="false">IFERROR(J305/I305,0)</f>
        <v>0.0216551324073473</v>
      </c>
      <c r="N305" s="14" t="n">
        <f aca="false">IFERROR(H305/J305,0)</f>
        <v>1.44511216222545</v>
      </c>
      <c r="O305" s="14" t="n">
        <f aca="false">IFERROR(H305/K305,0)</f>
        <v>128.039336099585</v>
      </c>
      <c r="P305" s="15" t="n">
        <f aca="false">IFERROR(L305/H305,0)</f>
        <v>9.27235827423367</v>
      </c>
      <c r="Q305" s="13" t="n">
        <f aca="false">IFERROR(K305/J305,0)</f>
        <v>0.0112864702852058</v>
      </c>
      <c r="R305" s="11" t="str">
        <f aca="false">IF(COUNTIF($A$2:A305,A305)&gt;1,"Duplicate - Remove","Unique")</f>
        <v>Unique</v>
      </c>
      <c r="S305" s="11" t="str">
        <f aca="false">TRIM(IF(Raw_Data!G305="","Region missing; ","")&amp;IF(Raw_Data!H305="","Spend imputed; ","")&amp;IF(Raw_Data!L305="","Revenue imputed; ","")&amp;IF(Raw_Data!J305&lt;0,"Clicks corrected; ",""))</f>
        <v/>
      </c>
    </row>
    <row r="306" customFormat="false" ht="15" hidden="false" customHeight="true" outlineLevel="0" collapsed="false">
      <c r="A306" s="11" t="n">
        <f aca="false">Raw_Data!A306</f>
        <v>1012</v>
      </c>
      <c r="B306" s="11" t="str">
        <f aca="false">PROPER(TRIM(Raw_Data!B306))</f>
        <v>Wedding Season Special</v>
      </c>
      <c r="C306" s="11" t="str">
        <f aca="false">IFERROR(INDEX(Lookup_Tables!$B$2:$B$26,MATCH(UPPER(TRIM(Raw_Data!C306)),Lookup_Tables!$C$2:$C$26,0)),"Unknown")</f>
        <v>Instagram</v>
      </c>
      <c r="D306" s="12" t="n">
        <f aca="false">IFERROR(IF(ISNUMBER(SEARCH("/",Raw_Data!D306)),DATE(VALUE(RIGHT(Raw_Data!D306,4)),VALUE(MID(Raw_Data!D306,FIND("/",Raw_Data!D306)+1,FIND("/",Raw_Data!D306,FIND("/",Raw_Data!D306)+1)-FIND("/",Raw_Data!D306)-1)),VALUE(LEFT(Raw_Data!D306,FIND("/",Raw_Data!D306)-1))),IF(ISNUMBER(VALUE(LEFT(Raw_Data!D306,4))),DATE(VALUE(LEFT(Raw_Data!D306,4)),VALUE(MID(Raw_Data!D306,6,2)),VALUE(MID(Raw_Data!D306,9,2))),DATEVALUE(Raw_Data!D306))),"")</f>
        <v>45322</v>
      </c>
      <c r="E306" s="12" t="n">
        <f aca="false">IFERROR(IF(ISNUMBER(SEARCH("/",Raw_Data!E306)),DATE(VALUE(RIGHT(Raw_Data!E306,4)),VALUE(MID(Raw_Data!E306,FIND("/",Raw_Data!E306)+1,FIND("/",Raw_Data!E306,FIND("/",Raw_Data!E306)+1)-FIND("/",Raw_Data!E306)-1)),VALUE(LEFT(Raw_Data!E306,FIND("/",Raw_Data!E306)-1))),IF(ISNUMBER(VALUE(LEFT(Raw_Data!E306,4))),DATE(VALUE(LEFT(Raw_Data!E306,4)),VALUE(MID(Raw_Data!E306,6,2)),VALUE(MID(Raw_Data!E306,9,2))),DATEVALUE(Raw_Data!E306))),"")</f>
        <v>45332</v>
      </c>
      <c r="F306" s="11" t="str">
        <f aca="false">Raw_Data!F306</f>
        <v>Female 45+</v>
      </c>
      <c r="G306" s="11" t="str">
        <f aca="false">IF(TRIM(Raw_Data!G306)="","Unspecified",IFERROR(INDEX(Lookup_Tables!$F$2:$F$24,MATCH(UPPER(TRIM(Raw_Data!G306)),Lookup_Tables!$G$2:$G$24,0)),"Unknown"))</f>
        <v>West</v>
      </c>
      <c r="H306" s="11" t="n">
        <f aca="false">IF(Raw_Data!H306="",ROUND(AVERAGEIFS(Raw_Data!$H$2:$H$839,Raw_Data!$C$2:$C$839,Raw_Data!C306),2),Raw_Data!H306)</f>
        <v>8112.08</v>
      </c>
      <c r="I306" s="11" t="n">
        <f aca="false">Raw_Data!I306</f>
        <v>200859</v>
      </c>
      <c r="J306" s="11" t="n">
        <f aca="false">IF(Raw_Data!J306&lt;0,ABS(Raw_Data!J306),Raw_Data!J306)</f>
        <v>6587</v>
      </c>
      <c r="K306" s="11" t="n">
        <f aca="false">Raw_Data!K306</f>
        <v>427</v>
      </c>
      <c r="L306" s="11" t="n">
        <f aca="false">IF(Raw_Data!L306="",ROUND(AVERAGEIFS(Raw_Data!$L$2:$L$839,Raw_Data!$C$2:$C$839,Raw_Data!C306),2),Raw_Data!L306)</f>
        <v>326062.06</v>
      </c>
      <c r="M306" s="13" t="n">
        <f aca="false">IFERROR(J306/I306,0)</f>
        <v>0.0327941491294888</v>
      </c>
      <c r="N306" s="14" t="n">
        <f aca="false">IFERROR(H306/J306,0)</f>
        <v>1.231528768787</v>
      </c>
      <c r="O306" s="14" t="n">
        <f aca="false">IFERROR(H306/K306,0)</f>
        <v>18.9978454332553</v>
      </c>
      <c r="P306" s="15" t="n">
        <f aca="false">IFERROR(L306/H306,0)</f>
        <v>40.1946307235629</v>
      </c>
      <c r="Q306" s="13" t="n">
        <f aca="false">IFERROR(K306/J306,0)</f>
        <v>0.0648246546227418</v>
      </c>
      <c r="R306" s="11" t="str">
        <f aca="false">IF(COUNTIF($A$2:A306,A306)&gt;1,"Duplicate - Remove","Unique")</f>
        <v>Unique</v>
      </c>
      <c r="S306" s="11" t="str">
        <f aca="false">TRIM(IF(Raw_Data!G306="","Region missing; ","")&amp;IF(Raw_Data!H306="","Spend imputed; ","")&amp;IF(Raw_Data!L306="","Revenue imputed; ","")&amp;IF(Raw_Data!J306&lt;0,"Clicks corrected; ",""))</f>
        <v/>
      </c>
    </row>
    <row r="307" customFormat="false" ht="15" hidden="false" customHeight="true" outlineLevel="0" collapsed="false">
      <c r="A307" s="11" t="n">
        <f aca="false">Raw_Data!A307</f>
        <v>1390</v>
      </c>
      <c r="B307" s="11" t="str">
        <f aca="false">PROPER(TRIM(Raw_Data!B307))</f>
        <v>Sunscreen Season Campaign</v>
      </c>
      <c r="C307" s="11" t="str">
        <f aca="false">IFERROR(INDEX(Lookup_Tables!$B$2:$B$26,MATCH(UPPER(TRIM(Raw_Data!C307)),Lookup_Tables!$C$2:$C$26,0)),"Unknown")</f>
        <v>Google Ads</v>
      </c>
      <c r="D307" s="12" t="n">
        <f aca="false">IFERROR(IF(ISNUMBER(SEARCH("/",Raw_Data!D307)),DATE(VALUE(RIGHT(Raw_Data!D307,4)),VALUE(MID(Raw_Data!D307,FIND("/",Raw_Data!D307)+1,FIND("/",Raw_Data!D307,FIND("/",Raw_Data!D307)+1)-FIND("/",Raw_Data!D307)-1)),VALUE(LEFT(Raw_Data!D307,FIND("/",Raw_Data!D307)-1))),IF(ISNUMBER(VALUE(LEFT(Raw_Data!D307,4))),DATE(VALUE(LEFT(Raw_Data!D307,4)),VALUE(MID(Raw_Data!D307,6,2)),VALUE(MID(Raw_Data!D307,9,2))),DATEVALUE(Raw_Data!D307))),"")</f>
        <v>45497</v>
      </c>
      <c r="E307" s="12" t="n">
        <f aca="false">IFERROR(IF(ISNUMBER(SEARCH("/",Raw_Data!E307)),DATE(VALUE(RIGHT(Raw_Data!E307,4)),VALUE(MID(Raw_Data!E307,FIND("/",Raw_Data!E307)+1,FIND("/",Raw_Data!E307,FIND("/",Raw_Data!E307)+1)-FIND("/",Raw_Data!E307)-1)),VALUE(LEFT(Raw_Data!E307,FIND("/",Raw_Data!E307)-1))),IF(ISNUMBER(VALUE(LEFT(Raw_Data!E307,4))),DATE(VALUE(LEFT(Raw_Data!E307,4)),VALUE(MID(Raw_Data!E307,6,2)),VALUE(MID(Raw_Data!E307,9,2))),DATEVALUE(Raw_Data!E307))),"")</f>
        <v>45526</v>
      </c>
      <c r="F307" s="11" t="str">
        <f aca="false">Raw_Data!F307</f>
        <v>Male 35-44</v>
      </c>
      <c r="G307" s="11" t="str">
        <f aca="false">IF(TRIM(Raw_Data!G307)="","Unspecified",IFERROR(INDEX(Lookup_Tables!$F$2:$F$24,MATCH(UPPER(TRIM(Raw_Data!G307)),Lookup_Tables!$G$2:$G$24,0)),"Unknown"))</f>
        <v>Central</v>
      </c>
      <c r="H307" s="11" t="n">
        <f aca="false">IF(Raw_Data!H307="",ROUND(AVERAGEIFS(Raw_Data!$H$2:$H$839,Raw_Data!$C$2:$C$839,Raw_Data!C307),2),Raw_Data!H307)</f>
        <v>40385.06</v>
      </c>
      <c r="I307" s="11" t="n">
        <f aca="false">Raw_Data!I307</f>
        <v>1002827</v>
      </c>
      <c r="J307" s="11" t="n">
        <f aca="false">IF(Raw_Data!J307&lt;0,ABS(Raw_Data!J307),Raw_Data!J307)</f>
        <v>6130</v>
      </c>
      <c r="K307" s="11" t="n">
        <f aca="false">Raw_Data!K307</f>
        <v>457</v>
      </c>
      <c r="L307" s="11" t="n">
        <f aca="false">IF(Raw_Data!L307="",ROUND(AVERAGEIFS(Raw_Data!$L$2:$L$839,Raw_Data!$C$2:$C$839,Raw_Data!C307),2),Raw_Data!L307)</f>
        <v>259978.41</v>
      </c>
      <c r="M307" s="13" t="n">
        <f aca="false">IFERROR(J307/I307,0)</f>
        <v>0.00611271934241898</v>
      </c>
      <c r="N307" s="14" t="n">
        <f aca="false">IFERROR(H307/J307,0)</f>
        <v>6.58810114192496</v>
      </c>
      <c r="O307" s="14" t="n">
        <f aca="false">IFERROR(H307/K307,0)</f>
        <v>88.3699343544858</v>
      </c>
      <c r="P307" s="15" t="n">
        <f aca="false">IFERROR(L307/H307,0)</f>
        <v>6.4374897548747</v>
      </c>
      <c r="Q307" s="13" t="n">
        <f aca="false">IFERROR(K307/J307,0)</f>
        <v>0.0745513866231648</v>
      </c>
      <c r="R307" s="11" t="str">
        <f aca="false">IF(COUNTIF($A$2:A307,A307)&gt;1,"Duplicate - Remove","Unique")</f>
        <v>Unique</v>
      </c>
      <c r="S307" s="11" t="str">
        <f aca="false">TRIM(IF(Raw_Data!G307="","Region missing; ","")&amp;IF(Raw_Data!H307="","Spend imputed; ","")&amp;IF(Raw_Data!L307="","Revenue imputed; ","")&amp;IF(Raw_Data!J307&lt;0,"Clicks corrected; ",""))</f>
        <v/>
      </c>
    </row>
    <row r="308" customFormat="false" ht="15" hidden="false" customHeight="true" outlineLevel="0" collapsed="false">
      <c r="A308" s="11" t="n">
        <f aca="false">Raw_Data!A308</f>
        <v>1461</v>
      </c>
      <c r="B308" s="11" t="str">
        <f aca="false">PROPER(TRIM(Raw_Data!B308))</f>
        <v>Clearance Sale Push</v>
      </c>
      <c r="C308" s="11" t="str">
        <f aca="false">IFERROR(INDEX(Lookup_Tables!$B$2:$B$26,MATCH(UPPER(TRIM(Raw_Data!C308)),Lookup_Tables!$C$2:$C$26,0)),"Unknown")</f>
        <v>Facebook</v>
      </c>
      <c r="D308" s="12" t="n">
        <f aca="false">IFERROR(IF(ISNUMBER(SEARCH("/",Raw_Data!D308)),DATE(VALUE(RIGHT(Raw_Data!D308,4)),VALUE(MID(Raw_Data!D308,FIND("/",Raw_Data!D308)+1,FIND("/",Raw_Data!D308,FIND("/",Raw_Data!D308)+1)-FIND("/",Raw_Data!D308)-1)),VALUE(LEFT(Raw_Data!D308,FIND("/",Raw_Data!D308)-1))),IF(ISNUMBER(VALUE(LEFT(Raw_Data!D308,4))),DATE(VALUE(LEFT(Raw_Data!D308,4)),VALUE(MID(Raw_Data!D308,6,2)),VALUE(MID(Raw_Data!D308,9,2))),DATEVALUE(Raw_Data!D308))),"")</f>
        <v>45373</v>
      </c>
      <c r="E308" s="12" t="n">
        <f aca="false">IFERROR(IF(ISNUMBER(SEARCH("/",Raw_Data!E308)),DATE(VALUE(RIGHT(Raw_Data!E308,4)),VALUE(MID(Raw_Data!E308,FIND("/",Raw_Data!E308)+1,FIND("/",Raw_Data!E308,FIND("/",Raw_Data!E308)+1)-FIND("/",Raw_Data!E308)-1)),VALUE(LEFT(Raw_Data!E308,FIND("/",Raw_Data!E308)-1))),IF(ISNUMBER(VALUE(LEFT(Raw_Data!E308,4))),DATE(VALUE(LEFT(Raw_Data!E308,4)),VALUE(MID(Raw_Data!E308,6,2)),VALUE(MID(Raw_Data!E308,9,2))),DATEVALUE(Raw_Data!E308))),"")</f>
        <v>45378</v>
      </c>
      <c r="F308" s="11" t="str">
        <f aca="false">Raw_Data!F308</f>
        <v>Male 25-34</v>
      </c>
      <c r="G308" s="11" t="str">
        <f aca="false">IF(TRIM(Raw_Data!G308)="","Unspecified",IFERROR(INDEX(Lookup_Tables!$F$2:$F$24,MATCH(UPPER(TRIM(Raw_Data!G308)),Lookup_Tables!$G$2:$G$24,0)),"Unknown"))</f>
        <v>South</v>
      </c>
      <c r="H308" s="11" t="n">
        <f aca="false">IF(Raw_Data!H308="",ROUND(AVERAGEIFS(Raw_Data!$H$2:$H$839,Raw_Data!$C$2:$C$839,Raw_Data!C308),2),Raw_Data!H308)</f>
        <v>23260.57</v>
      </c>
      <c r="I308" s="11" t="n">
        <f aca="false">Raw_Data!I308</f>
        <v>594561</v>
      </c>
      <c r="J308" s="11" t="n">
        <f aca="false">IF(Raw_Data!J308&lt;0,ABS(Raw_Data!J308),Raw_Data!J308)</f>
        <v>11417</v>
      </c>
      <c r="K308" s="11" t="n">
        <f aca="false">Raw_Data!K308</f>
        <v>392</v>
      </c>
      <c r="L308" s="11" t="n">
        <f aca="false">IF(Raw_Data!L308="",ROUND(AVERAGEIFS(Raw_Data!$L$2:$L$839,Raw_Data!$C$2:$C$839,Raw_Data!C308),2),Raw_Data!L308)</f>
        <v>359650.57</v>
      </c>
      <c r="M308" s="13" t="n">
        <f aca="false">IFERROR(J308/I308,0)</f>
        <v>0.0192024031175943</v>
      </c>
      <c r="N308" s="14" t="n">
        <f aca="false">IFERROR(H308/J308,0)</f>
        <v>2.03736270473855</v>
      </c>
      <c r="O308" s="14" t="n">
        <f aca="false">IFERROR(H308/K308,0)</f>
        <v>59.3381887755102</v>
      </c>
      <c r="P308" s="15" t="n">
        <f aca="false">IFERROR(L308/H308,0)</f>
        <v>15.4618124147431</v>
      </c>
      <c r="Q308" s="13" t="n">
        <f aca="false">IFERROR(K308/J308,0)</f>
        <v>0.0343347639484979</v>
      </c>
      <c r="R308" s="11" t="str">
        <f aca="false">IF(COUNTIF($A$2:A308,A308)&gt;1,"Duplicate - Remove","Unique")</f>
        <v>Unique</v>
      </c>
      <c r="S308" s="11" t="str">
        <f aca="false">TRIM(IF(Raw_Data!G308="","Region missing; ","")&amp;IF(Raw_Data!H308="","Spend imputed; ","")&amp;IF(Raw_Data!L308="","Revenue imputed; ","")&amp;IF(Raw_Data!J308&lt;0,"Clicks corrected; ",""))</f>
        <v/>
      </c>
    </row>
    <row r="309" customFormat="false" ht="15" hidden="false" customHeight="true" outlineLevel="0" collapsed="false">
      <c r="A309" s="11" t="n">
        <f aca="false">Raw_Data!A309</f>
        <v>1635</v>
      </c>
      <c r="B309" s="11" t="str">
        <f aca="false">PROPER(TRIM(Raw_Data!B309))</f>
        <v>Wedding Season Special</v>
      </c>
      <c r="C309" s="11" t="str">
        <f aca="false">IFERROR(INDEX(Lookup_Tables!$B$2:$B$26,MATCH(UPPER(TRIM(Raw_Data!C309)),Lookup_Tables!$C$2:$C$26,0)),"Unknown")</f>
        <v>Email</v>
      </c>
      <c r="D309" s="12" t="n">
        <f aca="false">IFERROR(IF(ISNUMBER(SEARCH("/",Raw_Data!D309)),DATE(VALUE(RIGHT(Raw_Data!D309,4)),VALUE(MID(Raw_Data!D309,FIND("/",Raw_Data!D309)+1,FIND("/",Raw_Data!D309,FIND("/",Raw_Data!D309)+1)-FIND("/",Raw_Data!D309)-1)),VALUE(LEFT(Raw_Data!D309,FIND("/",Raw_Data!D309)-1))),IF(ISNUMBER(VALUE(LEFT(Raw_Data!D309,4))),DATE(VALUE(LEFT(Raw_Data!D309,4)),VALUE(MID(Raw_Data!D309,6,2)),VALUE(MID(Raw_Data!D309,9,2))),DATEVALUE(Raw_Data!D309))),"")</f>
        <v>45538</v>
      </c>
      <c r="E309" s="12" t="n">
        <f aca="false">IFERROR(IF(ISNUMBER(SEARCH("/",Raw_Data!E309)),DATE(VALUE(RIGHT(Raw_Data!E309,4)),VALUE(MID(Raw_Data!E309,FIND("/",Raw_Data!E309)+1,FIND("/",Raw_Data!E309,FIND("/",Raw_Data!E309)+1)-FIND("/",Raw_Data!E309)-1)),VALUE(LEFT(Raw_Data!E309,FIND("/",Raw_Data!E309)-1))),IF(ISNUMBER(VALUE(LEFT(Raw_Data!E309,4))),DATE(VALUE(LEFT(Raw_Data!E309,4)),VALUE(MID(Raw_Data!E309,6,2)),VALUE(MID(Raw_Data!E309,9,2))),DATEVALUE(Raw_Data!E309))),"")</f>
        <v>45566</v>
      </c>
      <c r="F309" s="11" t="str">
        <f aca="false">Raw_Data!F309</f>
        <v>Male 45+</v>
      </c>
      <c r="G309" s="11" t="str">
        <f aca="false">IF(TRIM(Raw_Data!G309)="","Unspecified",IFERROR(INDEX(Lookup_Tables!$F$2:$F$24,MATCH(UPPER(TRIM(Raw_Data!G309)),Lookup_Tables!$G$2:$G$24,0)),"Unknown"))</f>
        <v>Central</v>
      </c>
      <c r="H309" s="11" t="n">
        <f aca="false">IF(Raw_Data!H309="",ROUND(AVERAGEIFS(Raw_Data!$H$2:$H$839,Raw_Data!$C$2:$C$839,Raw_Data!C309),2),Raw_Data!H309)</f>
        <v>3050.74</v>
      </c>
      <c r="I309" s="11" t="n">
        <f aca="false">Raw_Data!I309</f>
        <v>76146</v>
      </c>
      <c r="J309" s="11" t="n">
        <f aca="false">IF(Raw_Data!J309&lt;0,ABS(Raw_Data!J309),Raw_Data!J309)</f>
        <v>2259</v>
      </c>
      <c r="K309" s="11" t="n">
        <f aca="false">Raw_Data!K309</f>
        <v>144</v>
      </c>
      <c r="L309" s="11" t="n">
        <f aca="false">IF(Raw_Data!L309="",ROUND(AVERAGEIFS(Raw_Data!$L$2:$L$839,Raw_Data!$C$2:$C$839,Raw_Data!C309),2),Raw_Data!L309)</f>
        <v>126272.34</v>
      </c>
      <c r="M309" s="13" t="n">
        <f aca="false">IFERROR(J309/I309,0)</f>
        <v>0.0296666929319991</v>
      </c>
      <c r="N309" s="14" t="n">
        <f aca="false">IFERROR(H309/J309,0)</f>
        <v>1.3504825143869</v>
      </c>
      <c r="O309" s="14" t="n">
        <f aca="false">IFERROR(H309/K309,0)</f>
        <v>21.1856944444444</v>
      </c>
      <c r="P309" s="15" t="n">
        <f aca="false">IFERROR(L309/H309,0)</f>
        <v>41.3907248733094</v>
      </c>
      <c r="Q309" s="13" t="n">
        <f aca="false">IFERROR(K309/J309,0)</f>
        <v>0.0637450199203187</v>
      </c>
      <c r="R309" s="11" t="str">
        <f aca="false">IF(COUNTIF($A$2:A309,A309)&gt;1,"Duplicate - Remove","Unique")</f>
        <v>Unique</v>
      </c>
      <c r="S309" s="11" t="str">
        <f aca="false">TRIM(IF(Raw_Data!G309="","Region missing; ","")&amp;IF(Raw_Data!H309="","Spend imputed; ","")&amp;IF(Raw_Data!L309="","Revenue imputed; ","")&amp;IF(Raw_Data!J309&lt;0,"Clicks corrected; ",""))</f>
        <v/>
      </c>
    </row>
    <row r="310" customFormat="false" ht="15" hidden="false" customHeight="true" outlineLevel="0" collapsed="false">
      <c r="A310" s="11" t="n">
        <f aca="false">Raw_Data!A310</f>
        <v>1289</v>
      </c>
      <c r="B310" s="11" t="str">
        <f aca="false">PROPER(TRIM(Raw_Data!B310))</f>
        <v>Ayurvedic Range Launch</v>
      </c>
      <c r="C310" s="11" t="str">
        <f aca="false">IFERROR(INDEX(Lookup_Tables!$B$2:$B$26,MATCH(UPPER(TRIM(Raw_Data!C310)),Lookup_Tables!$C$2:$C$26,0)),"Unknown")</f>
        <v>Instagram</v>
      </c>
      <c r="D310" s="12" t="n">
        <f aca="false">IFERROR(IF(ISNUMBER(SEARCH("/",Raw_Data!D310)),DATE(VALUE(RIGHT(Raw_Data!D310,4)),VALUE(MID(Raw_Data!D310,FIND("/",Raw_Data!D310)+1,FIND("/",Raw_Data!D310,FIND("/",Raw_Data!D310)+1)-FIND("/",Raw_Data!D310)-1)),VALUE(LEFT(Raw_Data!D310,FIND("/",Raw_Data!D310)-1))),IF(ISNUMBER(VALUE(LEFT(Raw_Data!D310,4))),DATE(VALUE(LEFT(Raw_Data!D310,4)),VALUE(MID(Raw_Data!D310,6,2)),VALUE(MID(Raw_Data!D310,9,2))),DATEVALUE(Raw_Data!D310))),"")</f>
        <v>45294</v>
      </c>
      <c r="E310" s="12" t="n">
        <f aca="false">IFERROR(IF(ISNUMBER(SEARCH("/",Raw_Data!E310)),DATE(VALUE(RIGHT(Raw_Data!E310,4)),VALUE(MID(Raw_Data!E310,FIND("/",Raw_Data!E310)+1,FIND("/",Raw_Data!E310,FIND("/",Raw_Data!E310)+1)-FIND("/",Raw_Data!E310)-1)),VALUE(LEFT(Raw_Data!E310,FIND("/",Raw_Data!E310)-1))),IF(ISNUMBER(VALUE(LEFT(Raw_Data!E310,4))),DATE(VALUE(LEFT(Raw_Data!E310,4)),VALUE(MID(Raw_Data!E310,6,2)),VALUE(MID(Raw_Data!E310,9,2))),DATEVALUE(Raw_Data!E310))),"")</f>
        <v>45308</v>
      </c>
      <c r="F310" s="11" t="str">
        <f aca="false">Raw_Data!F310</f>
        <v>Female 25-34</v>
      </c>
      <c r="G310" s="11" t="str">
        <f aca="false">IF(TRIM(Raw_Data!G310)="","Unspecified",IFERROR(INDEX(Lookup_Tables!$F$2:$F$24,MATCH(UPPER(TRIM(Raw_Data!G310)),Lookup_Tables!$G$2:$G$24,0)),"Unknown"))</f>
        <v>North</v>
      </c>
      <c r="H310" s="11" t="n">
        <f aca="false">IF(Raw_Data!H310="",ROUND(AVERAGEIFS(Raw_Data!$H$2:$H$839,Raw_Data!$C$2:$C$839,Raw_Data!C310),2),Raw_Data!H310)</f>
        <v>43726.72</v>
      </c>
      <c r="I310" s="11" t="n">
        <f aca="false">Raw_Data!I310</f>
        <v>1305556</v>
      </c>
      <c r="J310" s="11" t="n">
        <f aca="false">IF(Raw_Data!J310&lt;0,ABS(Raw_Data!J310),Raw_Data!J310)</f>
        <v>9938</v>
      </c>
      <c r="K310" s="11" t="n">
        <f aca="false">Raw_Data!K310</f>
        <v>424</v>
      </c>
      <c r="L310" s="11" t="n">
        <f aca="false">IF(Raw_Data!L310="",ROUND(AVERAGEIFS(Raw_Data!$L$2:$L$839,Raw_Data!$C$2:$C$839,Raw_Data!C310),2),Raw_Data!L310)</f>
        <v>176766.73</v>
      </c>
      <c r="M310" s="13" t="n">
        <f aca="false">IFERROR(J310/I310,0)</f>
        <v>0.00761208251503574</v>
      </c>
      <c r="N310" s="14" t="n">
        <f aca="false">IFERROR(H310/J310,0)</f>
        <v>4.39995170054337</v>
      </c>
      <c r="O310" s="14" t="n">
        <f aca="false">IFERROR(H310/K310,0)</f>
        <v>103.129056603774</v>
      </c>
      <c r="P310" s="15" t="n">
        <f aca="false">IFERROR(L310/H310,0)</f>
        <v>4.04253348982041</v>
      </c>
      <c r="Q310" s="13" t="n">
        <f aca="false">IFERROR(K310/J310,0)</f>
        <v>0.0426645200241497</v>
      </c>
      <c r="R310" s="11" t="str">
        <f aca="false">IF(COUNTIF($A$2:A310,A310)&gt;1,"Duplicate - Remove","Unique")</f>
        <v>Unique</v>
      </c>
      <c r="S310" s="11" t="str">
        <f aca="false">TRIM(IF(Raw_Data!G310="","Region missing; ","")&amp;IF(Raw_Data!H310="","Spend imputed; ","")&amp;IF(Raw_Data!L310="","Revenue imputed; ","")&amp;IF(Raw_Data!J310&lt;0,"Clicks corrected; ",""))</f>
        <v/>
      </c>
    </row>
    <row r="311" customFormat="false" ht="15" hidden="false" customHeight="true" outlineLevel="0" collapsed="false">
      <c r="A311" s="11" t="n">
        <f aca="false">Raw_Data!A311</f>
        <v>1499</v>
      </c>
      <c r="B311" s="11" t="str">
        <f aca="false">PROPER(TRIM(Raw_Data!B311))</f>
        <v>Hair Care Revamp</v>
      </c>
      <c r="C311" s="11" t="str">
        <f aca="false">IFERROR(INDEX(Lookup_Tables!$B$2:$B$26,MATCH(UPPER(TRIM(Raw_Data!C311)),Lookup_Tables!$C$2:$C$26,0)),"Unknown")</f>
        <v>Instagram</v>
      </c>
      <c r="D311" s="12" t="n">
        <f aca="false">IFERROR(IF(ISNUMBER(SEARCH("/",Raw_Data!D311)),DATE(VALUE(RIGHT(Raw_Data!D311,4)),VALUE(MID(Raw_Data!D311,FIND("/",Raw_Data!D311)+1,FIND("/",Raw_Data!D311,FIND("/",Raw_Data!D311)+1)-FIND("/",Raw_Data!D311)-1)),VALUE(LEFT(Raw_Data!D311,FIND("/",Raw_Data!D311)-1))),IF(ISNUMBER(VALUE(LEFT(Raw_Data!D311,4))),DATE(VALUE(LEFT(Raw_Data!D311,4)),VALUE(MID(Raw_Data!D311,6,2)),VALUE(MID(Raw_Data!D311,9,2))),DATEVALUE(Raw_Data!D311))),"")</f>
        <v>45363</v>
      </c>
      <c r="E311" s="12" t="n">
        <f aca="false">IFERROR(IF(ISNUMBER(SEARCH("/",Raw_Data!E311)),DATE(VALUE(RIGHT(Raw_Data!E311,4)),VALUE(MID(Raw_Data!E311,FIND("/",Raw_Data!E311)+1,FIND("/",Raw_Data!E311,FIND("/",Raw_Data!E311)+1)-FIND("/",Raw_Data!E311)-1)),VALUE(LEFT(Raw_Data!E311,FIND("/",Raw_Data!E311)-1))),IF(ISNUMBER(VALUE(LEFT(Raw_Data!E311,4))),DATE(VALUE(LEFT(Raw_Data!E311,4)),VALUE(MID(Raw_Data!E311,6,2)),VALUE(MID(Raw_Data!E311,9,2))),DATEVALUE(Raw_Data!E311))),"")</f>
        <v>45377</v>
      </c>
      <c r="F311" s="11" t="str">
        <f aca="false">Raw_Data!F311</f>
        <v>Male 35-44</v>
      </c>
      <c r="G311" s="11" t="str">
        <f aca="false">IF(TRIM(Raw_Data!G311)="","Unspecified",IFERROR(INDEX(Lookup_Tables!$F$2:$F$24,MATCH(UPPER(TRIM(Raw_Data!G311)),Lookup_Tables!$G$2:$G$24,0)),"Unknown"))</f>
        <v>North</v>
      </c>
      <c r="H311" s="11" t="n">
        <f aca="false">IF(Raw_Data!H311="",ROUND(AVERAGEIFS(Raw_Data!$H$2:$H$839,Raw_Data!$C$2:$C$839,Raw_Data!C311),2),Raw_Data!H311)</f>
        <v>15495.29</v>
      </c>
      <c r="I311" s="11" t="n">
        <f aca="false">Raw_Data!I311</f>
        <v>562987</v>
      </c>
      <c r="J311" s="11" t="n">
        <f aca="false">IF(Raw_Data!J311&lt;0,ABS(Raw_Data!J311),Raw_Data!J311)</f>
        <v>19228</v>
      </c>
      <c r="K311" s="11" t="n">
        <f aca="false">Raw_Data!K311</f>
        <v>1421</v>
      </c>
      <c r="L311" s="11" t="n">
        <f aca="false">IF(Raw_Data!L311="",ROUND(AVERAGEIFS(Raw_Data!$L$2:$L$839,Raw_Data!$C$2:$C$839,Raw_Data!C311),2),Raw_Data!L311)</f>
        <v>997003.79</v>
      </c>
      <c r="M311" s="13" t="n">
        <f aca="false">IFERROR(J311/I311,0)</f>
        <v>0.0341535417336457</v>
      </c>
      <c r="N311" s="14" t="n">
        <f aca="false">IFERROR(H311/J311,0)</f>
        <v>0.805871125442064</v>
      </c>
      <c r="O311" s="14" t="n">
        <f aca="false">IFERROR(H311/K311,0)</f>
        <v>10.904496833216</v>
      </c>
      <c r="P311" s="15" t="n">
        <f aca="false">IFERROR(L311/H311,0)</f>
        <v>64.3423769416384</v>
      </c>
      <c r="Q311" s="13" t="n">
        <f aca="false">IFERROR(K311/J311,0)</f>
        <v>0.0739026419804452</v>
      </c>
      <c r="R311" s="11" t="str">
        <f aca="false">IF(COUNTIF($A$2:A311,A311)&gt;1,"Duplicate - Remove","Unique")</f>
        <v>Unique</v>
      </c>
      <c r="S311" s="11" t="str">
        <f aca="false">TRIM(IF(Raw_Data!G311="","Region missing; ","")&amp;IF(Raw_Data!H311="","Spend imputed; ","")&amp;IF(Raw_Data!L311="","Revenue imputed; ","")&amp;IF(Raw_Data!J311&lt;0,"Clicks corrected; ",""))</f>
        <v/>
      </c>
    </row>
    <row r="312" customFormat="false" ht="15" hidden="false" customHeight="true" outlineLevel="0" collapsed="false">
      <c r="A312" s="11" t="n">
        <f aca="false">Raw_Data!A312</f>
        <v>1671</v>
      </c>
      <c r="B312" s="11" t="str">
        <f aca="false">PROPER(TRIM(Raw_Data!B312))</f>
        <v>Sunscreen Season Campaign</v>
      </c>
      <c r="C312" s="11" t="str">
        <f aca="false">IFERROR(INDEX(Lookup_Tables!$B$2:$B$26,MATCH(UPPER(TRIM(Raw_Data!C312)),Lookup_Tables!$C$2:$C$26,0)),"Unknown")</f>
        <v>Facebook</v>
      </c>
      <c r="D312" s="12" t="n">
        <f aca="false">IFERROR(IF(ISNUMBER(SEARCH("/",Raw_Data!D312)),DATE(VALUE(RIGHT(Raw_Data!D312,4)),VALUE(MID(Raw_Data!D312,FIND("/",Raw_Data!D312)+1,FIND("/",Raw_Data!D312,FIND("/",Raw_Data!D312)+1)-FIND("/",Raw_Data!D312)-1)),VALUE(LEFT(Raw_Data!D312,FIND("/",Raw_Data!D312)-1))),IF(ISNUMBER(VALUE(LEFT(Raw_Data!D312,4))),DATE(VALUE(LEFT(Raw_Data!D312,4)),VALUE(MID(Raw_Data!D312,6,2)),VALUE(MID(Raw_Data!D312,9,2))),DATEVALUE(Raw_Data!D312))),"")</f>
        <v>45560</v>
      </c>
      <c r="E312" s="12" t="n">
        <f aca="false">IFERROR(IF(ISNUMBER(SEARCH("/",Raw_Data!E312)),DATE(VALUE(RIGHT(Raw_Data!E312,4)),VALUE(MID(Raw_Data!E312,FIND("/",Raw_Data!E312)+1,FIND("/",Raw_Data!E312,FIND("/",Raw_Data!E312)+1)-FIND("/",Raw_Data!E312)-1)),VALUE(LEFT(Raw_Data!E312,FIND("/",Raw_Data!E312)-1))),IF(ISNUMBER(VALUE(LEFT(Raw_Data!E312,4))),DATE(VALUE(LEFT(Raw_Data!E312,4)),VALUE(MID(Raw_Data!E312,6,2)),VALUE(MID(Raw_Data!E312,9,2))),DATEVALUE(Raw_Data!E312))),"")</f>
        <v>45568</v>
      </c>
      <c r="F312" s="11" t="str">
        <f aca="false">Raw_Data!F312</f>
        <v>Male 25-34</v>
      </c>
      <c r="G312" s="11" t="str">
        <f aca="false">IF(TRIM(Raw_Data!G312)="","Unspecified",IFERROR(INDEX(Lookup_Tables!$F$2:$F$24,MATCH(UPPER(TRIM(Raw_Data!G312)),Lookup_Tables!$G$2:$G$24,0)),"Unknown"))</f>
        <v>East</v>
      </c>
      <c r="H312" s="11" t="n">
        <f aca="false">IF(Raw_Data!H312="",ROUND(AVERAGEIFS(Raw_Data!$H$2:$H$839,Raw_Data!$C$2:$C$839,Raw_Data!C312),2),Raw_Data!H312)</f>
        <v>32331.65</v>
      </c>
      <c r="I312" s="11" t="n">
        <f aca="false">Raw_Data!I312</f>
        <v>672644</v>
      </c>
      <c r="J312" s="11" t="n">
        <f aca="false">IF(Raw_Data!J312&lt;0,ABS(Raw_Data!J312),Raw_Data!J312)</f>
        <v>12207</v>
      </c>
      <c r="K312" s="11" t="n">
        <f aca="false">Raw_Data!K312</f>
        <v>824</v>
      </c>
      <c r="L312" s="11" t="n">
        <f aca="false">IF(Raw_Data!L312="",ROUND(AVERAGEIFS(Raw_Data!$L$2:$L$839,Raw_Data!$C$2:$C$839,Raw_Data!C312),2),Raw_Data!L312)</f>
        <v>935096.83</v>
      </c>
      <c r="M312" s="13" t="n">
        <f aca="false">IFERROR(J312/I312,0)</f>
        <v>0.0181477869422756</v>
      </c>
      <c r="N312" s="14" t="n">
        <f aca="false">IFERROR(H312/J312,0)</f>
        <v>2.6486155484558</v>
      </c>
      <c r="O312" s="14" t="n">
        <f aca="false">IFERROR(H312/K312,0)</f>
        <v>39.2374393203884</v>
      </c>
      <c r="P312" s="15" t="n">
        <f aca="false">IFERROR(L312/H312,0)</f>
        <v>28.9220262498202</v>
      </c>
      <c r="Q312" s="13" t="n">
        <f aca="false">IFERROR(K312/J312,0)</f>
        <v>0.0675022528057672</v>
      </c>
      <c r="R312" s="11" t="str">
        <f aca="false">IF(COUNTIF($A$2:A312,A312)&gt;1,"Duplicate - Remove","Unique")</f>
        <v>Unique</v>
      </c>
      <c r="S312" s="11" t="str">
        <f aca="false">TRIM(IF(Raw_Data!G312="","Region missing; ","")&amp;IF(Raw_Data!H312="","Spend imputed; ","")&amp;IF(Raw_Data!L312="","Revenue imputed; ","")&amp;IF(Raw_Data!J312&lt;0,"Clicks corrected; ",""))</f>
        <v/>
      </c>
    </row>
    <row r="313" customFormat="false" ht="15" hidden="false" customHeight="true" outlineLevel="0" collapsed="false">
      <c r="A313" s="11" t="n">
        <f aca="false">Raw_Data!A313</f>
        <v>1622</v>
      </c>
      <c r="B313" s="11" t="str">
        <f aca="false">PROPER(TRIM(Raw_Data!B313))</f>
        <v>Summer Glow Launch</v>
      </c>
      <c r="C313" s="11" t="str">
        <f aca="false">IFERROR(INDEX(Lookup_Tables!$B$2:$B$26,MATCH(UPPER(TRIM(Raw_Data!C313)),Lookup_Tables!$C$2:$C$26,0)),"Unknown")</f>
        <v>Instagram</v>
      </c>
      <c r="D313" s="12" t="n">
        <f aca="false">IFERROR(IF(ISNUMBER(SEARCH("/",Raw_Data!D313)),DATE(VALUE(RIGHT(Raw_Data!D313,4)),VALUE(MID(Raw_Data!D313,FIND("/",Raw_Data!D313)+1,FIND("/",Raw_Data!D313,FIND("/",Raw_Data!D313)+1)-FIND("/",Raw_Data!D313)-1)),VALUE(LEFT(Raw_Data!D313,FIND("/",Raw_Data!D313)-1))),IF(ISNUMBER(VALUE(LEFT(Raw_Data!D313,4))),DATE(VALUE(LEFT(Raw_Data!D313,4)),VALUE(MID(Raw_Data!D313,6,2)),VALUE(MID(Raw_Data!D313,9,2))),DATEVALUE(Raw_Data!D313))),"")</f>
        <v>45514</v>
      </c>
      <c r="E313" s="12" t="n">
        <f aca="false">IFERROR(IF(ISNUMBER(SEARCH("/",Raw_Data!E313)),DATE(VALUE(RIGHT(Raw_Data!E313,4)),VALUE(MID(Raw_Data!E313,FIND("/",Raw_Data!E313)+1,FIND("/",Raw_Data!E313,FIND("/",Raw_Data!E313)+1)-FIND("/",Raw_Data!E313)-1)),VALUE(LEFT(Raw_Data!E313,FIND("/",Raw_Data!E313)-1))),IF(ISNUMBER(VALUE(LEFT(Raw_Data!E313,4))),DATE(VALUE(LEFT(Raw_Data!E313,4)),VALUE(MID(Raw_Data!E313,6,2)),VALUE(MID(Raw_Data!E313,9,2))),DATEVALUE(Raw_Data!E313))),"")</f>
        <v>45520</v>
      </c>
      <c r="F313" s="11" t="str">
        <f aca="false">Raw_Data!F313</f>
        <v>Male 45+</v>
      </c>
      <c r="G313" s="11" t="str">
        <f aca="false">IF(TRIM(Raw_Data!G313)="","Unspecified",IFERROR(INDEX(Lookup_Tables!$F$2:$F$24,MATCH(UPPER(TRIM(Raw_Data!G313)),Lookup_Tables!$G$2:$G$24,0)),"Unknown"))</f>
        <v>Central</v>
      </c>
      <c r="H313" s="11" t="n">
        <f aca="false">IF(Raw_Data!H313="",ROUND(AVERAGEIFS(Raw_Data!$H$2:$H$839,Raw_Data!$C$2:$C$839,Raw_Data!C313),2),Raw_Data!H313)</f>
        <v>22649.13</v>
      </c>
      <c r="I313" s="11" t="n">
        <f aca="false">Raw_Data!I313</f>
        <v>408562</v>
      </c>
      <c r="J313" s="11" t="n">
        <f aca="false">IF(Raw_Data!J313&lt;0,ABS(Raw_Data!J313),Raw_Data!J313)</f>
        <v>8044</v>
      </c>
      <c r="K313" s="11" t="n">
        <f aca="false">Raw_Data!K313</f>
        <v>287</v>
      </c>
      <c r="L313" s="11" t="n">
        <f aca="false">IF(Raw_Data!L313="",ROUND(AVERAGEIFS(Raw_Data!$L$2:$L$839,Raw_Data!$C$2:$C$839,Raw_Data!C313),2),Raw_Data!L313)</f>
        <v>470476.4</v>
      </c>
      <c r="M313" s="13" t="n">
        <f aca="false">IFERROR(J313/I313,0)</f>
        <v>0.0196885662396405</v>
      </c>
      <c r="N313" s="14" t="n">
        <f aca="false">IFERROR(H313/J313,0)</f>
        <v>2.81565514669319</v>
      </c>
      <c r="O313" s="14" t="n">
        <f aca="false">IFERROR(H313/K313,0)</f>
        <v>78.9168292682927</v>
      </c>
      <c r="P313" s="15" t="n">
        <f aca="false">IFERROR(L313/H313,0)</f>
        <v>20.7723828685693</v>
      </c>
      <c r="Q313" s="13" t="n">
        <f aca="false">IFERROR(K313/J313,0)</f>
        <v>0.0356787667826952</v>
      </c>
      <c r="R313" s="11" t="str">
        <f aca="false">IF(COUNTIF($A$2:A313,A313)&gt;1,"Duplicate - Remove","Unique")</f>
        <v>Unique</v>
      </c>
      <c r="S313" s="11" t="str">
        <f aca="false">TRIM(IF(Raw_Data!G313="","Region missing; ","")&amp;IF(Raw_Data!H313="","Spend imputed; ","")&amp;IF(Raw_Data!L313="","Revenue imputed; ","")&amp;IF(Raw_Data!J313&lt;0,"Clicks corrected; ",""))</f>
        <v/>
      </c>
    </row>
    <row r="314" customFormat="false" ht="15" hidden="false" customHeight="true" outlineLevel="0" collapsed="false">
      <c r="A314" s="11" t="n">
        <f aca="false">Raw_Data!A314</f>
        <v>1325</v>
      </c>
      <c r="B314" s="11" t="str">
        <f aca="false">PROPER(TRIM(Raw_Data!B314))</f>
        <v>Back To College Offer</v>
      </c>
      <c r="C314" s="11" t="str">
        <f aca="false">IFERROR(INDEX(Lookup_Tables!$B$2:$B$26,MATCH(UPPER(TRIM(Raw_Data!C314)),Lookup_Tables!$C$2:$C$26,0)),"Unknown")</f>
        <v>Facebook</v>
      </c>
      <c r="D314" s="12" t="n">
        <f aca="false">IFERROR(IF(ISNUMBER(SEARCH("/",Raw_Data!D314)),DATE(VALUE(RIGHT(Raw_Data!D314,4)),VALUE(MID(Raw_Data!D314,FIND("/",Raw_Data!D314)+1,FIND("/",Raw_Data!D314,FIND("/",Raw_Data!D314)+1)-FIND("/",Raw_Data!D314)-1)),VALUE(LEFT(Raw_Data!D314,FIND("/",Raw_Data!D314)-1))),IF(ISNUMBER(VALUE(LEFT(Raw_Data!D314,4))),DATE(VALUE(LEFT(Raw_Data!D314,4)),VALUE(MID(Raw_Data!D314,6,2)),VALUE(MID(Raw_Data!D314,9,2))),DATEVALUE(Raw_Data!D314))),"")</f>
        <v>45386</v>
      </c>
      <c r="E314" s="12" t="n">
        <f aca="false">IFERROR(IF(ISNUMBER(SEARCH("/",Raw_Data!E314)),DATE(VALUE(RIGHT(Raw_Data!E314,4)),VALUE(MID(Raw_Data!E314,FIND("/",Raw_Data!E314)+1,FIND("/",Raw_Data!E314,FIND("/",Raw_Data!E314)+1)-FIND("/",Raw_Data!E314)-1)),VALUE(LEFT(Raw_Data!E314,FIND("/",Raw_Data!E314)-1))),IF(ISNUMBER(VALUE(LEFT(Raw_Data!E314,4))),DATE(VALUE(LEFT(Raw_Data!E314,4)),VALUE(MID(Raw_Data!E314,6,2)),VALUE(MID(Raw_Data!E314,9,2))),DATEVALUE(Raw_Data!E314))),"")</f>
        <v>45416</v>
      </c>
      <c r="F314" s="11" t="str">
        <f aca="false">Raw_Data!F314</f>
        <v>Female 45+</v>
      </c>
      <c r="G314" s="11" t="str">
        <f aca="false">IF(TRIM(Raw_Data!G314)="","Unspecified",IFERROR(INDEX(Lookup_Tables!$F$2:$F$24,MATCH(UPPER(TRIM(Raw_Data!G314)),Lookup_Tables!$G$2:$G$24,0)),"Unknown"))</f>
        <v>West</v>
      </c>
      <c r="H314" s="11" t="n">
        <f aca="false">IF(Raw_Data!H314="",ROUND(AVERAGEIFS(Raw_Data!$H$2:$H$839,Raw_Data!$C$2:$C$839,Raw_Data!C314),2),Raw_Data!H314)</f>
        <v>33579.68</v>
      </c>
      <c r="I314" s="11" t="n">
        <f aca="false">Raw_Data!I314</f>
        <v>1094615</v>
      </c>
      <c r="J314" s="11" t="n">
        <f aca="false">IF(Raw_Data!J314&lt;0,ABS(Raw_Data!J314),Raw_Data!J314)</f>
        <v>5517</v>
      </c>
      <c r="K314" s="11" t="n">
        <f aca="false">Raw_Data!K314</f>
        <v>297</v>
      </c>
      <c r="L314" s="11" t="n">
        <f aca="false">IF(Raw_Data!L314="",ROUND(AVERAGEIFS(Raw_Data!$L$2:$L$839,Raw_Data!$C$2:$C$839,Raw_Data!C314),2),Raw_Data!L314)</f>
        <v>269698.26</v>
      </c>
      <c r="M314" s="13" t="n">
        <f aca="false">IFERROR(J314/I314,0)</f>
        <v>0.00504012826427557</v>
      </c>
      <c r="N314" s="14" t="n">
        <f aca="false">IFERROR(H314/J314,0)</f>
        <v>6.08658328801885</v>
      </c>
      <c r="O314" s="14" t="n">
        <f aca="false">IFERROR(H314/K314,0)</f>
        <v>113.062895622896</v>
      </c>
      <c r="P314" s="15" t="n">
        <f aca="false">IFERROR(L314/H314,0)</f>
        <v>8.03159112892082</v>
      </c>
      <c r="Q314" s="13" t="n">
        <f aca="false">IFERROR(K314/J314,0)</f>
        <v>0.0538336052202284</v>
      </c>
      <c r="R314" s="11" t="str">
        <f aca="false">IF(COUNTIF($A$2:A314,A314)&gt;1,"Duplicate - Remove","Unique")</f>
        <v>Unique</v>
      </c>
      <c r="S314" s="11" t="str">
        <f aca="false">TRIM(IF(Raw_Data!G314="","Region missing; ","")&amp;IF(Raw_Data!H314="","Spend imputed; ","")&amp;IF(Raw_Data!L314="","Revenue imputed; ","")&amp;IF(Raw_Data!J314&lt;0,"Clicks corrected; ",""))</f>
        <v/>
      </c>
    </row>
    <row r="315" customFormat="false" ht="15" hidden="false" customHeight="true" outlineLevel="0" collapsed="false">
      <c r="A315" s="11" t="n">
        <f aca="false">Raw_Data!A315</f>
        <v>1554</v>
      </c>
      <c r="B315" s="11" t="str">
        <f aca="false">PROPER(TRIM(Raw_Data!B315))</f>
        <v>Summer Glow Launch</v>
      </c>
      <c r="C315" s="11" t="str">
        <f aca="false">IFERROR(INDEX(Lookup_Tables!$B$2:$B$26,MATCH(UPPER(TRIM(Raw_Data!C315)),Lookup_Tables!$C$2:$C$26,0)),"Unknown")</f>
        <v>Email</v>
      </c>
      <c r="D315" s="12" t="n">
        <f aca="false">IFERROR(IF(ISNUMBER(SEARCH("/",Raw_Data!D315)),DATE(VALUE(RIGHT(Raw_Data!D315,4)),VALUE(MID(Raw_Data!D315,FIND("/",Raw_Data!D315)+1,FIND("/",Raw_Data!D315,FIND("/",Raw_Data!D315)+1)-FIND("/",Raw_Data!D315)-1)),VALUE(LEFT(Raw_Data!D315,FIND("/",Raw_Data!D315)-1))),IF(ISNUMBER(VALUE(LEFT(Raw_Data!D315,4))),DATE(VALUE(LEFT(Raw_Data!D315,4)),VALUE(MID(Raw_Data!D315,6,2)),VALUE(MID(Raw_Data!D315,9,2))),DATEVALUE(Raw_Data!D315))),"")</f>
        <v>45622</v>
      </c>
      <c r="E315" s="12" t="n">
        <f aca="false">IFERROR(IF(ISNUMBER(SEARCH("/",Raw_Data!E315)),DATE(VALUE(RIGHT(Raw_Data!E315,4)),VALUE(MID(Raw_Data!E315,FIND("/",Raw_Data!E315)+1,FIND("/",Raw_Data!E315,FIND("/",Raw_Data!E315)+1)-FIND("/",Raw_Data!E315)-1)),VALUE(LEFT(Raw_Data!E315,FIND("/",Raw_Data!E315)-1))),IF(ISNUMBER(VALUE(LEFT(Raw_Data!E315,4))),DATE(VALUE(LEFT(Raw_Data!E315,4)),VALUE(MID(Raw_Data!E315,6,2)),VALUE(MID(Raw_Data!E315,9,2))),DATEVALUE(Raw_Data!E315))),"")</f>
        <v>45647</v>
      </c>
      <c r="F315" s="11" t="str">
        <f aca="false">Raw_Data!F315</f>
        <v>Female 18-24</v>
      </c>
      <c r="G315" s="11" t="str">
        <f aca="false">IF(TRIM(Raw_Data!G315)="","Unspecified",IFERROR(INDEX(Lookup_Tables!$F$2:$F$24,MATCH(UPPER(TRIM(Raw_Data!G315)),Lookup_Tables!$G$2:$G$24,0)),"Unknown"))</f>
        <v>West</v>
      </c>
      <c r="H315" s="11" t="n">
        <f aca="false">IF(Raw_Data!H315="",ROUND(AVERAGEIFS(Raw_Data!$H$2:$H$839,Raw_Data!$C$2:$C$839,Raw_Data!C315),2),Raw_Data!H315)</f>
        <v>5339.14</v>
      </c>
      <c r="I315" s="11" t="n">
        <f aca="false">Raw_Data!I315</f>
        <v>85777</v>
      </c>
      <c r="J315" s="11" t="n">
        <f aca="false">IF(Raw_Data!J315&lt;0,ABS(Raw_Data!J315),Raw_Data!J315)</f>
        <v>2763</v>
      </c>
      <c r="K315" s="11" t="n">
        <f aca="false">Raw_Data!K315</f>
        <v>213</v>
      </c>
      <c r="L315" s="11" t="n">
        <f aca="false">IF(Raw_Data!L315="",ROUND(AVERAGEIFS(Raw_Data!$L$2:$L$839,Raw_Data!$C$2:$C$839,Raw_Data!C315),2),Raw_Data!L315)</f>
        <v>219063.11</v>
      </c>
      <c r="M315" s="13" t="n">
        <f aca="false">IFERROR(J315/I315,0)</f>
        <v>0.0322114319689427</v>
      </c>
      <c r="N315" s="14" t="n">
        <f aca="false">IFERROR(H315/J315,0)</f>
        <v>1.932370611654</v>
      </c>
      <c r="O315" s="14" t="n">
        <f aca="false">IFERROR(H315/K315,0)</f>
        <v>25.0663849765258</v>
      </c>
      <c r="P315" s="15" t="n">
        <f aca="false">IFERROR(L315/H315,0)</f>
        <v>41.02966208041</v>
      </c>
      <c r="Q315" s="13" t="n">
        <f aca="false">IFERROR(K315/J315,0)</f>
        <v>0.0770901194353963</v>
      </c>
      <c r="R315" s="11" t="str">
        <f aca="false">IF(COUNTIF($A$2:A315,A315)&gt;1,"Duplicate - Remove","Unique")</f>
        <v>Unique</v>
      </c>
      <c r="S315" s="11" t="str">
        <f aca="false">TRIM(IF(Raw_Data!G315="","Region missing; ","")&amp;IF(Raw_Data!H315="","Spend imputed; ","")&amp;IF(Raw_Data!L315="","Revenue imputed; ","")&amp;IF(Raw_Data!J315&lt;0,"Clicks corrected; ",""))</f>
        <v/>
      </c>
    </row>
    <row r="316" customFormat="false" ht="15" hidden="false" customHeight="true" outlineLevel="0" collapsed="false">
      <c r="A316" s="11" t="n">
        <f aca="false">Raw_Data!A316</f>
        <v>1095</v>
      </c>
      <c r="B316" s="11" t="str">
        <f aca="false">PROPER(TRIM(Raw_Data!B316))</f>
        <v>Hair Care Revamp</v>
      </c>
      <c r="C316" s="11" t="str">
        <f aca="false">IFERROR(INDEX(Lookup_Tables!$B$2:$B$26,MATCH(UPPER(TRIM(Raw_Data!C316)),Lookup_Tables!$C$2:$C$26,0)),"Unknown")</f>
        <v>Email</v>
      </c>
      <c r="D316" s="12" t="n">
        <f aca="false">IFERROR(IF(ISNUMBER(SEARCH("/",Raw_Data!D316)),DATE(VALUE(RIGHT(Raw_Data!D316,4)),VALUE(MID(Raw_Data!D316,FIND("/",Raw_Data!D316)+1,FIND("/",Raw_Data!D316,FIND("/",Raw_Data!D316)+1)-FIND("/",Raw_Data!D316)-1)),VALUE(LEFT(Raw_Data!D316,FIND("/",Raw_Data!D316)-1))),IF(ISNUMBER(VALUE(LEFT(Raw_Data!D316,4))),DATE(VALUE(LEFT(Raw_Data!D316,4)),VALUE(MID(Raw_Data!D316,6,2)),VALUE(MID(Raw_Data!D316,9,2))),DATEVALUE(Raw_Data!D316))),"")</f>
        <v>45479</v>
      </c>
      <c r="E316" s="12" t="n">
        <f aca="false">IFERROR(IF(ISNUMBER(SEARCH("/",Raw_Data!E316)),DATE(VALUE(RIGHT(Raw_Data!E316,4)),VALUE(MID(Raw_Data!E316,FIND("/",Raw_Data!E316)+1,FIND("/",Raw_Data!E316,FIND("/",Raw_Data!E316)+1)-FIND("/",Raw_Data!E316)-1)),VALUE(LEFT(Raw_Data!E316,FIND("/",Raw_Data!E316)-1))),IF(ISNUMBER(VALUE(LEFT(Raw_Data!E316,4))),DATE(VALUE(LEFT(Raw_Data!E316,4)),VALUE(MID(Raw_Data!E316,6,2)),VALUE(MID(Raw_Data!E316,9,2))),DATEVALUE(Raw_Data!E316))),"")</f>
        <v>45485</v>
      </c>
      <c r="F316" s="11" t="str">
        <f aca="false">Raw_Data!F316</f>
        <v>Female 45+</v>
      </c>
      <c r="G316" s="11" t="str">
        <f aca="false">IF(TRIM(Raw_Data!G316)="","Unspecified",IFERROR(INDEX(Lookup_Tables!$F$2:$F$24,MATCH(UPPER(TRIM(Raw_Data!G316)),Lookup_Tables!$G$2:$G$24,0)),"Unknown"))</f>
        <v>South</v>
      </c>
      <c r="H316" s="11" t="n">
        <f aca="false">IF(Raw_Data!H316="",ROUND(AVERAGEIFS(Raw_Data!$H$2:$H$839,Raw_Data!$C$2:$C$839,Raw_Data!C316),2),Raw_Data!H316)</f>
        <v>1358.1</v>
      </c>
      <c r="I316" s="11" t="n">
        <f aca="false">Raw_Data!I316</f>
        <v>39446</v>
      </c>
      <c r="J316" s="11" t="n">
        <f aca="false">IF(Raw_Data!J316&lt;0,ABS(Raw_Data!J316),Raw_Data!J316)</f>
        <v>626</v>
      </c>
      <c r="K316" s="11" t="n">
        <f aca="false">Raw_Data!K316</f>
        <v>18</v>
      </c>
      <c r="L316" s="11" t="n">
        <f aca="false">IF(Raw_Data!L316="",ROUND(AVERAGEIFS(Raw_Data!$L$2:$L$839,Raw_Data!$C$2:$C$839,Raw_Data!C316),2),Raw_Data!L316)</f>
        <v>16383.7</v>
      </c>
      <c r="M316" s="13" t="n">
        <f aca="false">IFERROR(J316/I316,0)</f>
        <v>0.0158697966840744</v>
      </c>
      <c r="N316" s="14" t="n">
        <f aca="false">IFERROR(H316/J316,0)</f>
        <v>2.16948881789137</v>
      </c>
      <c r="O316" s="14" t="n">
        <f aca="false">IFERROR(H316/K316,0)</f>
        <v>75.45</v>
      </c>
      <c r="P316" s="15" t="n">
        <f aca="false">IFERROR(L316/H316,0)</f>
        <v>12.0636919225388</v>
      </c>
      <c r="Q316" s="13" t="n">
        <f aca="false">IFERROR(K316/J316,0)</f>
        <v>0.0287539936102236</v>
      </c>
      <c r="R316" s="11" t="str">
        <f aca="false">IF(COUNTIF($A$2:A316,A316)&gt;1,"Duplicate - Remove","Unique")</f>
        <v>Unique</v>
      </c>
      <c r="S316" s="11" t="str">
        <f aca="false">TRIM(IF(Raw_Data!G316="","Region missing; ","")&amp;IF(Raw_Data!H316="","Spend imputed; ","")&amp;IF(Raw_Data!L316="","Revenue imputed; ","")&amp;IF(Raw_Data!J316&lt;0,"Clicks corrected; ",""))</f>
        <v/>
      </c>
    </row>
    <row r="317" customFormat="false" ht="15" hidden="false" customHeight="true" outlineLevel="0" collapsed="false">
      <c r="A317" s="11" t="n">
        <f aca="false">Raw_Data!A317</f>
        <v>1424</v>
      </c>
      <c r="B317" s="11" t="str">
        <f aca="false">PROPER(TRIM(Raw_Data!B317))</f>
        <v>Wedding Season Special</v>
      </c>
      <c r="C317" s="11" t="str">
        <f aca="false">IFERROR(INDEX(Lookup_Tables!$B$2:$B$26,MATCH(UPPER(TRIM(Raw_Data!C317)),Lookup_Tables!$C$2:$C$26,0)),"Unknown")</f>
        <v>Google Ads</v>
      </c>
      <c r="D317" s="12" t="n">
        <f aca="false">IFERROR(IF(ISNUMBER(SEARCH("/",Raw_Data!D317)),DATE(VALUE(RIGHT(Raw_Data!D317,4)),VALUE(MID(Raw_Data!D317,FIND("/",Raw_Data!D317)+1,FIND("/",Raw_Data!D317,FIND("/",Raw_Data!D317)+1)-FIND("/",Raw_Data!D317)-1)),VALUE(LEFT(Raw_Data!D317,FIND("/",Raw_Data!D317)-1))),IF(ISNUMBER(VALUE(LEFT(Raw_Data!D317,4))),DATE(VALUE(LEFT(Raw_Data!D317,4)),VALUE(MID(Raw_Data!D317,6,2)),VALUE(MID(Raw_Data!D317,9,2))),DATEVALUE(Raw_Data!D317))),"")</f>
        <v>45335</v>
      </c>
      <c r="E317" s="12" t="n">
        <f aca="false">IFERROR(IF(ISNUMBER(SEARCH("/",Raw_Data!E317)),DATE(VALUE(RIGHT(Raw_Data!E317,4)),VALUE(MID(Raw_Data!E317,FIND("/",Raw_Data!E317)+1,FIND("/",Raw_Data!E317,FIND("/",Raw_Data!E317)+1)-FIND("/",Raw_Data!E317)-1)),VALUE(LEFT(Raw_Data!E317,FIND("/",Raw_Data!E317)-1))),IF(ISNUMBER(VALUE(LEFT(Raw_Data!E317,4))),DATE(VALUE(LEFT(Raw_Data!E317,4)),VALUE(MID(Raw_Data!E317,6,2)),VALUE(MID(Raw_Data!E317,9,2))),DATEVALUE(Raw_Data!E317))),"")</f>
        <v>45349</v>
      </c>
      <c r="F317" s="11" t="str">
        <f aca="false">Raw_Data!F317</f>
        <v>Female 35-44</v>
      </c>
      <c r="G317" s="11" t="str">
        <f aca="false">IF(TRIM(Raw_Data!G317)="","Unspecified",IFERROR(INDEX(Lookup_Tables!$F$2:$F$24,MATCH(UPPER(TRIM(Raw_Data!G317)),Lookup_Tables!$G$2:$G$24,0)),"Unknown"))</f>
        <v>East</v>
      </c>
      <c r="H317" s="11" t="n">
        <f aca="false">IF(Raw_Data!H317="",ROUND(AVERAGEIFS(Raw_Data!$H$2:$H$839,Raw_Data!$C$2:$C$839,Raw_Data!C317),2),Raw_Data!H317)</f>
        <v>46317.45</v>
      </c>
      <c r="I317" s="11" t="n">
        <f aca="false">Raw_Data!I317</f>
        <v>961292</v>
      </c>
      <c r="J317" s="11" t="n">
        <f aca="false">IF(Raw_Data!J317&lt;0,ABS(Raw_Data!J317),Raw_Data!J317)</f>
        <v>5992</v>
      </c>
      <c r="K317" s="11" t="n">
        <f aca="false">Raw_Data!K317</f>
        <v>274</v>
      </c>
      <c r="L317" s="11" t="n">
        <f aca="false">IF(Raw_Data!L317="",ROUND(AVERAGEIFS(Raw_Data!$L$2:$L$839,Raw_Data!$C$2:$C$839,Raw_Data!C317),2),Raw_Data!L317)</f>
        <v>229541.38</v>
      </c>
      <c r="M317" s="13" t="n">
        <f aca="false">IFERROR(J317/I317,0)</f>
        <v>0.00623327771374359</v>
      </c>
      <c r="N317" s="14" t="n">
        <f aca="false">IFERROR(H317/J317,0)</f>
        <v>7.72988150867824</v>
      </c>
      <c r="O317" s="14" t="n">
        <f aca="false">IFERROR(H317/K317,0)</f>
        <v>169.041788321168</v>
      </c>
      <c r="P317" s="15" t="n">
        <f aca="false">IFERROR(L317/H317,0)</f>
        <v>4.95582939043492</v>
      </c>
      <c r="Q317" s="13" t="n">
        <f aca="false">IFERROR(K317/J317,0)</f>
        <v>0.0457276368491322</v>
      </c>
      <c r="R317" s="11" t="str">
        <f aca="false">IF(COUNTIF($A$2:A317,A317)&gt;1,"Duplicate - Remove","Unique")</f>
        <v>Unique</v>
      </c>
      <c r="S317" s="11" t="str">
        <f aca="false">TRIM(IF(Raw_Data!G317="","Region missing; ","")&amp;IF(Raw_Data!H317="","Spend imputed; ","")&amp;IF(Raw_Data!L317="","Revenue imputed; ","")&amp;IF(Raw_Data!J317&lt;0,"Clicks corrected; ",""))</f>
        <v/>
      </c>
    </row>
    <row r="318" customFormat="false" ht="15" hidden="false" customHeight="true" outlineLevel="0" collapsed="false">
      <c r="A318" s="11" t="n">
        <f aca="false">Raw_Data!A318</f>
        <v>1568</v>
      </c>
      <c r="B318" s="11" t="str">
        <f aca="false">PROPER(TRIM(Raw_Data!B318))</f>
        <v>New Year Wellness</v>
      </c>
      <c r="C318" s="11" t="str">
        <f aca="false">IFERROR(INDEX(Lookup_Tables!$B$2:$B$26,MATCH(UPPER(TRIM(Raw_Data!C318)),Lookup_Tables!$C$2:$C$26,0)),"Unknown")</f>
        <v>Facebook</v>
      </c>
      <c r="D318" s="12" t="n">
        <f aca="false">IFERROR(IF(ISNUMBER(SEARCH("/",Raw_Data!D318)),DATE(VALUE(RIGHT(Raw_Data!D318,4)),VALUE(MID(Raw_Data!D318,FIND("/",Raw_Data!D318)+1,FIND("/",Raw_Data!D318,FIND("/",Raw_Data!D318)+1)-FIND("/",Raw_Data!D318)-1)),VALUE(LEFT(Raw_Data!D318,FIND("/",Raw_Data!D318)-1))),IF(ISNUMBER(VALUE(LEFT(Raw_Data!D318,4))),DATE(VALUE(LEFT(Raw_Data!D318,4)),VALUE(MID(Raw_Data!D318,6,2)),VALUE(MID(Raw_Data!D318,9,2))),DATEVALUE(Raw_Data!D318))),"")</f>
        <v>45430</v>
      </c>
      <c r="E318" s="12" t="n">
        <f aca="false">IFERROR(IF(ISNUMBER(SEARCH("/",Raw_Data!E318)),DATE(VALUE(RIGHT(Raw_Data!E318,4)),VALUE(MID(Raw_Data!E318,FIND("/",Raw_Data!E318)+1,FIND("/",Raw_Data!E318,FIND("/",Raw_Data!E318)+1)-FIND("/",Raw_Data!E318)-1)),VALUE(LEFT(Raw_Data!E318,FIND("/",Raw_Data!E318)-1))),IF(ISNUMBER(VALUE(LEFT(Raw_Data!E318,4))),DATE(VALUE(LEFT(Raw_Data!E318,4)),VALUE(MID(Raw_Data!E318,6,2)),VALUE(MID(Raw_Data!E318,9,2))),DATEVALUE(Raw_Data!E318))),"")</f>
        <v>45443</v>
      </c>
      <c r="F318" s="11" t="str">
        <f aca="false">Raw_Data!F318</f>
        <v>Female 18-24</v>
      </c>
      <c r="G318" s="11" t="str">
        <f aca="false">IF(TRIM(Raw_Data!G318)="","Unspecified",IFERROR(INDEX(Lookup_Tables!$F$2:$F$24,MATCH(UPPER(TRIM(Raw_Data!G318)),Lookup_Tables!$G$2:$G$24,0)),"Unknown"))</f>
        <v>Unspecified</v>
      </c>
      <c r="H318" s="11" t="n">
        <f aca="false">IF(Raw_Data!H318="",ROUND(AVERAGEIFS(Raw_Data!$H$2:$H$839,Raw_Data!$C$2:$C$839,Raw_Data!C318),2),Raw_Data!H318)</f>
        <v>22903.77</v>
      </c>
      <c r="I318" s="11" t="n">
        <f aca="false">Raw_Data!I318</f>
        <v>817194</v>
      </c>
      <c r="J318" s="11" t="n">
        <f aca="false">IF(Raw_Data!J318&lt;0,ABS(Raw_Data!J318),Raw_Data!J318)</f>
        <v>6157</v>
      </c>
      <c r="K318" s="11" t="n">
        <f aca="false">Raw_Data!K318</f>
        <v>181</v>
      </c>
      <c r="L318" s="11" t="n">
        <f aca="false">IF(Raw_Data!L318="",ROUND(AVERAGEIFS(Raw_Data!$L$2:$L$839,Raw_Data!$C$2:$C$839,Raw_Data!C318),2),Raw_Data!L318)</f>
        <v>223378.29</v>
      </c>
      <c r="M318" s="13" t="n">
        <f aca="false">IFERROR(J318/I318,0)</f>
        <v>0.0075343186562799</v>
      </c>
      <c r="N318" s="14" t="n">
        <f aca="false">IFERROR(H318/J318,0)</f>
        <v>3.71995614747442</v>
      </c>
      <c r="O318" s="14" t="n">
        <f aca="false">IFERROR(H318/K318,0)</f>
        <v>126.540165745856</v>
      </c>
      <c r="P318" s="15" t="n">
        <f aca="false">IFERROR(L318/H318,0)</f>
        <v>9.75290487111947</v>
      </c>
      <c r="Q318" s="13" t="n">
        <f aca="false">IFERROR(K318/J318,0)</f>
        <v>0.0293974338151697</v>
      </c>
      <c r="R318" s="11" t="str">
        <f aca="false">IF(COUNTIF($A$2:A318,A318)&gt;1,"Duplicate - Remove","Unique")</f>
        <v>Unique</v>
      </c>
      <c r="S318" s="11" t="str">
        <f aca="false">TRIM(IF(Raw_Data!G318="","Region missing; ","")&amp;IF(Raw_Data!H318="","Spend imputed; ","")&amp;IF(Raw_Data!L318="","Revenue imputed; ","")&amp;IF(Raw_Data!J318&lt;0,"Clicks corrected; ",""))</f>
        <v>Region missing;</v>
      </c>
    </row>
    <row r="319" customFormat="false" ht="15" hidden="false" customHeight="true" outlineLevel="0" collapsed="false">
      <c r="A319" s="11" t="n">
        <f aca="false">Raw_Data!A319</f>
        <v>1438</v>
      </c>
      <c r="B319" s="11" t="str">
        <f aca="false">PROPER(TRIM(Raw_Data!B319))</f>
        <v>Clearance Sale Push</v>
      </c>
      <c r="C319" s="11" t="str">
        <f aca="false">IFERROR(INDEX(Lookup_Tables!$B$2:$B$26,MATCH(UPPER(TRIM(Raw_Data!C319)),Lookup_Tables!$C$2:$C$26,0)),"Unknown")</f>
        <v>Instagram</v>
      </c>
      <c r="D319" s="12" t="n">
        <f aca="false">IFERROR(IF(ISNUMBER(SEARCH("/",Raw_Data!D319)),DATE(VALUE(RIGHT(Raw_Data!D319,4)),VALUE(MID(Raw_Data!D319,FIND("/",Raw_Data!D319)+1,FIND("/",Raw_Data!D319,FIND("/",Raw_Data!D319)+1)-FIND("/",Raw_Data!D319)-1)),VALUE(LEFT(Raw_Data!D319,FIND("/",Raw_Data!D319)-1))),IF(ISNUMBER(VALUE(LEFT(Raw_Data!D319,4))),DATE(VALUE(LEFT(Raw_Data!D319,4)),VALUE(MID(Raw_Data!D319,6,2)),VALUE(MID(Raw_Data!D319,9,2))),DATEVALUE(Raw_Data!D319))),"")</f>
        <v>45611</v>
      </c>
      <c r="E319" s="12" t="n">
        <f aca="false">IFERROR(IF(ISNUMBER(SEARCH("/",Raw_Data!E319)),DATE(VALUE(RIGHT(Raw_Data!E319,4)),VALUE(MID(Raw_Data!E319,FIND("/",Raw_Data!E319)+1,FIND("/",Raw_Data!E319,FIND("/",Raw_Data!E319)+1)-FIND("/",Raw_Data!E319)-1)),VALUE(LEFT(Raw_Data!E319,FIND("/",Raw_Data!E319)-1))),IF(ISNUMBER(VALUE(LEFT(Raw_Data!E319,4))),DATE(VALUE(LEFT(Raw_Data!E319,4)),VALUE(MID(Raw_Data!E319,6,2)),VALUE(MID(Raw_Data!E319,9,2))),DATEVALUE(Raw_Data!E319))),"")</f>
        <v>45622</v>
      </c>
      <c r="F319" s="11" t="str">
        <f aca="false">Raw_Data!F319</f>
        <v>Male 18-24</v>
      </c>
      <c r="G319" s="11" t="str">
        <f aca="false">IF(TRIM(Raw_Data!G319)="","Unspecified",IFERROR(INDEX(Lookup_Tables!$F$2:$F$24,MATCH(UPPER(TRIM(Raw_Data!G319)),Lookup_Tables!$G$2:$G$24,0)),"Unknown"))</f>
        <v>North</v>
      </c>
      <c r="H319" s="11" t="n">
        <f aca="false">IF(Raw_Data!H319="",ROUND(AVERAGEIFS(Raw_Data!$H$2:$H$839,Raw_Data!$C$2:$C$839,Raw_Data!C319),2),Raw_Data!H319)</f>
        <v>28543.32</v>
      </c>
      <c r="I319" s="11" t="n">
        <f aca="false">Raw_Data!I319</f>
        <v>733477</v>
      </c>
      <c r="J319" s="11" t="n">
        <f aca="false">IF(Raw_Data!J319&lt;0,ABS(Raw_Data!J319),Raw_Data!J319)</f>
        <v>8781</v>
      </c>
      <c r="K319" s="11" t="n">
        <f aca="false">Raw_Data!K319</f>
        <v>152</v>
      </c>
      <c r="L319" s="11" t="n">
        <f aca="false">IF(Raw_Data!L319="",ROUND(AVERAGEIFS(Raw_Data!$L$2:$L$839,Raw_Data!$C$2:$C$839,Raw_Data!C319),2),Raw_Data!L319)</f>
        <v>956998.6</v>
      </c>
      <c r="M319" s="13" t="n">
        <f aca="false">IFERROR(J319/I319,0)</f>
        <v>0.0119717455353065</v>
      </c>
      <c r="N319" s="14" t="n">
        <f aca="false">IFERROR(H319/J319,0)</f>
        <v>3.25057738298599</v>
      </c>
      <c r="O319" s="14" t="n">
        <f aca="false">IFERROR(H319/K319,0)</f>
        <v>187.785</v>
      </c>
      <c r="P319" s="15" t="n">
        <f aca="false">IFERROR(L319/H319,0)</f>
        <v>33.5279357832235</v>
      </c>
      <c r="Q319" s="13" t="n">
        <f aca="false">IFERROR(K319/J319,0)</f>
        <v>0.0173101013551987</v>
      </c>
      <c r="R319" s="11" t="str">
        <f aca="false">IF(COUNTIF($A$2:A319,A319)&gt;1,"Duplicate - Remove","Unique")</f>
        <v>Unique</v>
      </c>
      <c r="S319" s="11" t="str">
        <f aca="false">TRIM(IF(Raw_Data!G319="","Region missing; ","")&amp;IF(Raw_Data!H319="","Spend imputed; ","")&amp;IF(Raw_Data!L319="","Revenue imputed; ","")&amp;IF(Raw_Data!J319&lt;0,"Clicks corrected; ",""))</f>
        <v>Revenue imputed;</v>
      </c>
    </row>
    <row r="320" customFormat="false" ht="15" hidden="false" customHeight="true" outlineLevel="0" collapsed="false">
      <c r="A320" s="11" t="n">
        <f aca="false">Raw_Data!A320</f>
        <v>1401</v>
      </c>
      <c r="B320" s="11" t="str">
        <f aca="false">PROPER(TRIM(Raw_Data!B320))</f>
        <v>Monsoon Skincare Push</v>
      </c>
      <c r="C320" s="11" t="str">
        <f aca="false">IFERROR(INDEX(Lookup_Tables!$B$2:$B$26,MATCH(UPPER(TRIM(Raw_Data!C320)),Lookup_Tables!$C$2:$C$26,0)),"Unknown")</f>
        <v>YouTube</v>
      </c>
      <c r="D320" s="12" t="n">
        <f aca="false">IFERROR(IF(ISNUMBER(SEARCH("/",Raw_Data!D320)),DATE(VALUE(RIGHT(Raw_Data!D320,4)),VALUE(MID(Raw_Data!D320,FIND("/",Raw_Data!D320)+1,FIND("/",Raw_Data!D320,FIND("/",Raw_Data!D320)+1)-FIND("/",Raw_Data!D320)-1)),VALUE(LEFT(Raw_Data!D320,FIND("/",Raw_Data!D320)-1))),IF(ISNUMBER(VALUE(LEFT(Raw_Data!D320,4))),DATE(VALUE(LEFT(Raw_Data!D320,4)),VALUE(MID(Raw_Data!D320,6,2)),VALUE(MID(Raw_Data!D320,9,2))),DATEVALUE(Raw_Data!D320))),"")</f>
        <v>45466</v>
      </c>
      <c r="E320" s="12" t="n">
        <f aca="false">IFERROR(IF(ISNUMBER(SEARCH("/",Raw_Data!E320)),DATE(VALUE(RIGHT(Raw_Data!E320,4)),VALUE(MID(Raw_Data!E320,FIND("/",Raw_Data!E320)+1,FIND("/",Raw_Data!E320,FIND("/",Raw_Data!E320)+1)-FIND("/",Raw_Data!E320)-1)),VALUE(LEFT(Raw_Data!E320,FIND("/",Raw_Data!E320)-1))),IF(ISNUMBER(VALUE(LEFT(Raw_Data!E320,4))),DATE(VALUE(LEFT(Raw_Data!E320,4)),VALUE(MID(Raw_Data!E320,6,2)),VALUE(MID(Raw_Data!E320,9,2))),DATEVALUE(Raw_Data!E320))),"")</f>
        <v>45484</v>
      </c>
      <c r="F320" s="11" t="str">
        <f aca="false">Raw_Data!F320</f>
        <v>Female 18-24</v>
      </c>
      <c r="G320" s="11" t="str">
        <f aca="false">IF(TRIM(Raw_Data!G320)="","Unspecified",IFERROR(INDEX(Lookup_Tables!$F$2:$F$24,MATCH(UPPER(TRIM(Raw_Data!G320)),Lookup_Tables!$G$2:$G$24,0)),"Unknown"))</f>
        <v>Unspecified</v>
      </c>
      <c r="H320" s="11" t="n">
        <f aca="false">IF(Raw_Data!H320="",ROUND(AVERAGEIFS(Raw_Data!$H$2:$H$839,Raw_Data!$C$2:$C$839,Raw_Data!C320),2),Raw_Data!H320)</f>
        <v>46120.23</v>
      </c>
      <c r="I320" s="11" t="n">
        <f aca="false">Raw_Data!I320</f>
        <v>1682983</v>
      </c>
      <c r="J320" s="11" t="n">
        <f aca="false">IF(Raw_Data!J320&lt;0,ABS(Raw_Data!J320),Raw_Data!J320)</f>
        <v>24439</v>
      </c>
      <c r="K320" s="11" t="n">
        <f aca="false">Raw_Data!K320</f>
        <v>684</v>
      </c>
      <c r="L320" s="11" t="n">
        <f aca="false">IF(Raw_Data!L320="",ROUND(AVERAGEIFS(Raw_Data!$L$2:$L$839,Raw_Data!$C$2:$C$839,Raw_Data!C320),2),Raw_Data!L320)</f>
        <v>353104.54</v>
      </c>
      <c r="M320" s="13" t="n">
        <f aca="false">IFERROR(J320/I320,0)</f>
        <v>0.0145212399649907</v>
      </c>
      <c r="N320" s="14" t="n">
        <f aca="false">IFERROR(H320/J320,0)</f>
        <v>1.8871570031507</v>
      </c>
      <c r="O320" s="14" t="n">
        <f aca="false">IFERROR(H320/K320,0)</f>
        <v>67.4272368421053</v>
      </c>
      <c r="P320" s="15" t="n">
        <f aca="false">IFERROR(L320/H320,0)</f>
        <v>7.65617474153967</v>
      </c>
      <c r="Q320" s="13" t="n">
        <f aca="false">IFERROR(K320/J320,0)</f>
        <v>0.0279880518842833</v>
      </c>
      <c r="R320" s="11" t="str">
        <f aca="false">IF(COUNTIF($A$2:A320,A320)&gt;1,"Duplicate - Remove","Unique")</f>
        <v>Unique</v>
      </c>
      <c r="S320" s="11" t="str">
        <f aca="false">TRIM(IF(Raw_Data!G320="","Region missing; ","")&amp;IF(Raw_Data!H320="","Spend imputed; ","")&amp;IF(Raw_Data!L320="","Revenue imputed; ","")&amp;IF(Raw_Data!J320&lt;0,"Clicks corrected; ",""))</f>
        <v>Region missing;</v>
      </c>
    </row>
    <row r="321" customFormat="false" ht="15" hidden="false" customHeight="true" outlineLevel="0" collapsed="false">
      <c r="A321" s="11" t="n">
        <f aca="false">Raw_Data!A321</f>
        <v>1317</v>
      </c>
      <c r="B321" s="11" t="str">
        <f aca="false">PROPER(TRIM(Raw_Data!B321))</f>
        <v>Influencer Collab - Skincare</v>
      </c>
      <c r="C321" s="11" t="str">
        <f aca="false">IFERROR(INDEX(Lookup_Tables!$B$2:$B$26,MATCH(UPPER(TRIM(Raw_Data!C321)),Lookup_Tables!$C$2:$C$26,0)),"Unknown")</f>
        <v>YouTube</v>
      </c>
      <c r="D321" s="12" t="n">
        <f aca="false">IFERROR(IF(ISNUMBER(SEARCH("/",Raw_Data!D321)),DATE(VALUE(RIGHT(Raw_Data!D321,4)),VALUE(MID(Raw_Data!D321,FIND("/",Raw_Data!D321)+1,FIND("/",Raw_Data!D321,FIND("/",Raw_Data!D321)+1)-FIND("/",Raw_Data!D321)-1)),VALUE(LEFT(Raw_Data!D321,FIND("/",Raw_Data!D321)-1))),IF(ISNUMBER(VALUE(LEFT(Raw_Data!D321,4))),DATE(VALUE(LEFT(Raw_Data!D321,4)),VALUE(MID(Raw_Data!D321,6,2)),VALUE(MID(Raw_Data!D321,9,2))),DATEVALUE(Raw_Data!D321))),"")</f>
        <v>45625</v>
      </c>
      <c r="E321" s="12" t="n">
        <f aca="false">IFERROR(IF(ISNUMBER(SEARCH("/",Raw_Data!E321)),DATE(VALUE(RIGHT(Raw_Data!E321,4)),VALUE(MID(Raw_Data!E321,FIND("/",Raw_Data!E321)+1,FIND("/",Raw_Data!E321,FIND("/",Raw_Data!E321)+1)-FIND("/",Raw_Data!E321)-1)),VALUE(LEFT(Raw_Data!E321,FIND("/",Raw_Data!E321)-1))),IF(ISNUMBER(VALUE(LEFT(Raw_Data!E321,4))),DATE(VALUE(LEFT(Raw_Data!E321,4)),VALUE(MID(Raw_Data!E321,6,2)),VALUE(MID(Raw_Data!E321,9,2))),DATEVALUE(Raw_Data!E321))),"")</f>
        <v>45648</v>
      </c>
      <c r="F321" s="11" t="str">
        <f aca="false">Raw_Data!F321</f>
        <v>Female 25-34</v>
      </c>
      <c r="G321" s="11" t="str">
        <f aca="false">IF(TRIM(Raw_Data!G321)="","Unspecified",IFERROR(INDEX(Lookup_Tables!$F$2:$F$24,MATCH(UPPER(TRIM(Raw_Data!G321)),Lookup_Tables!$G$2:$G$24,0)),"Unknown"))</f>
        <v>Unspecified</v>
      </c>
      <c r="H321" s="11" t="n">
        <f aca="false">IF(Raw_Data!H321="",ROUND(AVERAGEIFS(Raw_Data!$H$2:$H$839,Raw_Data!$C$2:$C$839,Raw_Data!C321),2),Raw_Data!H321)</f>
        <v>46216.67</v>
      </c>
      <c r="I321" s="11" t="n">
        <f aca="false">Raw_Data!I321</f>
        <v>1626147</v>
      </c>
      <c r="J321" s="11" t="n">
        <f aca="false">IF(Raw_Data!J321&lt;0,ABS(Raw_Data!J321),Raw_Data!J321)</f>
        <v>45819</v>
      </c>
      <c r="K321" s="11" t="n">
        <f aca="false">Raw_Data!K321</f>
        <v>2678</v>
      </c>
      <c r="L321" s="11" t="n">
        <f aca="false">IF(Raw_Data!L321="",ROUND(AVERAGEIFS(Raw_Data!$L$2:$L$839,Raw_Data!$C$2:$C$839,Raw_Data!C321),2),Raw_Data!L321)</f>
        <v>1737840.74</v>
      </c>
      <c r="M321" s="13" t="n">
        <f aca="false">IFERROR(J321/I321,0)</f>
        <v>0.0281764194749921</v>
      </c>
      <c r="N321" s="14" t="n">
        <f aca="false">IFERROR(H321/J321,0)</f>
        <v>1.00867915057072</v>
      </c>
      <c r="O321" s="14" t="n">
        <f aca="false">IFERROR(H321/K321,0)</f>
        <v>17.2579051530993</v>
      </c>
      <c r="P321" s="15" t="n">
        <f aca="false">IFERROR(L321/H321,0)</f>
        <v>37.6020327730232</v>
      </c>
      <c r="Q321" s="13" t="n">
        <f aca="false">IFERROR(K321/J321,0)</f>
        <v>0.0584473689953949</v>
      </c>
      <c r="R321" s="11" t="str">
        <f aca="false">IF(COUNTIF($A$2:A321,A321)&gt;1,"Duplicate - Remove","Unique")</f>
        <v>Unique</v>
      </c>
      <c r="S321" s="11" t="str">
        <f aca="false">TRIM(IF(Raw_Data!G321="","Region missing; ","")&amp;IF(Raw_Data!H321="","Spend imputed; ","")&amp;IF(Raw_Data!L321="","Revenue imputed; ","")&amp;IF(Raw_Data!J321&lt;0,"Clicks corrected; ",""))</f>
        <v>Region missing;</v>
      </c>
    </row>
    <row r="322" customFormat="false" ht="15" hidden="false" customHeight="true" outlineLevel="0" collapsed="false">
      <c r="A322" s="11" t="n">
        <f aca="false">Raw_Data!A322</f>
        <v>1386</v>
      </c>
      <c r="B322" s="11" t="str">
        <f aca="false">PROPER(TRIM(Raw_Data!B322))</f>
        <v>Wedding Season Special</v>
      </c>
      <c r="C322" s="11" t="str">
        <f aca="false">IFERROR(INDEX(Lookup_Tables!$B$2:$B$26,MATCH(UPPER(TRIM(Raw_Data!C322)),Lookup_Tables!$C$2:$C$26,0)),"Unknown")</f>
        <v>Instagram</v>
      </c>
      <c r="D322" s="12" t="n">
        <f aca="false">IFERROR(IF(ISNUMBER(SEARCH("/",Raw_Data!D322)),DATE(VALUE(RIGHT(Raw_Data!D322,4)),VALUE(MID(Raw_Data!D322,FIND("/",Raw_Data!D322)+1,FIND("/",Raw_Data!D322,FIND("/",Raw_Data!D322)+1)-FIND("/",Raw_Data!D322)-1)),VALUE(LEFT(Raw_Data!D322,FIND("/",Raw_Data!D322)-1))),IF(ISNUMBER(VALUE(LEFT(Raw_Data!D322,4))),DATE(VALUE(LEFT(Raw_Data!D322,4)),VALUE(MID(Raw_Data!D322,6,2)),VALUE(MID(Raw_Data!D322,9,2))),DATEVALUE(Raw_Data!D322))),"")</f>
        <v>45464</v>
      </c>
      <c r="E322" s="12" t="n">
        <f aca="false">IFERROR(IF(ISNUMBER(SEARCH("/",Raw_Data!E322)),DATE(VALUE(RIGHT(Raw_Data!E322,4)),VALUE(MID(Raw_Data!E322,FIND("/",Raw_Data!E322)+1,FIND("/",Raw_Data!E322,FIND("/",Raw_Data!E322)+1)-FIND("/",Raw_Data!E322)-1)),VALUE(LEFT(Raw_Data!E322,FIND("/",Raw_Data!E322)-1))),IF(ISNUMBER(VALUE(LEFT(Raw_Data!E322,4))),DATE(VALUE(LEFT(Raw_Data!E322,4)),VALUE(MID(Raw_Data!E322,6,2)),VALUE(MID(Raw_Data!E322,9,2))),DATEVALUE(Raw_Data!E322))),"")</f>
        <v>45482</v>
      </c>
      <c r="F322" s="11" t="str">
        <f aca="false">Raw_Data!F322</f>
        <v>Female 25-34</v>
      </c>
      <c r="G322" s="11" t="str">
        <f aca="false">IF(TRIM(Raw_Data!G322)="","Unspecified",IFERROR(INDEX(Lookup_Tables!$F$2:$F$24,MATCH(UPPER(TRIM(Raw_Data!G322)),Lookup_Tables!$G$2:$G$24,0)),"Unknown"))</f>
        <v>Unspecified</v>
      </c>
      <c r="H322" s="11" t="n">
        <f aca="false">IF(Raw_Data!H322="",ROUND(AVERAGEIFS(Raw_Data!$H$2:$H$839,Raw_Data!$C$2:$C$839,Raw_Data!C322),2),Raw_Data!H322)</f>
        <v>40113.27</v>
      </c>
      <c r="I322" s="11" t="n">
        <f aca="false">Raw_Data!I322</f>
        <v>722728</v>
      </c>
      <c r="J322" s="11" t="n">
        <f aca="false">IF(Raw_Data!J322&lt;0,ABS(Raw_Data!J322),Raw_Data!J322)</f>
        <v>8472</v>
      </c>
      <c r="K322" s="11" t="n">
        <f aca="false">Raw_Data!K322</f>
        <v>237</v>
      </c>
      <c r="L322" s="11" t="n">
        <f aca="false">IF(Raw_Data!L322="",ROUND(AVERAGEIFS(Raw_Data!$L$2:$L$839,Raw_Data!$C$2:$C$839,Raw_Data!C322),2),Raw_Data!L322)</f>
        <v>199902.42</v>
      </c>
      <c r="M322" s="13" t="n">
        <f aca="false">IFERROR(J322/I322,0)</f>
        <v>0.0117222523549662</v>
      </c>
      <c r="N322" s="14" t="n">
        <f aca="false">IFERROR(H322/J322,0)</f>
        <v>4.7348052407932</v>
      </c>
      <c r="O322" s="14" t="n">
        <f aca="false">IFERROR(H322/K322,0)</f>
        <v>169.254303797468</v>
      </c>
      <c r="P322" s="15" t="n">
        <f aca="false">IFERROR(L322/H322,0)</f>
        <v>4.98344861937209</v>
      </c>
      <c r="Q322" s="13" t="n">
        <f aca="false">IFERROR(K322/J322,0)</f>
        <v>0.0279745042492918</v>
      </c>
      <c r="R322" s="11" t="str">
        <f aca="false">IF(COUNTIF($A$2:A322,A322)&gt;1,"Duplicate - Remove","Unique")</f>
        <v>Unique</v>
      </c>
      <c r="S322" s="11" t="str">
        <f aca="false">TRIM(IF(Raw_Data!G322="","Region missing; ","")&amp;IF(Raw_Data!H322="","Spend imputed; ","")&amp;IF(Raw_Data!L322="","Revenue imputed; ","")&amp;IF(Raw_Data!J322&lt;0,"Clicks corrected; ",""))</f>
        <v>Region missing;</v>
      </c>
    </row>
    <row r="323" customFormat="false" ht="15" hidden="false" customHeight="true" outlineLevel="0" collapsed="false">
      <c r="A323" s="11" t="n">
        <f aca="false">Raw_Data!A323</f>
        <v>1687</v>
      </c>
      <c r="B323" s="11" t="str">
        <f aca="false">PROPER(TRIM(Raw_Data!B323))</f>
        <v>Herbal Range Awareness</v>
      </c>
      <c r="C323" s="11" t="str">
        <f aca="false">IFERROR(INDEX(Lookup_Tables!$B$2:$B$26,MATCH(UPPER(TRIM(Raw_Data!C323)),Lookup_Tables!$C$2:$C$26,0)),"Unknown")</f>
        <v>Google Ads</v>
      </c>
      <c r="D323" s="12" t="n">
        <f aca="false">IFERROR(IF(ISNUMBER(SEARCH("/",Raw_Data!D323)),DATE(VALUE(RIGHT(Raw_Data!D323,4)),VALUE(MID(Raw_Data!D323,FIND("/",Raw_Data!D323)+1,FIND("/",Raw_Data!D323,FIND("/",Raw_Data!D323)+1)-FIND("/",Raw_Data!D323)-1)),VALUE(LEFT(Raw_Data!D323,FIND("/",Raw_Data!D323)-1))),IF(ISNUMBER(VALUE(LEFT(Raw_Data!D323,4))),DATE(VALUE(LEFT(Raw_Data!D323,4)),VALUE(MID(Raw_Data!D323,6,2)),VALUE(MID(Raw_Data!D323,9,2))),DATEVALUE(Raw_Data!D323))),"")</f>
        <v>45577</v>
      </c>
      <c r="E323" s="12" t="n">
        <f aca="false">IFERROR(IF(ISNUMBER(SEARCH("/",Raw_Data!E323)),DATE(VALUE(RIGHT(Raw_Data!E323,4)),VALUE(MID(Raw_Data!E323,FIND("/",Raw_Data!E323)+1,FIND("/",Raw_Data!E323,FIND("/",Raw_Data!E323)+1)-FIND("/",Raw_Data!E323)-1)),VALUE(LEFT(Raw_Data!E323,FIND("/",Raw_Data!E323)-1))),IF(ISNUMBER(VALUE(LEFT(Raw_Data!E323,4))),DATE(VALUE(LEFT(Raw_Data!E323,4)),VALUE(MID(Raw_Data!E323,6,2)),VALUE(MID(Raw_Data!E323,9,2))),DATEVALUE(Raw_Data!E323))),"")</f>
        <v>45583</v>
      </c>
      <c r="F323" s="11" t="str">
        <f aca="false">Raw_Data!F323</f>
        <v>Female 18-24</v>
      </c>
      <c r="G323" s="11" t="str">
        <f aca="false">IF(TRIM(Raw_Data!G323)="","Unspecified",IFERROR(INDEX(Lookup_Tables!$F$2:$F$24,MATCH(UPPER(TRIM(Raw_Data!G323)),Lookup_Tables!$G$2:$G$24,0)),"Unknown"))</f>
        <v>East</v>
      </c>
      <c r="H323" s="11" t="n">
        <f aca="false">IF(Raw_Data!H323="",ROUND(AVERAGEIFS(Raw_Data!$H$2:$H$839,Raw_Data!$C$2:$C$839,Raw_Data!C323),2),Raw_Data!H323)</f>
        <v>36120.29</v>
      </c>
      <c r="I323" s="11" t="n">
        <f aca="false">Raw_Data!I323</f>
        <v>693972</v>
      </c>
      <c r="J323" s="11" t="n">
        <f aca="false">IF(Raw_Data!J323&lt;0,ABS(Raw_Data!J323),Raw_Data!J323)</f>
        <v>23531</v>
      </c>
      <c r="K323" s="11" t="n">
        <f aca="false">Raw_Data!K323</f>
        <v>1106</v>
      </c>
      <c r="L323" s="11" t="n">
        <f aca="false">IF(Raw_Data!L323="",ROUND(AVERAGEIFS(Raw_Data!$L$2:$L$839,Raw_Data!$C$2:$C$839,Raw_Data!C323),2),Raw_Data!L323)</f>
        <v>394574.89</v>
      </c>
      <c r="M323" s="13" t="n">
        <f aca="false">IFERROR(J323/I323,0)</f>
        <v>0.0339077080919691</v>
      </c>
      <c r="N323" s="14" t="n">
        <f aca="false">IFERROR(H323/J323,0)</f>
        <v>1.53500871191195</v>
      </c>
      <c r="O323" s="14" t="n">
        <f aca="false">IFERROR(H323/K323,0)</f>
        <v>32.6584900542496</v>
      </c>
      <c r="P323" s="15" t="n">
        <f aca="false">IFERROR(L323/H323,0)</f>
        <v>10.9239125710231</v>
      </c>
      <c r="Q323" s="13" t="n">
        <f aca="false">IFERROR(K323/J323,0)</f>
        <v>0.0470018273766521</v>
      </c>
      <c r="R323" s="11" t="str">
        <f aca="false">IF(COUNTIF($A$2:A323,A323)&gt;1,"Duplicate - Remove","Unique")</f>
        <v>Unique</v>
      </c>
      <c r="S323" s="11" t="str">
        <f aca="false">TRIM(IF(Raw_Data!G323="","Region missing; ","")&amp;IF(Raw_Data!H323="","Spend imputed; ","")&amp;IF(Raw_Data!L323="","Revenue imputed; ","")&amp;IF(Raw_Data!J323&lt;0,"Clicks corrected; ",""))</f>
        <v/>
      </c>
    </row>
    <row r="324" customFormat="false" ht="15" hidden="false" customHeight="true" outlineLevel="0" collapsed="false">
      <c r="A324" s="11" t="n">
        <f aca="false">Raw_Data!A324</f>
        <v>1257</v>
      </c>
      <c r="B324" s="11" t="str">
        <f aca="false">PROPER(TRIM(Raw_Data!B324))</f>
        <v>New Year Wellness</v>
      </c>
      <c r="C324" s="11" t="str">
        <f aca="false">IFERROR(INDEX(Lookup_Tables!$B$2:$B$26,MATCH(UPPER(TRIM(Raw_Data!C324)),Lookup_Tables!$C$2:$C$26,0)),"Unknown")</f>
        <v>Instagram</v>
      </c>
      <c r="D324" s="12" t="n">
        <f aca="false">IFERROR(IF(ISNUMBER(SEARCH("/",Raw_Data!D324)),DATE(VALUE(RIGHT(Raw_Data!D324,4)),VALUE(MID(Raw_Data!D324,FIND("/",Raw_Data!D324)+1,FIND("/",Raw_Data!D324,FIND("/",Raw_Data!D324)+1)-FIND("/",Raw_Data!D324)-1)),VALUE(LEFT(Raw_Data!D324,FIND("/",Raw_Data!D324)-1))),IF(ISNUMBER(VALUE(LEFT(Raw_Data!D324,4))),DATE(VALUE(LEFT(Raw_Data!D324,4)),VALUE(MID(Raw_Data!D324,6,2)),VALUE(MID(Raw_Data!D324,9,2))),DATEVALUE(Raw_Data!D324))),"")</f>
        <v>45531</v>
      </c>
      <c r="E324" s="12" t="n">
        <f aca="false">IFERROR(IF(ISNUMBER(SEARCH("/",Raw_Data!E324)),DATE(VALUE(RIGHT(Raw_Data!E324,4)),VALUE(MID(Raw_Data!E324,FIND("/",Raw_Data!E324)+1,FIND("/",Raw_Data!E324,FIND("/",Raw_Data!E324)+1)-FIND("/",Raw_Data!E324)-1)),VALUE(LEFT(Raw_Data!E324,FIND("/",Raw_Data!E324)-1))),IF(ISNUMBER(VALUE(LEFT(Raw_Data!E324,4))),DATE(VALUE(LEFT(Raw_Data!E324,4)),VALUE(MID(Raw_Data!E324,6,2)),VALUE(MID(Raw_Data!E324,9,2))),DATEVALUE(Raw_Data!E324))),"")</f>
        <v>45561</v>
      </c>
      <c r="F324" s="11" t="str">
        <f aca="false">Raw_Data!F324</f>
        <v>Female 25-34</v>
      </c>
      <c r="G324" s="11" t="str">
        <f aca="false">IF(TRIM(Raw_Data!G324)="","Unspecified",IFERROR(INDEX(Lookup_Tables!$F$2:$F$24,MATCH(UPPER(TRIM(Raw_Data!G324)),Lookup_Tables!$G$2:$G$24,0)),"Unknown"))</f>
        <v>South</v>
      </c>
      <c r="H324" s="11" t="n">
        <f aca="false">IF(Raw_Data!H324="",ROUND(AVERAGEIFS(Raw_Data!$H$2:$H$839,Raw_Data!$C$2:$C$839,Raw_Data!C324),2),Raw_Data!H324)</f>
        <v>11156.41</v>
      </c>
      <c r="I324" s="11" t="n">
        <f aca="false">Raw_Data!I324</f>
        <v>322983</v>
      </c>
      <c r="J324" s="11" t="n">
        <f aca="false">IF(Raw_Data!J324&lt;0,ABS(Raw_Data!J324),Raw_Data!J324)</f>
        <v>10706</v>
      </c>
      <c r="K324" s="11" t="n">
        <f aca="false">Raw_Data!K324</f>
        <v>418</v>
      </c>
      <c r="L324" s="11" t="n">
        <f aca="false">IF(Raw_Data!L324="",ROUND(AVERAGEIFS(Raw_Data!$L$2:$L$839,Raw_Data!$C$2:$C$839,Raw_Data!C324),2),Raw_Data!L324)</f>
        <v>369992.51</v>
      </c>
      <c r="M324" s="13" t="n">
        <f aca="false">IFERROR(J324/I324,0)</f>
        <v>0.0331472554283043</v>
      </c>
      <c r="N324" s="14" t="n">
        <f aca="false">IFERROR(H324/J324,0)</f>
        <v>1.04207080141976</v>
      </c>
      <c r="O324" s="14" t="n">
        <f aca="false">IFERROR(H324/K324,0)</f>
        <v>26.689976076555</v>
      </c>
      <c r="P324" s="15" t="n">
        <f aca="false">IFERROR(L324/H324,0)</f>
        <v>33.1641191028297</v>
      </c>
      <c r="Q324" s="13" t="n">
        <f aca="false">IFERROR(K324/J324,0)</f>
        <v>0.0390435269942089</v>
      </c>
      <c r="R324" s="11" t="str">
        <f aca="false">IF(COUNTIF($A$2:A324,A324)&gt;1,"Duplicate - Remove","Unique")</f>
        <v>Unique</v>
      </c>
      <c r="S324" s="11" t="str">
        <f aca="false">TRIM(IF(Raw_Data!G324="","Region missing; ","")&amp;IF(Raw_Data!H324="","Spend imputed; ","")&amp;IF(Raw_Data!L324="","Revenue imputed; ","")&amp;IF(Raw_Data!J324&lt;0,"Clicks corrected; ",""))</f>
        <v/>
      </c>
    </row>
    <row r="325" customFormat="false" ht="15" hidden="false" customHeight="true" outlineLevel="0" collapsed="false">
      <c r="A325" s="11" t="n">
        <f aca="false">Raw_Data!A325</f>
        <v>1487</v>
      </c>
      <c r="B325" s="11" t="str">
        <f aca="false">PROPER(TRIM(Raw_Data!B325))</f>
        <v>Summer Glow Launch</v>
      </c>
      <c r="C325" s="11" t="str">
        <f aca="false">IFERROR(INDEX(Lookup_Tables!$B$2:$B$26,MATCH(UPPER(TRIM(Raw_Data!C325)),Lookup_Tables!$C$2:$C$26,0)),"Unknown")</f>
        <v>Facebook</v>
      </c>
      <c r="D325" s="12" t="n">
        <f aca="false">IFERROR(IF(ISNUMBER(SEARCH("/",Raw_Data!D325)),DATE(VALUE(RIGHT(Raw_Data!D325,4)),VALUE(MID(Raw_Data!D325,FIND("/",Raw_Data!D325)+1,FIND("/",Raw_Data!D325,FIND("/",Raw_Data!D325)+1)-FIND("/",Raw_Data!D325)-1)),VALUE(LEFT(Raw_Data!D325,FIND("/",Raw_Data!D325)-1))),IF(ISNUMBER(VALUE(LEFT(Raw_Data!D325,4))),DATE(VALUE(LEFT(Raw_Data!D325,4)),VALUE(MID(Raw_Data!D325,6,2)),VALUE(MID(Raw_Data!D325,9,2))),DATEVALUE(Raw_Data!D325))),"")</f>
        <v>45376</v>
      </c>
      <c r="E325" s="12" t="n">
        <f aca="false">IFERROR(IF(ISNUMBER(SEARCH("/",Raw_Data!E325)),DATE(VALUE(RIGHT(Raw_Data!E325,4)),VALUE(MID(Raw_Data!E325,FIND("/",Raw_Data!E325)+1,FIND("/",Raw_Data!E325,FIND("/",Raw_Data!E325)+1)-FIND("/",Raw_Data!E325)-1)),VALUE(LEFT(Raw_Data!E325,FIND("/",Raw_Data!E325)-1))),IF(ISNUMBER(VALUE(LEFT(Raw_Data!E325,4))),DATE(VALUE(LEFT(Raw_Data!E325,4)),VALUE(MID(Raw_Data!E325,6,2)),VALUE(MID(Raw_Data!E325,9,2))),DATEVALUE(Raw_Data!E325))),"")</f>
        <v>45395</v>
      </c>
      <c r="F325" s="11" t="str">
        <f aca="false">Raw_Data!F325</f>
        <v>Female 25-34</v>
      </c>
      <c r="G325" s="11" t="str">
        <f aca="false">IF(TRIM(Raw_Data!G325)="","Unspecified",IFERROR(INDEX(Lookup_Tables!$F$2:$F$24,MATCH(UPPER(TRIM(Raw_Data!G325)),Lookup_Tables!$G$2:$G$24,0)),"Unknown"))</f>
        <v>South</v>
      </c>
      <c r="H325" s="11" t="n">
        <f aca="false">IF(Raw_Data!H325="",ROUND(AVERAGEIFS(Raw_Data!$H$2:$H$839,Raw_Data!$C$2:$C$839,Raw_Data!C325),2),Raw_Data!H325)</f>
        <v>22902.62</v>
      </c>
      <c r="I325" s="11" t="n">
        <f aca="false">Raw_Data!I325</f>
        <v>789780</v>
      </c>
      <c r="J325" s="11" t="n">
        <f aca="false">IF(Raw_Data!J325&lt;0,ABS(Raw_Data!J325),Raw_Data!J325)</f>
        <v>13446</v>
      </c>
      <c r="K325" s="11" t="n">
        <f aca="false">Raw_Data!K325</f>
        <v>389</v>
      </c>
      <c r="L325" s="11" t="n">
        <f aca="false">IF(Raw_Data!L325="",ROUND(AVERAGEIFS(Raw_Data!$L$2:$L$839,Raw_Data!$C$2:$C$839,Raw_Data!C325),2),Raw_Data!L325)</f>
        <v>239972.62</v>
      </c>
      <c r="M325" s="13" t="n">
        <f aca="false">IFERROR(J325/I325,0)</f>
        <v>0.0170249943022107</v>
      </c>
      <c r="N325" s="14" t="n">
        <f aca="false">IFERROR(H325/J325,0)</f>
        <v>1.70330358470921</v>
      </c>
      <c r="O325" s="14" t="n">
        <f aca="false">IFERROR(H325/K325,0)</f>
        <v>58.8756298200514</v>
      </c>
      <c r="P325" s="15" t="n">
        <f aca="false">IFERROR(L325/H325,0)</f>
        <v>10.4779549239345</v>
      </c>
      <c r="Q325" s="13" t="n">
        <f aca="false">IFERROR(K325/J325,0)</f>
        <v>0.0289305369626655</v>
      </c>
      <c r="R325" s="11" t="str">
        <f aca="false">IF(COUNTIF($A$2:A325,A325)&gt;1,"Duplicate - Remove","Unique")</f>
        <v>Unique</v>
      </c>
      <c r="S325" s="11" t="str">
        <f aca="false">TRIM(IF(Raw_Data!G325="","Region missing; ","")&amp;IF(Raw_Data!H325="","Spend imputed; ","")&amp;IF(Raw_Data!L325="","Revenue imputed; ","")&amp;IF(Raw_Data!J325&lt;0,"Clicks corrected; ",""))</f>
        <v/>
      </c>
    </row>
    <row r="326" customFormat="false" ht="15" hidden="false" customHeight="true" outlineLevel="0" collapsed="false">
      <c r="A326" s="11" t="n">
        <f aca="false">Raw_Data!A326</f>
        <v>1498</v>
      </c>
      <c r="B326" s="11" t="str">
        <f aca="false">PROPER(TRIM(Raw_Data!B326))</f>
        <v>Anti-Ageing Serum Push</v>
      </c>
      <c r="C326" s="11" t="str">
        <f aca="false">IFERROR(INDEX(Lookup_Tables!$B$2:$B$26,MATCH(UPPER(TRIM(Raw_Data!C326)),Lookup_Tables!$C$2:$C$26,0)),"Unknown")</f>
        <v>Facebook</v>
      </c>
      <c r="D326" s="12" t="n">
        <f aca="false">IFERROR(IF(ISNUMBER(SEARCH("/",Raw_Data!D326)),DATE(VALUE(RIGHT(Raw_Data!D326,4)),VALUE(MID(Raw_Data!D326,FIND("/",Raw_Data!D326)+1,FIND("/",Raw_Data!D326,FIND("/",Raw_Data!D326)+1)-FIND("/",Raw_Data!D326)-1)),VALUE(LEFT(Raw_Data!D326,FIND("/",Raw_Data!D326)-1))),IF(ISNUMBER(VALUE(LEFT(Raw_Data!D326,4))),DATE(VALUE(LEFT(Raw_Data!D326,4)),VALUE(MID(Raw_Data!D326,6,2)),VALUE(MID(Raw_Data!D326,9,2))),DATEVALUE(Raw_Data!D326))),"")</f>
        <v>45488</v>
      </c>
      <c r="E326" s="12" t="n">
        <f aca="false">IFERROR(IF(ISNUMBER(SEARCH("/",Raw_Data!E326)),DATE(VALUE(RIGHT(Raw_Data!E326,4)),VALUE(MID(Raw_Data!E326,FIND("/",Raw_Data!E326)+1,FIND("/",Raw_Data!E326,FIND("/",Raw_Data!E326)+1)-FIND("/",Raw_Data!E326)-1)),VALUE(LEFT(Raw_Data!E326,FIND("/",Raw_Data!E326)-1))),IF(ISNUMBER(VALUE(LEFT(Raw_Data!E326,4))),DATE(VALUE(LEFT(Raw_Data!E326,4)),VALUE(MID(Raw_Data!E326,6,2)),VALUE(MID(Raw_Data!E326,9,2))),DATEVALUE(Raw_Data!E326))),"")</f>
        <v>45495</v>
      </c>
      <c r="F326" s="11" t="str">
        <f aca="false">Raw_Data!F326</f>
        <v>Male 18-24</v>
      </c>
      <c r="G326" s="11" t="str">
        <f aca="false">IF(TRIM(Raw_Data!G326)="","Unspecified",IFERROR(INDEX(Lookup_Tables!$F$2:$F$24,MATCH(UPPER(TRIM(Raw_Data!G326)),Lookup_Tables!$G$2:$G$24,0)),"Unknown"))</f>
        <v>West</v>
      </c>
      <c r="H326" s="11" t="n">
        <f aca="false">IF(Raw_Data!H326="",ROUND(AVERAGEIFS(Raw_Data!$H$2:$H$839,Raw_Data!$C$2:$C$839,Raw_Data!C326),2),Raw_Data!H326)</f>
        <v>37456.53</v>
      </c>
      <c r="I326" s="11" t="n">
        <f aca="false">Raw_Data!I326</f>
        <v>1055287</v>
      </c>
      <c r="J326" s="11" t="n">
        <f aca="false">IF(Raw_Data!J326&lt;0,ABS(Raw_Data!J326),Raw_Data!J326)</f>
        <v>29862</v>
      </c>
      <c r="K326" s="11" t="n">
        <f aca="false">Raw_Data!K326</f>
        <v>1994</v>
      </c>
      <c r="L326" s="11" t="n">
        <f aca="false">IF(Raw_Data!L326="",ROUND(AVERAGEIFS(Raw_Data!$L$2:$L$839,Raw_Data!$C$2:$C$839,Raw_Data!C326),2),Raw_Data!L326)</f>
        <v>1332060.36</v>
      </c>
      <c r="M326" s="13" t="n">
        <f aca="false">IFERROR(J326/I326,0)</f>
        <v>0.0282975152730963</v>
      </c>
      <c r="N326" s="14" t="n">
        <f aca="false">IFERROR(H326/J326,0)</f>
        <v>1.25432087602974</v>
      </c>
      <c r="O326" s="14" t="n">
        <f aca="false">IFERROR(H326/K326,0)</f>
        <v>18.7846188565697</v>
      </c>
      <c r="P326" s="15" t="n">
        <f aca="false">IFERROR(L326/H326,0)</f>
        <v>35.5628340372159</v>
      </c>
      <c r="Q326" s="13" t="n">
        <f aca="false">IFERROR(K326/J326,0)</f>
        <v>0.0667738262674972</v>
      </c>
      <c r="R326" s="11" t="str">
        <f aca="false">IF(COUNTIF($A$2:A326,A326)&gt;1,"Duplicate - Remove","Unique")</f>
        <v>Unique</v>
      </c>
      <c r="S326" s="11" t="str">
        <f aca="false">TRIM(IF(Raw_Data!G326="","Region missing; ","")&amp;IF(Raw_Data!H326="","Spend imputed; ","")&amp;IF(Raw_Data!L326="","Revenue imputed; ","")&amp;IF(Raw_Data!J326&lt;0,"Clicks corrected; ",""))</f>
        <v/>
      </c>
    </row>
    <row r="327" customFormat="false" ht="15" hidden="false" customHeight="true" outlineLevel="0" collapsed="false">
      <c r="A327" s="11" t="n">
        <f aca="false">Raw_Data!A327</f>
        <v>1380</v>
      </c>
      <c r="B327" s="11" t="str">
        <f aca="false">PROPER(TRIM(Raw_Data!B327))</f>
        <v>Back To College Offer</v>
      </c>
      <c r="C327" s="11" t="str">
        <f aca="false">IFERROR(INDEX(Lookup_Tables!$B$2:$B$26,MATCH(UPPER(TRIM(Raw_Data!C327)),Lookup_Tables!$C$2:$C$26,0)),"Unknown")</f>
        <v>YouTube</v>
      </c>
      <c r="D327" s="12" t="n">
        <f aca="false">IFERROR(IF(ISNUMBER(SEARCH("/",Raw_Data!D327)),DATE(VALUE(RIGHT(Raw_Data!D327,4)),VALUE(MID(Raw_Data!D327,FIND("/",Raw_Data!D327)+1,FIND("/",Raw_Data!D327,FIND("/",Raw_Data!D327)+1)-FIND("/",Raw_Data!D327)-1)),VALUE(LEFT(Raw_Data!D327,FIND("/",Raw_Data!D327)-1))),IF(ISNUMBER(VALUE(LEFT(Raw_Data!D327,4))),DATE(VALUE(LEFT(Raw_Data!D327,4)),VALUE(MID(Raw_Data!D327,6,2)),VALUE(MID(Raw_Data!D327,9,2))),DATEVALUE(Raw_Data!D327))),"")</f>
        <v>45379</v>
      </c>
      <c r="E327" s="12" t="n">
        <f aca="false">IFERROR(IF(ISNUMBER(SEARCH("/",Raw_Data!E327)),DATE(VALUE(RIGHT(Raw_Data!E327,4)),VALUE(MID(Raw_Data!E327,FIND("/",Raw_Data!E327)+1,FIND("/",Raw_Data!E327,FIND("/",Raw_Data!E327)+1)-FIND("/",Raw_Data!E327)-1)),VALUE(LEFT(Raw_Data!E327,FIND("/",Raw_Data!E327)-1))),IF(ISNUMBER(VALUE(LEFT(Raw_Data!E327,4))),DATE(VALUE(LEFT(Raw_Data!E327,4)),VALUE(MID(Raw_Data!E327,6,2)),VALUE(MID(Raw_Data!E327,9,2))),DATEVALUE(Raw_Data!E327))),"")</f>
        <v>45404</v>
      </c>
      <c r="F327" s="11" t="str">
        <f aca="false">Raw_Data!F327</f>
        <v>Female 18-24</v>
      </c>
      <c r="G327" s="11" t="str">
        <f aca="false">IF(TRIM(Raw_Data!G327)="","Unspecified",IFERROR(INDEX(Lookup_Tables!$F$2:$F$24,MATCH(UPPER(TRIM(Raw_Data!G327)),Lookup_Tables!$G$2:$G$24,0)),"Unknown"))</f>
        <v>North</v>
      </c>
      <c r="H327" s="11" t="n">
        <f aca="false">IF(Raw_Data!H327="",ROUND(AVERAGEIFS(Raw_Data!$H$2:$H$839,Raw_Data!$C$2:$C$839,Raw_Data!C327),2),Raw_Data!H327)</f>
        <v>49512.23</v>
      </c>
      <c r="I327" s="11" t="n">
        <f aca="false">Raw_Data!I327</f>
        <v>1244108</v>
      </c>
      <c r="J327" s="11" t="n">
        <f aca="false">IF(Raw_Data!J327&lt;0,ABS(Raw_Data!J327),Raw_Data!J327)</f>
        <v>30768</v>
      </c>
      <c r="K327" s="11" t="n">
        <f aca="false">Raw_Data!K327</f>
        <v>1910</v>
      </c>
      <c r="L327" s="11" t="n">
        <f aca="false">IF(Raw_Data!L327="",ROUND(AVERAGEIFS(Raw_Data!$L$2:$L$839,Raw_Data!$C$2:$C$839,Raw_Data!C327),2),Raw_Data!L327)</f>
        <v>2678911.64</v>
      </c>
      <c r="M327" s="13" t="n">
        <f aca="false">IFERROR(J327/I327,0)</f>
        <v>0.0247309719091912</v>
      </c>
      <c r="N327" s="14" t="n">
        <f aca="false">IFERROR(H327/J327,0)</f>
        <v>1.60921184347374</v>
      </c>
      <c r="O327" s="14" t="n">
        <f aca="false">IFERROR(H327/K327,0)</f>
        <v>25.9226335078534</v>
      </c>
      <c r="P327" s="15" t="n">
        <f aca="false">IFERROR(L327/H327,0)</f>
        <v>54.1060590484412</v>
      </c>
      <c r="Q327" s="13" t="n">
        <f aca="false">IFERROR(K327/J327,0)</f>
        <v>0.062077483099324</v>
      </c>
      <c r="R327" s="11" t="str">
        <f aca="false">IF(COUNTIF($A$2:A327,A327)&gt;1,"Duplicate - Remove","Unique")</f>
        <v>Unique</v>
      </c>
      <c r="S327" s="11" t="str">
        <f aca="false">TRIM(IF(Raw_Data!G327="","Region missing; ","")&amp;IF(Raw_Data!H327="","Spend imputed; ","")&amp;IF(Raw_Data!L327="","Revenue imputed; ","")&amp;IF(Raw_Data!J327&lt;0,"Clicks corrected; ",""))</f>
        <v/>
      </c>
    </row>
    <row r="328" customFormat="false" ht="15" hidden="false" customHeight="true" outlineLevel="0" collapsed="false">
      <c r="A328" s="11" t="n">
        <f aca="false">Raw_Data!A328</f>
        <v>1369</v>
      </c>
      <c r="B328" s="11" t="str">
        <f aca="false">PROPER(TRIM(Raw_Data!B328))</f>
        <v>Men'S Grooming Drive</v>
      </c>
      <c r="C328" s="11" t="str">
        <f aca="false">IFERROR(INDEX(Lookup_Tables!$B$2:$B$26,MATCH(UPPER(TRIM(Raw_Data!C328)),Lookup_Tables!$C$2:$C$26,0)),"Unknown")</f>
        <v>Email</v>
      </c>
      <c r="D328" s="12" t="n">
        <f aca="false">IFERROR(IF(ISNUMBER(SEARCH("/",Raw_Data!D328)),DATE(VALUE(RIGHT(Raw_Data!D328,4)),VALUE(MID(Raw_Data!D328,FIND("/",Raw_Data!D328)+1,FIND("/",Raw_Data!D328,FIND("/",Raw_Data!D328)+1)-FIND("/",Raw_Data!D328)-1)),VALUE(LEFT(Raw_Data!D328,FIND("/",Raw_Data!D328)-1))),IF(ISNUMBER(VALUE(LEFT(Raw_Data!D328,4))),DATE(VALUE(LEFT(Raw_Data!D328,4)),VALUE(MID(Raw_Data!D328,6,2)),VALUE(MID(Raw_Data!D328,9,2))),DATEVALUE(Raw_Data!D328))),"")</f>
        <v>45473</v>
      </c>
      <c r="E328" s="12" t="n">
        <f aca="false">IFERROR(IF(ISNUMBER(SEARCH("/",Raw_Data!E328)),DATE(VALUE(RIGHT(Raw_Data!E328,4)),VALUE(MID(Raw_Data!E328,FIND("/",Raw_Data!E328)+1,FIND("/",Raw_Data!E328,FIND("/",Raw_Data!E328)+1)-FIND("/",Raw_Data!E328)-1)),VALUE(LEFT(Raw_Data!E328,FIND("/",Raw_Data!E328)-1))),IF(ISNUMBER(VALUE(LEFT(Raw_Data!E328,4))),DATE(VALUE(LEFT(Raw_Data!E328,4)),VALUE(MID(Raw_Data!E328,6,2)),VALUE(MID(Raw_Data!E328,9,2))),DATEVALUE(Raw_Data!E328))),"")</f>
        <v>45497</v>
      </c>
      <c r="F328" s="11" t="str">
        <f aca="false">Raw_Data!F328</f>
        <v>Male 45+</v>
      </c>
      <c r="G328" s="11" t="str">
        <f aca="false">IF(TRIM(Raw_Data!G328)="","Unspecified",IFERROR(INDEX(Lookup_Tables!$F$2:$F$24,MATCH(UPPER(TRIM(Raw_Data!G328)),Lookup_Tables!$G$2:$G$24,0)),"Unknown"))</f>
        <v>North</v>
      </c>
      <c r="H328" s="11" t="n">
        <f aca="false">IF(Raw_Data!H328="",ROUND(AVERAGEIFS(Raw_Data!$H$2:$H$839,Raw_Data!$C$2:$C$839,Raw_Data!C328),2),Raw_Data!H328)</f>
        <v>7770.47</v>
      </c>
      <c r="I328" s="11" t="n">
        <f aca="false">Raw_Data!I328</f>
        <v>232770</v>
      </c>
      <c r="J328" s="11" t="n">
        <f aca="false">IF(Raw_Data!J328&lt;0,ABS(Raw_Data!J328),Raw_Data!J328)</f>
        <v>6388</v>
      </c>
      <c r="K328" s="11" t="n">
        <f aca="false">Raw_Data!K328</f>
        <v>84</v>
      </c>
      <c r="L328" s="11" t="n">
        <f aca="false">IF(Raw_Data!L328="",ROUND(AVERAGEIFS(Raw_Data!$L$2:$L$839,Raw_Data!$C$2:$C$839,Raw_Data!C328),2),Raw_Data!L328)</f>
        <v>60295.41</v>
      </c>
      <c r="M328" s="13" t="n">
        <f aca="false">IFERROR(J328/I328,0)</f>
        <v>0.0274433990634532</v>
      </c>
      <c r="N328" s="14" t="n">
        <f aca="false">IFERROR(H328/J328,0)</f>
        <v>1.21641671884784</v>
      </c>
      <c r="O328" s="14" t="n">
        <f aca="false">IFERROR(H328/K328,0)</f>
        <v>92.5055952380952</v>
      </c>
      <c r="P328" s="15" t="n">
        <f aca="false">IFERROR(L328/H328,0)</f>
        <v>7.75955765867444</v>
      </c>
      <c r="Q328" s="13" t="n">
        <f aca="false">IFERROR(K328/J328,0)</f>
        <v>0.013149655604258</v>
      </c>
      <c r="R328" s="11" t="str">
        <f aca="false">IF(COUNTIF($A$2:A328,A328)&gt;1,"Duplicate - Remove","Unique")</f>
        <v>Unique</v>
      </c>
      <c r="S328" s="11" t="str">
        <f aca="false">TRIM(IF(Raw_Data!G328="","Region missing; ","")&amp;IF(Raw_Data!H328="","Spend imputed; ","")&amp;IF(Raw_Data!L328="","Revenue imputed; ","")&amp;IF(Raw_Data!J328&lt;0,"Clicks corrected; ",""))</f>
        <v/>
      </c>
    </row>
    <row r="329" customFormat="false" ht="15" hidden="false" customHeight="true" outlineLevel="0" collapsed="false">
      <c r="A329" s="11" t="n">
        <f aca="false">Raw_Data!A329</f>
        <v>1170</v>
      </c>
      <c r="B329" s="11" t="str">
        <f aca="false">PROPER(TRIM(Raw_Data!B329))</f>
        <v>Influencer Collab - Skincare</v>
      </c>
      <c r="C329" s="11" t="str">
        <f aca="false">IFERROR(INDEX(Lookup_Tables!$B$2:$B$26,MATCH(UPPER(TRIM(Raw_Data!C329)),Lookup_Tables!$C$2:$C$26,0)),"Unknown")</f>
        <v>Email</v>
      </c>
      <c r="D329" s="12" t="n">
        <f aca="false">IFERROR(IF(ISNUMBER(SEARCH("/",Raw_Data!D329)),DATE(VALUE(RIGHT(Raw_Data!D329,4)),VALUE(MID(Raw_Data!D329,FIND("/",Raw_Data!D329)+1,FIND("/",Raw_Data!D329,FIND("/",Raw_Data!D329)+1)-FIND("/",Raw_Data!D329)-1)),VALUE(LEFT(Raw_Data!D329,FIND("/",Raw_Data!D329)-1))),IF(ISNUMBER(VALUE(LEFT(Raw_Data!D329,4))),DATE(VALUE(LEFT(Raw_Data!D329,4)),VALUE(MID(Raw_Data!D329,6,2)),VALUE(MID(Raw_Data!D329,9,2))),DATEVALUE(Raw_Data!D329))),"")</f>
        <v>45467</v>
      </c>
      <c r="E329" s="12" t="n">
        <f aca="false">IFERROR(IF(ISNUMBER(SEARCH("/",Raw_Data!E329)),DATE(VALUE(RIGHT(Raw_Data!E329,4)),VALUE(MID(Raw_Data!E329,FIND("/",Raw_Data!E329)+1,FIND("/",Raw_Data!E329,FIND("/",Raw_Data!E329)+1)-FIND("/",Raw_Data!E329)-1)),VALUE(LEFT(Raw_Data!E329,FIND("/",Raw_Data!E329)-1))),IF(ISNUMBER(VALUE(LEFT(Raw_Data!E329,4))),DATE(VALUE(LEFT(Raw_Data!E329,4)),VALUE(MID(Raw_Data!E329,6,2)),VALUE(MID(Raw_Data!E329,9,2))),DATEVALUE(Raw_Data!E329))),"")</f>
        <v>45477</v>
      </c>
      <c r="F329" s="11" t="str">
        <f aca="false">Raw_Data!F329</f>
        <v>Female 25-34</v>
      </c>
      <c r="G329" s="11" t="str">
        <f aca="false">IF(TRIM(Raw_Data!G329)="","Unspecified",IFERROR(INDEX(Lookup_Tables!$F$2:$F$24,MATCH(UPPER(TRIM(Raw_Data!G329)),Lookup_Tables!$G$2:$G$24,0)),"Unknown"))</f>
        <v>East</v>
      </c>
      <c r="H329" s="11" t="n">
        <f aca="false">IF(Raw_Data!H329="",ROUND(AVERAGEIFS(Raw_Data!$H$2:$H$839,Raw_Data!$C$2:$C$839,Raw_Data!C329),2),Raw_Data!H329)</f>
        <v>2126.33</v>
      </c>
      <c r="I329" s="11" t="n">
        <f aca="false">Raw_Data!I329</f>
        <v>35881</v>
      </c>
      <c r="J329" s="11" t="n">
        <f aca="false">IF(Raw_Data!J329&lt;0,ABS(Raw_Data!J329),Raw_Data!J329)</f>
        <v>1193</v>
      </c>
      <c r="K329" s="11" t="n">
        <f aca="false">Raw_Data!K329</f>
        <v>93</v>
      </c>
      <c r="L329" s="11" t="n">
        <f aca="false">IF(Raw_Data!L329="",ROUND(AVERAGEIFS(Raw_Data!$L$2:$L$839,Raw_Data!$C$2:$C$839,Raw_Data!C329),2),Raw_Data!L329)</f>
        <v>78122.64</v>
      </c>
      <c r="M329" s="13" t="n">
        <f aca="false">IFERROR(J329/I329,0)</f>
        <v>0.0332487946266827</v>
      </c>
      <c r="N329" s="14" t="n">
        <f aca="false">IFERROR(H329/J329,0)</f>
        <v>1.78233864207879</v>
      </c>
      <c r="O329" s="14" t="n">
        <f aca="false">IFERROR(H329/K329,0)</f>
        <v>22.8637634408602</v>
      </c>
      <c r="P329" s="15" t="n">
        <f aca="false">IFERROR(L329/H329,0)</f>
        <v>36.7406000009406</v>
      </c>
      <c r="Q329" s="13" t="n">
        <f aca="false">IFERROR(K329/J329,0)</f>
        <v>0.0779547359597653</v>
      </c>
      <c r="R329" s="11" t="str">
        <f aca="false">IF(COUNTIF($A$2:A329,A329)&gt;1,"Duplicate - Remove","Unique")</f>
        <v>Unique</v>
      </c>
      <c r="S329" s="11" t="str">
        <f aca="false">TRIM(IF(Raw_Data!G329="","Region missing; ","")&amp;IF(Raw_Data!H329="","Spend imputed; ","")&amp;IF(Raw_Data!L329="","Revenue imputed; ","")&amp;IF(Raw_Data!J329&lt;0,"Clicks corrected; ",""))</f>
        <v/>
      </c>
    </row>
    <row r="330" customFormat="false" ht="15" hidden="false" customHeight="true" outlineLevel="0" collapsed="false">
      <c r="A330" s="11" t="n">
        <f aca="false">Raw_Data!A330</f>
        <v>1789</v>
      </c>
      <c r="B330" s="11" t="str">
        <f aca="false">PROPER(TRIM(Raw_Data!B330))</f>
        <v>Influencer Collab - Skincare</v>
      </c>
      <c r="C330" s="11" t="str">
        <f aca="false">IFERROR(INDEX(Lookup_Tables!$B$2:$B$26,MATCH(UPPER(TRIM(Raw_Data!C330)),Lookup_Tables!$C$2:$C$26,0)),"Unknown")</f>
        <v>Google Ads</v>
      </c>
      <c r="D330" s="12" t="n">
        <f aca="false">IFERROR(IF(ISNUMBER(SEARCH("/",Raw_Data!D330)),DATE(VALUE(RIGHT(Raw_Data!D330,4)),VALUE(MID(Raw_Data!D330,FIND("/",Raw_Data!D330)+1,FIND("/",Raw_Data!D330,FIND("/",Raw_Data!D330)+1)-FIND("/",Raw_Data!D330)-1)),VALUE(LEFT(Raw_Data!D330,FIND("/",Raw_Data!D330)-1))),IF(ISNUMBER(VALUE(LEFT(Raw_Data!D330,4))),DATE(VALUE(LEFT(Raw_Data!D330,4)),VALUE(MID(Raw_Data!D330,6,2)),VALUE(MID(Raw_Data!D330,9,2))),DATEVALUE(Raw_Data!D330))),"")</f>
        <v>45400</v>
      </c>
      <c r="E330" s="12" t="n">
        <f aca="false">IFERROR(IF(ISNUMBER(SEARCH("/",Raw_Data!E330)),DATE(VALUE(RIGHT(Raw_Data!E330,4)),VALUE(MID(Raw_Data!E330,FIND("/",Raw_Data!E330)+1,FIND("/",Raw_Data!E330,FIND("/",Raw_Data!E330)+1)-FIND("/",Raw_Data!E330)-1)),VALUE(LEFT(Raw_Data!E330,FIND("/",Raw_Data!E330)-1))),IF(ISNUMBER(VALUE(LEFT(Raw_Data!E330,4))),DATE(VALUE(LEFT(Raw_Data!E330,4)),VALUE(MID(Raw_Data!E330,6,2)),VALUE(MID(Raw_Data!E330,9,2))),DATEVALUE(Raw_Data!E330))),"")</f>
        <v>45409</v>
      </c>
      <c r="F330" s="11" t="str">
        <f aca="false">Raw_Data!F330</f>
        <v>Male 18-24</v>
      </c>
      <c r="G330" s="11" t="str">
        <f aca="false">IF(TRIM(Raw_Data!G330)="","Unspecified",IFERROR(INDEX(Lookup_Tables!$F$2:$F$24,MATCH(UPPER(TRIM(Raw_Data!G330)),Lookup_Tables!$G$2:$G$24,0)),"Unknown"))</f>
        <v>North</v>
      </c>
      <c r="H330" s="11" t="n">
        <f aca="false">IF(Raw_Data!H330="",ROUND(AVERAGEIFS(Raw_Data!$H$2:$H$839,Raw_Data!$C$2:$C$839,Raw_Data!C330),2),Raw_Data!H330)</f>
        <v>57624.9</v>
      </c>
      <c r="I330" s="11" t="n">
        <f aca="false">Raw_Data!I330</f>
        <v>2100102</v>
      </c>
      <c r="J330" s="11" t="n">
        <f aca="false">IF(Raw_Data!J330&lt;0,ABS(Raw_Data!J330),Raw_Data!J330)</f>
        <v>57378</v>
      </c>
      <c r="K330" s="11" t="n">
        <f aca="false">Raw_Data!K330</f>
        <v>1672</v>
      </c>
      <c r="L330" s="11" t="n">
        <f aca="false">IF(Raw_Data!L330="",ROUND(AVERAGEIFS(Raw_Data!$L$2:$L$839,Raw_Data!$C$2:$C$839,Raw_Data!C330),2),Raw_Data!L330)</f>
        <v>1532389.3</v>
      </c>
      <c r="M330" s="13" t="n">
        <f aca="false">IFERROR(J330/I330,0)</f>
        <v>0.0273215300971096</v>
      </c>
      <c r="N330" s="14" t="n">
        <f aca="false">IFERROR(H330/J330,0)</f>
        <v>1.00430304297815</v>
      </c>
      <c r="O330" s="14" t="n">
        <f aca="false">IFERROR(H330/K330,0)</f>
        <v>34.4646531100479</v>
      </c>
      <c r="P330" s="15" t="n">
        <f aca="false">IFERROR(L330/H330,0)</f>
        <v>26.5924851930329</v>
      </c>
      <c r="Q330" s="13" t="n">
        <f aca="false">IFERROR(K330/J330,0)</f>
        <v>0.0291400885356757</v>
      </c>
      <c r="R330" s="11" t="str">
        <f aca="false">IF(COUNTIF($A$2:A330,A330)&gt;1,"Duplicate - Remove","Unique")</f>
        <v>Unique</v>
      </c>
      <c r="S330" s="11" t="str">
        <f aca="false">TRIM(IF(Raw_Data!G330="","Region missing; ","")&amp;IF(Raw_Data!H330="","Spend imputed; ","")&amp;IF(Raw_Data!L330="","Revenue imputed; ","")&amp;IF(Raw_Data!J330&lt;0,"Clicks corrected; ",""))</f>
        <v/>
      </c>
    </row>
    <row r="331" customFormat="false" ht="15" hidden="false" customHeight="true" outlineLevel="0" collapsed="false">
      <c r="A331" s="11" t="n">
        <f aca="false">Raw_Data!A331</f>
        <v>1710</v>
      </c>
      <c r="B331" s="11" t="str">
        <f aca="false">PROPER(TRIM(Raw_Data!B331))</f>
        <v>Clearance Sale Push</v>
      </c>
      <c r="C331" s="11" t="str">
        <f aca="false">IFERROR(INDEX(Lookup_Tables!$B$2:$B$26,MATCH(UPPER(TRIM(Raw_Data!C331)),Lookup_Tables!$C$2:$C$26,0)),"Unknown")</f>
        <v>Google Ads</v>
      </c>
      <c r="D331" s="12" t="n">
        <f aca="false">IFERROR(IF(ISNUMBER(SEARCH("/",Raw_Data!D331)),DATE(VALUE(RIGHT(Raw_Data!D331,4)),VALUE(MID(Raw_Data!D331,FIND("/",Raw_Data!D331)+1,FIND("/",Raw_Data!D331,FIND("/",Raw_Data!D331)+1)-FIND("/",Raw_Data!D331)-1)),VALUE(LEFT(Raw_Data!D331,FIND("/",Raw_Data!D331)-1))),IF(ISNUMBER(VALUE(LEFT(Raw_Data!D331,4))),DATE(VALUE(LEFT(Raw_Data!D331,4)),VALUE(MID(Raw_Data!D331,6,2)),VALUE(MID(Raw_Data!D331,9,2))),DATEVALUE(Raw_Data!D331))),"")</f>
        <v>45300</v>
      </c>
      <c r="E331" s="12" t="n">
        <f aca="false">IFERROR(IF(ISNUMBER(SEARCH("/",Raw_Data!E331)),DATE(VALUE(RIGHT(Raw_Data!E331,4)),VALUE(MID(Raw_Data!E331,FIND("/",Raw_Data!E331)+1,FIND("/",Raw_Data!E331,FIND("/",Raw_Data!E331)+1)-FIND("/",Raw_Data!E331)-1)),VALUE(LEFT(Raw_Data!E331,FIND("/",Raw_Data!E331)-1))),IF(ISNUMBER(VALUE(LEFT(Raw_Data!E331,4))),DATE(VALUE(LEFT(Raw_Data!E331,4)),VALUE(MID(Raw_Data!E331,6,2)),VALUE(MID(Raw_Data!E331,9,2))),DATEVALUE(Raw_Data!E331))),"")</f>
        <v>45324</v>
      </c>
      <c r="F331" s="11" t="str">
        <f aca="false">Raw_Data!F331</f>
        <v>Male 45+</v>
      </c>
      <c r="G331" s="11" t="str">
        <f aca="false">IF(TRIM(Raw_Data!G331)="","Unspecified",IFERROR(INDEX(Lookup_Tables!$F$2:$F$24,MATCH(UPPER(TRIM(Raw_Data!G331)),Lookup_Tables!$G$2:$G$24,0)),"Unknown"))</f>
        <v>East</v>
      </c>
      <c r="H331" s="11" t="n">
        <f aca="false">IF(Raw_Data!H331="",ROUND(AVERAGEIFS(Raw_Data!$H$2:$H$839,Raw_Data!$C$2:$C$839,Raw_Data!C331),2),Raw_Data!H331)</f>
        <v>39241.71</v>
      </c>
      <c r="I331" s="11" t="n">
        <f aca="false">Raw_Data!I331</f>
        <v>754480</v>
      </c>
      <c r="J331" s="11" t="n">
        <f aca="false">IF(Raw_Data!J331&lt;0,ABS(Raw_Data!J331),Raw_Data!J331)</f>
        <v>23039</v>
      </c>
      <c r="K331" s="11" t="n">
        <f aca="false">Raw_Data!K331</f>
        <v>540</v>
      </c>
      <c r="L331" s="11" t="n">
        <f aca="false">IF(Raw_Data!L331="",ROUND(AVERAGEIFS(Raw_Data!$L$2:$L$839,Raw_Data!$C$2:$C$839,Raw_Data!C331),2),Raw_Data!L331)</f>
        <v>408432.49</v>
      </c>
      <c r="M331" s="13" t="n">
        <f aca="false">IFERROR(J331/I331,0)</f>
        <v>0.0305362633867034</v>
      </c>
      <c r="N331" s="14" t="n">
        <f aca="false">IFERROR(H331/J331,0)</f>
        <v>1.70327314553583</v>
      </c>
      <c r="O331" s="14" t="n">
        <f aca="false">IFERROR(H331/K331,0)</f>
        <v>72.6698333333333</v>
      </c>
      <c r="P331" s="15" t="n">
        <f aca="false">IFERROR(L331/H331,0)</f>
        <v>10.4081216134567</v>
      </c>
      <c r="Q331" s="13" t="n">
        <f aca="false">IFERROR(K331/J331,0)</f>
        <v>0.0234385172967577</v>
      </c>
      <c r="R331" s="11" t="str">
        <f aca="false">IF(COUNTIF($A$2:A331,A331)&gt;1,"Duplicate - Remove","Unique")</f>
        <v>Unique</v>
      </c>
      <c r="S331" s="11" t="str">
        <f aca="false">TRIM(IF(Raw_Data!G331="","Region missing; ","")&amp;IF(Raw_Data!H331="","Spend imputed; ","")&amp;IF(Raw_Data!L331="","Revenue imputed; ","")&amp;IF(Raw_Data!J331&lt;0,"Clicks corrected; ",""))</f>
        <v/>
      </c>
    </row>
    <row r="332" customFormat="false" ht="15" hidden="false" customHeight="true" outlineLevel="0" collapsed="false">
      <c r="A332" s="11" t="n">
        <f aca="false">Raw_Data!A332</f>
        <v>1292</v>
      </c>
      <c r="B332" s="11" t="str">
        <f aca="false">PROPER(TRIM(Raw_Data!B332))</f>
        <v>Baby Care Trust Campaign</v>
      </c>
      <c r="C332" s="11" t="str">
        <f aca="false">IFERROR(INDEX(Lookup_Tables!$B$2:$B$26,MATCH(UPPER(TRIM(Raw_Data!C332)),Lookup_Tables!$C$2:$C$26,0)),"Unknown")</f>
        <v>YouTube</v>
      </c>
      <c r="D332" s="12" t="n">
        <f aca="false">IFERROR(IF(ISNUMBER(SEARCH("/",Raw_Data!D332)),DATE(VALUE(RIGHT(Raw_Data!D332,4)),VALUE(MID(Raw_Data!D332,FIND("/",Raw_Data!D332)+1,FIND("/",Raw_Data!D332,FIND("/",Raw_Data!D332)+1)-FIND("/",Raw_Data!D332)-1)),VALUE(LEFT(Raw_Data!D332,FIND("/",Raw_Data!D332)-1))),IF(ISNUMBER(VALUE(LEFT(Raw_Data!D332,4))),DATE(VALUE(LEFT(Raw_Data!D332,4)),VALUE(MID(Raw_Data!D332,6,2)),VALUE(MID(Raw_Data!D332,9,2))),DATEVALUE(Raw_Data!D332))),"")</f>
        <v>45582</v>
      </c>
      <c r="E332" s="12" t="n">
        <f aca="false">IFERROR(IF(ISNUMBER(SEARCH("/",Raw_Data!E332)),DATE(VALUE(RIGHT(Raw_Data!E332,4)),VALUE(MID(Raw_Data!E332,FIND("/",Raw_Data!E332)+1,FIND("/",Raw_Data!E332,FIND("/",Raw_Data!E332)+1)-FIND("/",Raw_Data!E332)-1)),VALUE(LEFT(Raw_Data!E332,FIND("/",Raw_Data!E332)-1))),IF(ISNUMBER(VALUE(LEFT(Raw_Data!E332,4))),DATE(VALUE(LEFT(Raw_Data!E332,4)),VALUE(MID(Raw_Data!E332,6,2)),VALUE(MID(Raw_Data!E332,9,2))),DATEVALUE(Raw_Data!E332))),"")</f>
        <v>45591</v>
      </c>
      <c r="F332" s="11" t="str">
        <f aca="false">Raw_Data!F332</f>
        <v>Male 45+</v>
      </c>
      <c r="G332" s="11" t="str">
        <f aca="false">IF(TRIM(Raw_Data!G332)="","Unspecified",IFERROR(INDEX(Lookup_Tables!$F$2:$F$24,MATCH(UPPER(TRIM(Raw_Data!G332)),Lookup_Tables!$G$2:$G$24,0)),"Unknown"))</f>
        <v>South</v>
      </c>
      <c r="H332" s="11" t="n">
        <f aca="false">IF(Raw_Data!H332="",ROUND(AVERAGEIFS(Raw_Data!$H$2:$H$839,Raw_Data!$C$2:$C$839,Raw_Data!C332),2),Raw_Data!H332)</f>
        <v>75963.83</v>
      </c>
      <c r="I332" s="11" t="n">
        <f aca="false">Raw_Data!I332</f>
        <v>2886035</v>
      </c>
      <c r="J332" s="11" t="n">
        <f aca="false">IF(Raw_Data!J332&lt;0,ABS(Raw_Data!J332),Raw_Data!J332)</f>
        <v>54973</v>
      </c>
      <c r="K332" s="11" t="n">
        <f aca="false">Raw_Data!K332</f>
        <v>2302</v>
      </c>
      <c r="L332" s="11" t="n">
        <f aca="false">IF(Raw_Data!L332="",ROUND(AVERAGEIFS(Raw_Data!$L$2:$L$839,Raw_Data!$C$2:$C$839,Raw_Data!C332),2),Raw_Data!L332)</f>
        <v>3090419.03</v>
      </c>
      <c r="M332" s="13" t="n">
        <f aca="false">IFERROR(J332/I332,0)</f>
        <v>0.0190479325441306</v>
      </c>
      <c r="N332" s="14" t="n">
        <f aca="false">IFERROR(H332/J332,0)</f>
        <v>1.38183890273407</v>
      </c>
      <c r="O332" s="14" t="n">
        <f aca="false">IFERROR(H332/K332,0)</f>
        <v>32.9990573414422</v>
      </c>
      <c r="P332" s="15" t="n">
        <f aca="false">IFERROR(L332/H332,0)</f>
        <v>40.6827700762323</v>
      </c>
      <c r="Q332" s="13" t="n">
        <f aca="false">IFERROR(K332/J332,0)</f>
        <v>0.0418751023229585</v>
      </c>
      <c r="R332" s="11" t="str">
        <f aca="false">IF(COUNTIF($A$2:A332,A332)&gt;1,"Duplicate - Remove","Unique")</f>
        <v>Unique</v>
      </c>
      <c r="S332" s="11" t="str">
        <f aca="false">TRIM(IF(Raw_Data!G332="","Region missing; ","")&amp;IF(Raw_Data!H332="","Spend imputed; ","")&amp;IF(Raw_Data!L332="","Revenue imputed; ","")&amp;IF(Raw_Data!J332&lt;0,"Clicks corrected; ",""))</f>
        <v/>
      </c>
    </row>
    <row r="333" customFormat="false" ht="15" hidden="false" customHeight="true" outlineLevel="0" collapsed="false">
      <c r="A333" s="11" t="n">
        <f aca="false">Raw_Data!A333</f>
        <v>1327</v>
      </c>
      <c r="B333" s="11" t="str">
        <f aca="false">PROPER(TRIM(Raw_Data!B333))</f>
        <v>Herbal Range Awareness</v>
      </c>
      <c r="C333" s="11" t="str">
        <f aca="false">IFERROR(INDEX(Lookup_Tables!$B$2:$B$26,MATCH(UPPER(TRIM(Raw_Data!C333)),Lookup_Tables!$C$2:$C$26,0)),"Unknown")</f>
        <v>Facebook</v>
      </c>
      <c r="D333" s="12" t="n">
        <f aca="false">IFERROR(IF(ISNUMBER(SEARCH("/",Raw_Data!D333)),DATE(VALUE(RIGHT(Raw_Data!D333,4)),VALUE(MID(Raw_Data!D333,FIND("/",Raw_Data!D333)+1,FIND("/",Raw_Data!D333,FIND("/",Raw_Data!D333)+1)-FIND("/",Raw_Data!D333)-1)),VALUE(LEFT(Raw_Data!D333,FIND("/",Raw_Data!D333)-1))),IF(ISNUMBER(VALUE(LEFT(Raw_Data!D333,4))),DATE(VALUE(LEFT(Raw_Data!D333,4)),VALUE(MID(Raw_Data!D333,6,2)),VALUE(MID(Raw_Data!D333,9,2))),DATEVALUE(Raw_Data!D333))),"")</f>
        <v>45407</v>
      </c>
      <c r="E333" s="12" t="n">
        <f aca="false">IFERROR(IF(ISNUMBER(SEARCH("/",Raw_Data!E333)),DATE(VALUE(RIGHT(Raw_Data!E333,4)),VALUE(MID(Raw_Data!E333,FIND("/",Raw_Data!E333)+1,FIND("/",Raw_Data!E333,FIND("/",Raw_Data!E333)+1)-FIND("/",Raw_Data!E333)-1)),VALUE(LEFT(Raw_Data!E333,FIND("/",Raw_Data!E333)-1))),IF(ISNUMBER(VALUE(LEFT(Raw_Data!E333,4))),DATE(VALUE(LEFT(Raw_Data!E333,4)),VALUE(MID(Raw_Data!E333,6,2)),VALUE(MID(Raw_Data!E333,9,2))),DATEVALUE(Raw_Data!E333))),"")</f>
        <v>45422</v>
      </c>
      <c r="F333" s="11" t="str">
        <f aca="false">Raw_Data!F333</f>
        <v>Male 18-24</v>
      </c>
      <c r="G333" s="11" t="str">
        <f aca="false">IF(TRIM(Raw_Data!G333)="","Unspecified",IFERROR(INDEX(Lookup_Tables!$F$2:$F$24,MATCH(UPPER(TRIM(Raw_Data!G333)),Lookup_Tables!$G$2:$G$24,0)),"Unknown"))</f>
        <v>West</v>
      </c>
      <c r="H333" s="11" t="n">
        <f aca="false">IF(Raw_Data!H333="",ROUND(AVERAGEIFS(Raw_Data!$H$2:$H$839,Raw_Data!$C$2:$C$839,Raw_Data!C333),2),Raw_Data!H333)</f>
        <v>45509.05</v>
      </c>
      <c r="I333" s="11" t="n">
        <f aca="false">Raw_Data!I333</f>
        <v>1255555</v>
      </c>
      <c r="J333" s="11" t="n">
        <f aca="false">IF(Raw_Data!J333&lt;0,ABS(Raw_Data!J333),Raw_Data!J333)</f>
        <v>22208</v>
      </c>
      <c r="K333" s="11" t="n">
        <f aca="false">Raw_Data!K333</f>
        <v>306</v>
      </c>
      <c r="L333" s="11" t="n">
        <f aca="false">IF(Raw_Data!L333="",ROUND(AVERAGEIFS(Raw_Data!$L$2:$L$839,Raw_Data!$C$2:$C$839,Raw_Data!C333),2),Raw_Data!L333)</f>
        <v>272517.47</v>
      </c>
      <c r="M333" s="13" t="n">
        <f aca="false">IFERROR(J333/I333,0)</f>
        <v>0.0176877954370776</v>
      </c>
      <c r="N333" s="14" t="n">
        <f aca="false">IFERROR(H333/J333,0)</f>
        <v>2.04921875</v>
      </c>
      <c r="O333" s="14" t="n">
        <f aca="false">IFERROR(H333/K333,0)</f>
        <v>148.722385620915</v>
      </c>
      <c r="P333" s="15" t="n">
        <f aca="false">IFERROR(L333/H333,0)</f>
        <v>5.98820388472183</v>
      </c>
      <c r="Q333" s="13" t="n">
        <f aca="false">IFERROR(K333/J333,0)</f>
        <v>0.013778818443804</v>
      </c>
      <c r="R333" s="11" t="str">
        <f aca="false">IF(COUNTIF($A$2:A333,A333)&gt;1,"Duplicate - Remove","Unique")</f>
        <v>Unique</v>
      </c>
      <c r="S333" s="11" t="str">
        <f aca="false">TRIM(IF(Raw_Data!G333="","Region missing; ","")&amp;IF(Raw_Data!H333="","Spend imputed; ","")&amp;IF(Raw_Data!L333="","Revenue imputed; ","")&amp;IF(Raw_Data!J333&lt;0,"Clicks corrected; ",""))</f>
        <v/>
      </c>
    </row>
    <row r="334" customFormat="false" ht="15" hidden="false" customHeight="true" outlineLevel="0" collapsed="false">
      <c r="A334" s="11" t="n">
        <f aca="false">Raw_Data!A334</f>
        <v>1642</v>
      </c>
      <c r="B334" s="11" t="str">
        <f aca="false">PROPER(TRIM(Raw_Data!B334))</f>
        <v>Baby Care Trust Campaign</v>
      </c>
      <c r="C334" s="11" t="str">
        <f aca="false">IFERROR(INDEX(Lookup_Tables!$B$2:$B$26,MATCH(UPPER(TRIM(Raw_Data!C334)),Lookup_Tables!$C$2:$C$26,0)),"Unknown")</f>
        <v>Facebook</v>
      </c>
      <c r="D334" s="12" t="n">
        <f aca="false">IFERROR(IF(ISNUMBER(SEARCH("/",Raw_Data!D334)),DATE(VALUE(RIGHT(Raw_Data!D334,4)),VALUE(MID(Raw_Data!D334,FIND("/",Raw_Data!D334)+1,FIND("/",Raw_Data!D334,FIND("/",Raw_Data!D334)+1)-FIND("/",Raw_Data!D334)-1)),VALUE(LEFT(Raw_Data!D334,FIND("/",Raw_Data!D334)-1))),IF(ISNUMBER(VALUE(LEFT(Raw_Data!D334,4))),DATE(VALUE(LEFT(Raw_Data!D334,4)),VALUE(MID(Raw_Data!D334,6,2)),VALUE(MID(Raw_Data!D334,9,2))),DATEVALUE(Raw_Data!D334))),"")</f>
        <v>45559</v>
      </c>
      <c r="E334" s="12" t="n">
        <f aca="false">IFERROR(IF(ISNUMBER(SEARCH("/",Raw_Data!E334)),DATE(VALUE(RIGHT(Raw_Data!E334,4)),VALUE(MID(Raw_Data!E334,FIND("/",Raw_Data!E334)+1,FIND("/",Raw_Data!E334,FIND("/",Raw_Data!E334)+1)-FIND("/",Raw_Data!E334)-1)),VALUE(LEFT(Raw_Data!E334,FIND("/",Raw_Data!E334)-1))),IF(ISNUMBER(VALUE(LEFT(Raw_Data!E334,4))),DATE(VALUE(LEFT(Raw_Data!E334,4)),VALUE(MID(Raw_Data!E334,6,2)),VALUE(MID(Raw_Data!E334,9,2))),DATEVALUE(Raw_Data!E334))),"")</f>
        <v>45573</v>
      </c>
      <c r="F334" s="11" t="str">
        <f aca="false">Raw_Data!F334</f>
        <v>Female 35-44</v>
      </c>
      <c r="G334" s="11" t="str">
        <f aca="false">IF(TRIM(Raw_Data!G334)="","Unspecified",IFERROR(INDEX(Lookup_Tables!$F$2:$F$24,MATCH(UPPER(TRIM(Raw_Data!G334)),Lookup_Tables!$G$2:$G$24,0)),"Unknown"))</f>
        <v>South</v>
      </c>
      <c r="H334" s="11" t="n">
        <f aca="false">IF(Raw_Data!H334="",ROUND(AVERAGEIFS(Raw_Data!$H$2:$H$839,Raw_Data!$C$2:$C$839,Raw_Data!C334),2),Raw_Data!H334)</f>
        <v>15140.21</v>
      </c>
      <c r="I334" s="11" t="n">
        <f aca="false">Raw_Data!I334</f>
        <v>319435</v>
      </c>
      <c r="J334" s="11" t="n">
        <f aca="false">IF(Raw_Data!J334&lt;0,ABS(Raw_Data!J334),Raw_Data!J334)</f>
        <v>8896</v>
      </c>
      <c r="K334" s="11" t="n">
        <f aca="false">Raw_Data!K334</f>
        <v>386</v>
      </c>
      <c r="L334" s="11" t="n">
        <f aca="false">IF(Raw_Data!L334="",ROUND(AVERAGEIFS(Raw_Data!$L$2:$L$839,Raw_Data!$C$2:$C$839,Raw_Data!C334),2),Raw_Data!L334)</f>
        <v>190101.85</v>
      </c>
      <c r="M334" s="13" t="n">
        <f aca="false">IFERROR(J334/I334,0)</f>
        <v>0.0278491711928874</v>
      </c>
      <c r="N334" s="14" t="n">
        <f aca="false">IFERROR(H334/J334,0)</f>
        <v>1.70191209532374</v>
      </c>
      <c r="O334" s="14" t="n">
        <f aca="false">IFERROR(H334/K334,0)</f>
        <v>39.2233419689119</v>
      </c>
      <c r="P334" s="15" t="n">
        <f aca="false">IFERROR(L334/H334,0)</f>
        <v>12.556090701516</v>
      </c>
      <c r="Q334" s="13" t="n">
        <f aca="false">IFERROR(K334/J334,0)</f>
        <v>0.0433902877697842</v>
      </c>
      <c r="R334" s="11" t="str">
        <f aca="false">IF(COUNTIF($A$2:A334,A334)&gt;1,"Duplicate - Remove","Unique")</f>
        <v>Unique</v>
      </c>
      <c r="S334" s="11" t="str">
        <f aca="false">TRIM(IF(Raw_Data!G334="","Region missing; ","")&amp;IF(Raw_Data!H334="","Spend imputed; ","")&amp;IF(Raw_Data!L334="","Revenue imputed; ","")&amp;IF(Raw_Data!J334&lt;0,"Clicks corrected; ",""))</f>
        <v/>
      </c>
    </row>
    <row r="335" customFormat="false" ht="15" hidden="false" customHeight="true" outlineLevel="0" collapsed="false">
      <c r="A335" s="11" t="n">
        <f aca="false">Raw_Data!A335</f>
        <v>1613</v>
      </c>
      <c r="B335" s="11" t="str">
        <f aca="false">PROPER(TRIM(Raw_Data!B335))</f>
        <v>Sunscreen Season Campaign</v>
      </c>
      <c r="C335" s="11" t="str">
        <f aca="false">IFERROR(INDEX(Lookup_Tables!$B$2:$B$26,MATCH(UPPER(TRIM(Raw_Data!C335)),Lookup_Tables!$C$2:$C$26,0)),"Unknown")</f>
        <v>Google Ads</v>
      </c>
      <c r="D335" s="12" t="n">
        <f aca="false">IFERROR(IF(ISNUMBER(SEARCH("/",Raw_Data!D335)),DATE(VALUE(RIGHT(Raw_Data!D335,4)),VALUE(MID(Raw_Data!D335,FIND("/",Raw_Data!D335)+1,FIND("/",Raw_Data!D335,FIND("/",Raw_Data!D335)+1)-FIND("/",Raw_Data!D335)-1)),VALUE(LEFT(Raw_Data!D335,FIND("/",Raw_Data!D335)-1))),IF(ISNUMBER(VALUE(LEFT(Raw_Data!D335,4))),DATE(VALUE(LEFT(Raw_Data!D335,4)),VALUE(MID(Raw_Data!D335,6,2)),VALUE(MID(Raw_Data!D335,9,2))),DATEVALUE(Raw_Data!D335))),"")</f>
        <v>45592</v>
      </c>
      <c r="E335" s="12" t="n">
        <f aca="false">IFERROR(IF(ISNUMBER(SEARCH("/",Raw_Data!E335)),DATE(VALUE(RIGHT(Raw_Data!E335,4)),VALUE(MID(Raw_Data!E335,FIND("/",Raw_Data!E335)+1,FIND("/",Raw_Data!E335,FIND("/",Raw_Data!E335)+1)-FIND("/",Raw_Data!E335)-1)),VALUE(LEFT(Raw_Data!E335,FIND("/",Raw_Data!E335)-1))),IF(ISNUMBER(VALUE(LEFT(Raw_Data!E335,4))),DATE(VALUE(LEFT(Raw_Data!E335,4)),VALUE(MID(Raw_Data!E335,6,2)),VALUE(MID(Raw_Data!E335,9,2))),DATEVALUE(Raw_Data!E335))),"")</f>
        <v>45607</v>
      </c>
      <c r="F335" s="11" t="str">
        <f aca="false">Raw_Data!F335</f>
        <v>Male 45+</v>
      </c>
      <c r="G335" s="11" t="str">
        <f aca="false">IF(TRIM(Raw_Data!G335)="","Unspecified",IFERROR(INDEX(Lookup_Tables!$F$2:$F$24,MATCH(UPPER(TRIM(Raw_Data!G335)),Lookup_Tables!$G$2:$G$24,0)),"Unknown"))</f>
        <v>Central</v>
      </c>
      <c r="H335" s="11" t="n">
        <f aca="false">IF(Raw_Data!H335="",ROUND(AVERAGEIFS(Raw_Data!$H$2:$H$839,Raw_Data!$C$2:$C$839,Raw_Data!C335),2),Raw_Data!H335)</f>
        <v>49463.86</v>
      </c>
      <c r="I335" s="11" t="n">
        <f aca="false">Raw_Data!I335</f>
        <v>1556015</v>
      </c>
      <c r="J335" s="11" t="n">
        <f aca="false">IF(Raw_Data!J335&lt;0,ABS(Raw_Data!J335),Raw_Data!J335)</f>
        <v>49851</v>
      </c>
      <c r="K335" s="11" t="n">
        <f aca="false">Raw_Data!K335</f>
        <v>1623</v>
      </c>
      <c r="L335" s="11" t="n">
        <f aca="false">IF(Raw_Data!L335="",ROUND(AVERAGEIFS(Raw_Data!$L$2:$L$839,Raw_Data!$C$2:$C$839,Raw_Data!C335),2),Raw_Data!L335)</f>
        <v>814240.92</v>
      </c>
      <c r="M335" s="13" t="n">
        <f aca="false">IFERROR(J335/I335,0)</f>
        <v>0.0320376088919451</v>
      </c>
      <c r="N335" s="14" t="n">
        <f aca="false">IFERROR(H335/J335,0)</f>
        <v>0.992234057491324</v>
      </c>
      <c r="O335" s="14" t="n">
        <f aca="false">IFERROR(H335/K335,0)</f>
        <v>30.4768083795441</v>
      </c>
      <c r="P335" s="15" t="n">
        <f aca="false">IFERROR(L335/H335,0)</f>
        <v>16.4613299487747</v>
      </c>
      <c r="Q335" s="13" t="n">
        <f aca="false">IFERROR(K335/J335,0)</f>
        <v>0.0325570199193597</v>
      </c>
      <c r="R335" s="11" t="str">
        <f aca="false">IF(COUNTIF($A$2:A335,A335)&gt;1,"Duplicate - Remove","Unique")</f>
        <v>Unique</v>
      </c>
      <c r="S335" s="11" t="str">
        <f aca="false">TRIM(IF(Raw_Data!G335="","Region missing; ","")&amp;IF(Raw_Data!H335="","Spend imputed; ","")&amp;IF(Raw_Data!L335="","Revenue imputed; ","")&amp;IF(Raw_Data!J335&lt;0,"Clicks corrected; ",""))</f>
        <v/>
      </c>
    </row>
    <row r="336" customFormat="false" ht="15" hidden="false" customHeight="true" outlineLevel="0" collapsed="false">
      <c r="A336" s="11" t="n">
        <f aca="false">Raw_Data!A336</f>
        <v>1752</v>
      </c>
      <c r="B336" s="11" t="str">
        <f aca="false">PROPER(TRIM(Raw_Data!B336))</f>
        <v>Summer Glow Launch</v>
      </c>
      <c r="C336" s="11" t="str">
        <f aca="false">IFERROR(INDEX(Lookup_Tables!$B$2:$B$26,MATCH(UPPER(TRIM(Raw_Data!C336)),Lookup_Tables!$C$2:$C$26,0)),"Unknown")</f>
        <v>Instagram</v>
      </c>
      <c r="D336" s="12" t="n">
        <f aca="false">IFERROR(IF(ISNUMBER(SEARCH("/",Raw_Data!D336)),DATE(VALUE(RIGHT(Raw_Data!D336,4)),VALUE(MID(Raw_Data!D336,FIND("/",Raw_Data!D336)+1,FIND("/",Raw_Data!D336,FIND("/",Raw_Data!D336)+1)-FIND("/",Raw_Data!D336)-1)),VALUE(LEFT(Raw_Data!D336,FIND("/",Raw_Data!D336)-1))),IF(ISNUMBER(VALUE(LEFT(Raw_Data!D336,4))),DATE(VALUE(LEFT(Raw_Data!D336,4)),VALUE(MID(Raw_Data!D336,6,2)),VALUE(MID(Raw_Data!D336,9,2))),DATEVALUE(Raw_Data!D336))),"")</f>
        <v>45553</v>
      </c>
      <c r="E336" s="12" t="n">
        <f aca="false">IFERROR(IF(ISNUMBER(SEARCH("/",Raw_Data!E336)),DATE(VALUE(RIGHT(Raw_Data!E336,4)),VALUE(MID(Raw_Data!E336,FIND("/",Raw_Data!E336)+1,FIND("/",Raw_Data!E336,FIND("/",Raw_Data!E336)+1)-FIND("/",Raw_Data!E336)-1)),VALUE(LEFT(Raw_Data!E336,FIND("/",Raw_Data!E336)-1))),IF(ISNUMBER(VALUE(LEFT(Raw_Data!E336,4))),DATE(VALUE(LEFT(Raw_Data!E336,4)),VALUE(MID(Raw_Data!E336,6,2)),VALUE(MID(Raw_Data!E336,9,2))),DATEVALUE(Raw_Data!E336))),"")</f>
        <v>45583</v>
      </c>
      <c r="F336" s="11" t="str">
        <f aca="false">Raw_Data!F336</f>
        <v>Female 18-24</v>
      </c>
      <c r="G336" s="11" t="str">
        <f aca="false">IF(TRIM(Raw_Data!G336)="","Unspecified",IFERROR(INDEX(Lookup_Tables!$F$2:$F$24,MATCH(UPPER(TRIM(Raw_Data!G336)),Lookup_Tables!$G$2:$G$24,0)),"Unknown"))</f>
        <v>Unspecified</v>
      </c>
      <c r="H336" s="11" t="n">
        <f aca="false">IF(Raw_Data!H336="",ROUND(AVERAGEIFS(Raw_Data!$H$2:$H$839,Raw_Data!$C$2:$C$839,Raw_Data!C336),2),Raw_Data!H336)</f>
        <v>13863.13</v>
      </c>
      <c r="I336" s="11" t="n">
        <f aca="false">Raw_Data!I336</f>
        <v>438737</v>
      </c>
      <c r="J336" s="11" t="n">
        <f aca="false">IF(Raw_Data!J336&lt;0,ABS(Raw_Data!J336),Raw_Data!J336)</f>
        <v>9901</v>
      </c>
      <c r="K336" s="11" t="n">
        <f aca="false">Raw_Data!K336</f>
        <v>105</v>
      </c>
      <c r="L336" s="11" t="n">
        <f aca="false">IF(Raw_Data!L336="",ROUND(AVERAGEIFS(Raw_Data!$L$2:$L$839,Raw_Data!$C$2:$C$839,Raw_Data!C336),2),Raw_Data!L336)</f>
        <v>170788.56</v>
      </c>
      <c r="M336" s="13" t="n">
        <f aca="false">IFERROR(J336/I336,0)</f>
        <v>0.0225670504197275</v>
      </c>
      <c r="N336" s="14" t="n">
        <f aca="false">IFERROR(H336/J336,0)</f>
        <v>1.40017472982527</v>
      </c>
      <c r="O336" s="14" t="n">
        <f aca="false">IFERROR(H336/K336,0)</f>
        <v>132.02980952381</v>
      </c>
      <c r="P336" s="15" t="n">
        <f aca="false">IFERROR(L336/H336,0)</f>
        <v>12.3196247889185</v>
      </c>
      <c r="Q336" s="13" t="n">
        <f aca="false">IFERROR(K336/J336,0)</f>
        <v>0.0106049893950106</v>
      </c>
      <c r="R336" s="11" t="str">
        <f aca="false">IF(COUNTIF($A$2:A336,A336)&gt;1,"Duplicate - Remove","Unique")</f>
        <v>Unique</v>
      </c>
      <c r="S336" s="11" t="str">
        <f aca="false">TRIM(IF(Raw_Data!G336="","Region missing; ","")&amp;IF(Raw_Data!H336="","Spend imputed; ","")&amp;IF(Raw_Data!L336="","Revenue imputed; ","")&amp;IF(Raw_Data!J336&lt;0,"Clicks corrected; ",""))</f>
        <v>Region missing;</v>
      </c>
    </row>
    <row r="337" customFormat="false" ht="15" hidden="false" customHeight="true" outlineLevel="0" collapsed="false">
      <c r="A337" s="11" t="n">
        <f aca="false">Raw_Data!A337</f>
        <v>1495</v>
      </c>
      <c r="B337" s="11" t="str">
        <f aca="false">PROPER(TRIM(Raw_Data!B337))</f>
        <v>Festive Gift Bundle</v>
      </c>
      <c r="C337" s="11" t="str">
        <f aca="false">IFERROR(INDEX(Lookup_Tables!$B$2:$B$26,MATCH(UPPER(TRIM(Raw_Data!C337)),Lookup_Tables!$C$2:$C$26,0)),"Unknown")</f>
        <v>Instagram</v>
      </c>
      <c r="D337" s="12" t="n">
        <f aca="false">IFERROR(IF(ISNUMBER(SEARCH("/",Raw_Data!D337)),DATE(VALUE(RIGHT(Raw_Data!D337,4)),VALUE(MID(Raw_Data!D337,FIND("/",Raw_Data!D337)+1,FIND("/",Raw_Data!D337,FIND("/",Raw_Data!D337)+1)-FIND("/",Raw_Data!D337)-1)),VALUE(LEFT(Raw_Data!D337,FIND("/",Raw_Data!D337)-1))),IF(ISNUMBER(VALUE(LEFT(Raw_Data!D337,4))),DATE(VALUE(LEFT(Raw_Data!D337,4)),VALUE(MID(Raw_Data!D337,6,2)),VALUE(MID(Raw_Data!D337,9,2))),DATEVALUE(Raw_Data!D337))),"")</f>
        <v>45352</v>
      </c>
      <c r="E337" s="12" t="n">
        <f aca="false">IFERROR(IF(ISNUMBER(SEARCH("/",Raw_Data!E337)),DATE(VALUE(RIGHT(Raw_Data!E337,4)),VALUE(MID(Raw_Data!E337,FIND("/",Raw_Data!E337)+1,FIND("/",Raw_Data!E337,FIND("/",Raw_Data!E337)+1)-FIND("/",Raw_Data!E337)-1)),VALUE(LEFT(Raw_Data!E337,FIND("/",Raw_Data!E337)-1))),IF(ISNUMBER(VALUE(LEFT(Raw_Data!E337,4))),DATE(VALUE(LEFT(Raw_Data!E337,4)),VALUE(MID(Raw_Data!E337,6,2)),VALUE(MID(Raw_Data!E337,9,2))),DATEVALUE(Raw_Data!E337))),"")</f>
        <v>45368</v>
      </c>
      <c r="F337" s="11" t="str">
        <f aca="false">Raw_Data!F337</f>
        <v>Male 35-44</v>
      </c>
      <c r="G337" s="11" t="str">
        <f aca="false">IF(TRIM(Raw_Data!G337)="","Unspecified",IFERROR(INDEX(Lookup_Tables!$F$2:$F$24,MATCH(UPPER(TRIM(Raw_Data!G337)),Lookup_Tables!$G$2:$G$24,0)),"Unknown"))</f>
        <v>East</v>
      </c>
      <c r="H337" s="11" t="n">
        <f aca="false">IF(Raw_Data!H337="",ROUND(AVERAGEIFS(Raw_Data!$H$2:$H$839,Raw_Data!$C$2:$C$839,Raw_Data!C337),2),Raw_Data!H337)</f>
        <v>54570.5</v>
      </c>
      <c r="I337" s="11" t="n">
        <f aca="false">Raw_Data!I337</f>
        <v>1643262</v>
      </c>
      <c r="J337" s="11" t="n">
        <f aca="false">IF(Raw_Data!J337&lt;0,ABS(Raw_Data!J337),Raw_Data!J337)</f>
        <v>16994</v>
      </c>
      <c r="K337" s="11" t="n">
        <f aca="false">Raw_Data!K337</f>
        <v>800</v>
      </c>
      <c r="L337" s="11" t="n">
        <f aca="false">IF(Raw_Data!L337="",ROUND(AVERAGEIFS(Raw_Data!$L$2:$L$839,Raw_Data!$C$2:$C$839,Raw_Data!C337),2),Raw_Data!L337)</f>
        <v>975549.32</v>
      </c>
      <c r="M337" s="13" t="n">
        <f aca="false">IFERROR(J337/I337,0)</f>
        <v>0.0103416253768419</v>
      </c>
      <c r="N337" s="14" t="n">
        <f aca="false">IFERROR(H337/J337,0)</f>
        <v>3.21116276332823</v>
      </c>
      <c r="O337" s="14" t="n">
        <f aca="false">IFERROR(H337/K337,0)</f>
        <v>68.213125</v>
      </c>
      <c r="P337" s="15" t="n">
        <f aca="false">IFERROR(L337/H337,0)</f>
        <v>17.8768624073446</v>
      </c>
      <c r="Q337" s="13" t="n">
        <f aca="false">IFERROR(K337/J337,0)</f>
        <v>0.04707543839002</v>
      </c>
      <c r="R337" s="11" t="str">
        <f aca="false">IF(COUNTIF($A$2:A337,A337)&gt;1,"Duplicate - Remove","Unique")</f>
        <v>Unique</v>
      </c>
      <c r="S337" s="11" t="str">
        <f aca="false">TRIM(IF(Raw_Data!G337="","Region missing; ","")&amp;IF(Raw_Data!H337="","Spend imputed; ","")&amp;IF(Raw_Data!L337="","Revenue imputed; ","")&amp;IF(Raw_Data!J337&lt;0,"Clicks corrected; ",""))</f>
        <v/>
      </c>
    </row>
    <row r="338" customFormat="false" ht="15" hidden="false" customHeight="true" outlineLevel="0" collapsed="false">
      <c r="A338" s="11" t="n">
        <f aca="false">Raw_Data!A338</f>
        <v>1075</v>
      </c>
      <c r="B338" s="11" t="str">
        <f aca="false">PROPER(TRIM(Raw_Data!B338))</f>
        <v>Influencer Collab - Skincare</v>
      </c>
      <c r="C338" s="11" t="str">
        <f aca="false">IFERROR(INDEX(Lookup_Tables!$B$2:$B$26,MATCH(UPPER(TRIM(Raw_Data!C338)),Lookup_Tables!$C$2:$C$26,0)),"Unknown")</f>
        <v>Instagram</v>
      </c>
      <c r="D338" s="12" t="n">
        <f aca="false">IFERROR(IF(ISNUMBER(SEARCH("/",Raw_Data!D338)),DATE(VALUE(RIGHT(Raw_Data!D338,4)),VALUE(MID(Raw_Data!D338,FIND("/",Raw_Data!D338)+1,FIND("/",Raw_Data!D338,FIND("/",Raw_Data!D338)+1)-FIND("/",Raw_Data!D338)-1)),VALUE(LEFT(Raw_Data!D338,FIND("/",Raw_Data!D338)-1))),IF(ISNUMBER(VALUE(LEFT(Raw_Data!D338,4))),DATE(VALUE(LEFT(Raw_Data!D338,4)),VALUE(MID(Raw_Data!D338,6,2)),VALUE(MID(Raw_Data!D338,9,2))),DATEVALUE(Raw_Data!D338))),"")</f>
        <v>45597</v>
      </c>
      <c r="E338" s="12" t="n">
        <f aca="false">IFERROR(IF(ISNUMBER(SEARCH("/",Raw_Data!E338)),DATE(VALUE(RIGHT(Raw_Data!E338,4)),VALUE(MID(Raw_Data!E338,FIND("/",Raw_Data!E338)+1,FIND("/",Raw_Data!E338,FIND("/",Raw_Data!E338)+1)-FIND("/",Raw_Data!E338)-1)),VALUE(LEFT(Raw_Data!E338,FIND("/",Raw_Data!E338)-1))),IF(ISNUMBER(VALUE(LEFT(Raw_Data!E338,4))),DATE(VALUE(LEFT(Raw_Data!E338,4)),VALUE(MID(Raw_Data!E338,6,2)),VALUE(MID(Raw_Data!E338,9,2))),DATEVALUE(Raw_Data!E338))),"")</f>
        <v>45614</v>
      </c>
      <c r="F338" s="11" t="str">
        <f aca="false">Raw_Data!F338</f>
        <v>Female 35-44</v>
      </c>
      <c r="G338" s="11" t="str">
        <f aca="false">IF(TRIM(Raw_Data!G338)="","Unspecified",IFERROR(INDEX(Lookup_Tables!$F$2:$F$24,MATCH(UPPER(TRIM(Raw_Data!G338)),Lookup_Tables!$G$2:$G$24,0)),"Unknown"))</f>
        <v>Central</v>
      </c>
      <c r="H338" s="11" t="n">
        <f aca="false">IF(Raw_Data!H338="",ROUND(AVERAGEIFS(Raw_Data!$H$2:$H$839,Raw_Data!$C$2:$C$839,Raw_Data!C338),2),Raw_Data!H338)</f>
        <v>16436.86</v>
      </c>
      <c r="I338" s="11" t="n">
        <f aca="false">Raw_Data!I338</f>
        <v>588170</v>
      </c>
      <c r="J338" s="11" t="n">
        <f aca="false">IF(Raw_Data!J338&lt;0,ABS(Raw_Data!J338),Raw_Data!J338)</f>
        <v>16546</v>
      </c>
      <c r="K338" s="11" t="n">
        <f aca="false">Raw_Data!K338</f>
        <v>1102</v>
      </c>
      <c r="L338" s="11" t="n">
        <f aca="false">IF(Raw_Data!L338="",ROUND(AVERAGEIFS(Raw_Data!$L$2:$L$839,Raw_Data!$C$2:$C$839,Raw_Data!C338),2),Raw_Data!L338)</f>
        <v>650215.03</v>
      </c>
      <c r="M338" s="13" t="n">
        <f aca="false">IFERROR(J338/I338,0)</f>
        <v>0.028131322576806</v>
      </c>
      <c r="N338" s="14" t="n">
        <f aca="false">IFERROR(H338/J338,0)</f>
        <v>0.993403843829324</v>
      </c>
      <c r="O338" s="14" t="n">
        <f aca="false">IFERROR(H338/K338,0)</f>
        <v>14.9154809437387</v>
      </c>
      <c r="P338" s="15" t="n">
        <f aca="false">IFERROR(L338/H338,0)</f>
        <v>39.5583481273187</v>
      </c>
      <c r="Q338" s="13" t="n">
        <f aca="false">IFERROR(K338/J338,0)</f>
        <v>0.0666021999274749</v>
      </c>
      <c r="R338" s="11" t="str">
        <f aca="false">IF(COUNTIF($A$2:A338,A338)&gt;1,"Duplicate - Remove","Unique")</f>
        <v>Unique</v>
      </c>
      <c r="S338" s="11" t="str">
        <f aca="false">TRIM(IF(Raw_Data!G338="","Region missing; ","")&amp;IF(Raw_Data!H338="","Spend imputed; ","")&amp;IF(Raw_Data!L338="","Revenue imputed; ","")&amp;IF(Raw_Data!J338&lt;0,"Clicks corrected; ",""))</f>
        <v/>
      </c>
    </row>
    <row r="339" customFormat="false" ht="15" hidden="false" customHeight="true" outlineLevel="0" collapsed="false">
      <c r="A339" s="11" t="n">
        <f aca="false">Raw_Data!A339</f>
        <v>1346</v>
      </c>
      <c r="B339" s="11" t="str">
        <f aca="false">PROPER(TRIM(Raw_Data!B339))</f>
        <v>Hair Care Revamp</v>
      </c>
      <c r="C339" s="11" t="str">
        <f aca="false">IFERROR(INDEX(Lookup_Tables!$B$2:$B$26,MATCH(UPPER(TRIM(Raw_Data!C339)),Lookup_Tables!$C$2:$C$26,0)),"Unknown")</f>
        <v>Google Ads</v>
      </c>
      <c r="D339" s="12" t="n">
        <f aca="false">IFERROR(IF(ISNUMBER(SEARCH("/",Raw_Data!D339)),DATE(VALUE(RIGHT(Raw_Data!D339,4)),VALUE(MID(Raw_Data!D339,FIND("/",Raw_Data!D339)+1,FIND("/",Raw_Data!D339,FIND("/",Raw_Data!D339)+1)-FIND("/",Raw_Data!D339)-1)),VALUE(LEFT(Raw_Data!D339,FIND("/",Raw_Data!D339)-1))),IF(ISNUMBER(VALUE(LEFT(Raw_Data!D339,4))),DATE(VALUE(LEFT(Raw_Data!D339,4)),VALUE(MID(Raw_Data!D339,6,2)),VALUE(MID(Raw_Data!D339,9,2))),DATEVALUE(Raw_Data!D339))),"")</f>
        <v>45599</v>
      </c>
      <c r="E339" s="12" t="n">
        <f aca="false">IFERROR(IF(ISNUMBER(SEARCH("/",Raw_Data!E339)),DATE(VALUE(RIGHT(Raw_Data!E339,4)),VALUE(MID(Raw_Data!E339,FIND("/",Raw_Data!E339)+1,FIND("/",Raw_Data!E339,FIND("/",Raw_Data!E339)+1)-FIND("/",Raw_Data!E339)-1)),VALUE(LEFT(Raw_Data!E339,FIND("/",Raw_Data!E339)-1))),IF(ISNUMBER(VALUE(LEFT(Raw_Data!E339,4))),DATE(VALUE(LEFT(Raw_Data!E339,4)),VALUE(MID(Raw_Data!E339,6,2)),VALUE(MID(Raw_Data!E339,9,2))),DATEVALUE(Raw_Data!E339))),"")</f>
        <v>45627</v>
      </c>
      <c r="F339" s="11" t="str">
        <f aca="false">Raw_Data!F339</f>
        <v>Male 45+</v>
      </c>
      <c r="G339" s="11" t="str">
        <f aca="false">IF(TRIM(Raw_Data!G339)="","Unspecified",IFERROR(INDEX(Lookup_Tables!$F$2:$F$24,MATCH(UPPER(TRIM(Raw_Data!G339)),Lookup_Tables!$G$2:$G$24,0)),"Unknown"))</f>
        <v>West</v>
      </c>
      <c r="H339" s="11" t="n">
        <f aca="false">IF(Raw_Data!H339="",ROUND(AVERAGEIFS(Raw_Data!$H$2:$H$839,Raw_Data!$C$2:$C$839,Raw_Data!C339),2),Raw_Data!H339)</f>
        <v>58093.26</v>
      </c>
      <c r="I339" s="11" t="n">
        <f aca="false">Raw_Data!I339</f>
        <v>2092940</v>
      </c>
      <c r="J339" s="11" t="n">
        <f aca="false">IF(Raw_Data!J339&lt;0,ABS(Raw_Data!J339),Raw_Data!J339)</f>
        <v>24646</v>
      </c>
      <c r="K339" s="11" t="n">
        <f aca="false">Raw_Data!K339</f>
        <v>949</v>
      </c>
      <c r="L339" s="11" t="n">
        <f aca="false">IF(Raw_Data!L339="",ROUND(AVERAGEIFS(Raw_Data!$L$2:$L$839,Raw_Data!$C$2:$C$839,Raw_Data!C339),2),Raw_Data!L339)</f>
        <v>1687507.41</v>
      </c>
      <c r="M339" s="13" t="n">
        <f aca="false">IFERROR(J339/I339,0)</f>
        <v>0.0117757795254522</v>
      </c>
      <c r="N339" s="14" t="n">
        <f aca="false">IFERROR(H339/J339,0)</f>
        <v>2.35710703562444</v>
      </c>
      <c r="O339" s="14" t="n">
        <f aca="false">IFERROR(H339/K339,0)</f>
        <v>61.2152370916755</v>
      </c>
      <c r="P339" s="15" t="n">
        <f aca="false">IFERROR(L339/H339,0)</f>
        <v>29.0482477657477</v>
      </c>
      <c r="Q339" s="13" t="n">
        <f aca="false">IFERROR(K339/J339,0)</f>
        <v>0.0385052341150694</v>
      </c>
      <c r="R339" s="11" t="str">
        <f aca="false">IF(COUNTIF($A$2:A339,A339)&gt;1,"Duplicate - Remove","Unique")</f>
        <v>Unique</v>
      </c>
      <c r="S339" s="11" t="str">
        <f aca="false">TRIM(IF(Raw_Data!G339="","Region missing; ","")&amp;IF(Raw_Data!H339="","Spend imputed; ","")&amp;IF(Raw_Data!L339="","Revenue imputed; ","")&amp;IF(Raw_Data!J339&lt;0,"Clicks corrected; ",""))</f>
        <v/>
      </c>
    </row>
    <row r="340" customFormat="false" ht="15" hidden="false" customHeight="true" outlineLevel="0" collapsed="false">
      <c r="A340" s="11" t="n">
        <f aca="false">Raw_Data!A340</f>
        <v>1706</v>
      </c>
      <c r="B340" s="11" t="str">
        <f aca="false">PROPER(TRIM(Raw_Data!B340))</f>
        <v>New Year Wellness</v>
      </c>
      <c r="C340" s="11" t="str">
        <f aca="false">IFERROR(INDEX(Lookup_Tables!$B$2:$B$26,MATCH(UPPER(TRIM(Raw_Data!C340)),Lookup_Tables!$C$2:$C$26,0)),"Unknown")</f>
        <v>Google Ads</v>
      </c>
      <c r="D340" s="12" t="n">
        <f aca="false">IFERROR(IF(ISNUMBER(SEARCH("/",Raw_Data!D340)),DATE(VALUE(RIGHT(Raw_Data!D340,4)),VALUE(MID(Raw_Data!D340,FIND("/",Raw_Data!D340)+1,FIND("/",Raw_Data!D340,FIND("/",Raw_Data!D340)+1)-FIND("/",Raw_Data!D340)-1)),VALUE(LEFT(Raw_Data!D340,FIND("/",Raw_Data!D340)-1))),IF(ISNUMBER(VALUE(LEFT(Raw_Data!D340,4))),DATE(VALUE(LEFT(Raw_Data!D340,4)),VALUE(MID(Raw_Data!D340,6,2)),VALUE(MID(Raw_Data!D340,9,2))),DATEVALUE(Raw_Data!D340))),"")</f>
        <v>45341</v>
      </c>
      <c r="E340" s="12" t="n">
        <f aca="false">IFERROR(IF(ISNUMBER(SEARCH("/",Raw_Data!E340)),DATE(VALUE(RIGHT(Raw_Data!E340,4)),VALUE(MID(Raw_Data!E340,FIND("/",Raw_Data!E340)+1,FIND("/",Raw_Data!E340,FIND("/",Raw_Data!E340)+1)-FIND("/",Raw_Data!E340)-1)),VALUE(LEFT(Raw_Data!E340,FIND("/",Raw_Data!E340)-1))),IF(ISNUMBER(VALUE(LEFT(Raw_Data!E340,4))),DATE(VALUE(LEFT(Raw_Data!E340,4)),VALUE(MID(Raw_Data!E340,6,2)),VALUE(MID(Raw_Data!E340,9,2))),DATEVALUE(Raw_Data!E340))),"")</f>
        <v>45371</v>
      </c>
      <c r="F340" s="11" t="str">
        <f aca="false">Raw_Data!F340</f>
        <v>Female 18-24</v>
      </c>
      <c r="G340" s="11" t="str">
        <f aca="false">IF(TRIM(Raw_Data!G340)="","Unspecified",IFERROR(INDEX(Lookup_Tables!$F$2:$F$24,MATCH(UPPER(TRIM(Raw_Data!G340)),Lookup_Tables!$G$2:$G$24,0)),"Unknown"))</f>
        <v>West</v>
      </c>
      <c r="H340" s="11" t="n">
        <f aca="false">IF(Raw_Data!H340="",ROUND(AVERAGEIFS(Raw_Data!$H$2:$H$839,Raw_Data!$C$2:$C$839,Raw_Data!C340),2),Raw_Data!H340)</f>
        <v>16002.5</v>
      </c>
      <c r="I340" s="11" t="n">
        <f aca="false">Raw_Data!I340</f>
        <v>243505</v>
      </c>
      <c r="J340" s="11" t="n">
        <f aca="false">IF(Raw_Data!J340&lt;0,ABS(Raw_Data!J340),Raw_Data!J340)</f>
        <v>7516</v>
      </c>
      <c r="K340" s="11" t="n">
        <f aca="false">Raw_Data!K340</f>
        <v>102</v>
      </c>
      <c r="L340" s="11" t="n">
        <f aca="false">IF(Raw_Data!L340="",ROUND(AVERAGEIFS(Raw_Data!$L$2:$L$839,Raw_Data!$C$2:$C$839,Raw_Data!C340),2),Raw_Data!L340)</f>
        <v>161799.68</v>
      </c>
      <c r="M340" s="13" t="n">
        <f aca="false">IFERROR(J340/I340,0)</f>
        <v>0.0308658959774953</v>
      </c>
      <c r="N340" s="14" t="n">
        <f aca="false">IFERROR(H340/J340,0)</f>
        <v>2.12912453432677</v>
      </c>
      <c r="O340" s="14" t="n">
        <f aca="false">IFERROR(H340/K340,0)</f>
        <v>156.887254901961</v>
      </c>
      <c r="P340" s="15" t="n">
        <f aca="false">IFERROR(L340/H340,0)</f>
        <v>10.1109001718481</v>
      </c>
      <c r="Q340" s="13" t="n">
        <f aca="false">IFERROR(K340/J340,0)</f>
        <v>0.013571048430016</v>
      </c>
      <c r="R340" s="11" t="str">
        <f aca="false">IF(COUNTIF($A$2:A340,A340)&gt;1,"Duplicate - Remove","Unique")</f>
        <v>Unique</v>
      </c>
      <c r="S340" s="11" t="str">
        <f aca="false">TRIM(IF(Raw_Data!G340="","Region missing; ","")&amp;IF(Raw_Data!H340="","Spend imputed; ","")&amp;IF(Raw_Data!L340="","Revenue imputed; ","")&amp;IF(Raw_Data!J340&lt;0,"Clicks corrected; ",""))</f>
        <v/>
      </c>
    </row>
    <row r="341" customFormat="false" ht="15" hidden="false" customHeight="true" outlineLevel="0" collapsed="false">
      <c r="A341" s="11" t="n">
        <f aca="false">Raw_Data!A341</f>
        <v>1452</v>
      </c>
      <c r="B341" s="11" t="str">
        <f aca="false">PROPER(TRIM(Raw_Data!B341))</f>
        <v>Summer Glow Launch</v>
      </c>
      <c r="C341" s="11" t="str">
        <f aca="false">IFERROR(INDEX(Lookup_Tables!$B$2:$B$26,MATCH(UPPER(TRIM(Raw_Data!C341)),Lookup_Tables!$C$2:$C$26,0)),"Unknown")</f>
        <v>Email</v>
      </c>
      <c r="D341" s="12" t="n">
        <f aca="false">IFERROR(IF(ISNUMBER(SEARCH("/",Raw_Data!D341)),DATE(VALUE(RIGHT(Raw_Data!D341,4)),VALUE(MID(Raw_Data!D341,FIND("/",Raw_Data!D341)+1,FIND("/",Raw_Data!D341,FIND("/",Raw_Data!D341)+1)-FIND("/",Raw_Data!D341)-1)),VALUE(LEFT(Raw_Data!D341,FIND("/",Raw_Data!D341)-1))),IF(ISNUMBER(VALUE(LEFT(Raw_Data!D341,4))),DATE(VALUE(LEFT(Raw_Data!D341,4)),VALUE(MID(Raw_Data!D341,6,2)),VALUE(MID(Raw_Data!D341,9,2))),DATEVALUE(Raw_Data!D341))),"")</f>
        <v>45341</v>
      </c>
      <c r="E341" s="12" t="n">
        <f aca="false">IFERROR(IF(ISNUMBER(SEARCH("/",Raw_Data!E341)),DATE(VALUE(RIGHT(Raw_Data!E341,4)),VALUE(MID(Raw_Data!E341,FIND("/",Raw_Data!E341)+1,FIND("/",Raw_Data!E341,FIND("/",Raw_Data!E341)+1)-FIND("/",Raw_Data!E341)-1)),VALUE(LEFT(Raw_Data!E341,FIND("/",Raw_Data!E341)-1))),IF(ISNUMBER(VALUE(LEFT(Raw_Data!E341,4))),DATE(VALUE(LEFT(Raw_Data!E341,4)),VALUE(MID(Raw_Data!E341,6,2)),VALUE(MID(Raw_Data!E341,9,2))),DATEVALUE(Raw_Data!E341))),"")</f>
        <v>45352</v>
      </c>
      <c r="F341" s="11" t="str">
        <f aca="false">Raw_Data!F341</f>
        <v>Female 18-24</v>
      </c>
      <c r="G341" s="11" t="str">
        <f aca="false">IF(TRIM(Raw_Data!G341)="","Unspecified",IFERROR(INDEX(Lookup_Tables!$F$2:$F$24,MATCH(UPPER(TRIM(Raw_Data!G341)),Lookup_Tables!$G$2:$G$24,0)),"Unknown"))</f>
        <v>North</v>
      </c>
      <c r="H341" s="11" t="n">
        <f aca="false">IF(Raw_Data!H341="",ROUND(AVERAGEIFS(Raw_Data!$H$2:$H$839,Raw_Data!$C$2:$C$839,Raw_Data!C341),2),Raw_Data!H341)</f>
        <v>6542.51</v>
      </c>
      <c r="I341" s="11" t="n">
        <f aca="false">Raw_Data!I341</f>
        <v>159582</v>
      </c>
      <c r="J341" s="11" t="n">
        <f aca="false">IF(Raw_Data!J341&lt;0,ABS(Raw_Data!J341),Raw_Data!J341)</f>
        <v>3287</v>
      </c>
      <c r="K341" s="11" t="n">
        <f aca="false">Raw_Data!K341</f>
        <v>254</v>
      </c>
      <c r="L341" s="11" t="n">
        <f aca="false">IF(Raw_Data!L341="",ROUND(AVERAGEIFS(Raw_Data!$L$2:$L$839,Raw_Data!$C$2:$C$839,Raw_Data!C341),2),Raw_Data!L341)</f>
        <v>186807.32</v>
      </c>
      <c r="M341" s="13" t="n">
        <f aca="false">IFERROR(J341/I341,0)</f>
        <v>0.0205975611284481</v>
      </c>
      <c r="N341" s="14" t="n">
        <f aca="false">IFERROR(H341/J341,0)</f>
        <v>1.99041983571646</v>
      </c>
      <c r="O341" s="14" t="n">
        <f aca="false">IFERROR(H341/K341,0)</f>
        <v>25.7579133858268</v>
      </c>
      <c r="P341" s="15" t="n">
        <f aca="false">IFERROR(L341/H341,0)</f>
        <v>28.5528520399663</v>
      </c>
      <c r="Q341" s="13" t="n">
        <f aca="false">IFERROR(K341/J341,0)</f>
        <v>0.0772741101308184</v>
      </c>
      <c r="R341" s="11" t="str">
        <f aca="false">IF(COUNTIF($A$2:A341,A341)&gt;1,"Duplicate - Remove","Unique")</f>
        <v>Unique</v>
      </c>
      <c r="S341" s="11" t="str">
        <f aca="false">TRIM(IF(Raw_Data!G341="","Region missing; ","")&amp;IF(Raw_Data!H341="","Spend imputed; ","")&amp;IF(Raw_Data!L341="","Revenue imputed; ","")&amp;IF(Raw_Data!J341&lt;0,"Clicks corrected; ",""))</f>
        <v/>
      </c>
    </row>
    <row r="342" customFormat="false" ht="15" hidden="false" customHeight="true" outlineLevel="0" collapsed="false">
      <c r="A342" s="11" t="n">
        <f aca="false">Raw_Data!A342</f>
        <v>1444</v>
      </c>
      <c r="B342" s="11" t="str">
        <f aca="false">PROPER(TRIM(Raw_Data!B342))</f>
        <v>Clearance Sale Push</v>
      </c>
      <c r="C342" s="11" t="str">
        <f aca="false">IFERROR(INDEX(Lookup_Tables!$B$2:$B$26,MATCH(UPPER(TRIM(Raw_Data!C342)),Lookup_Tables!$C$2:$C$26,0)),"Unknown")</f>
        <v>Instagram</v>
      </c>
      <c r="D342" s="12" t="n">
        <f aca="false">IFERROR(IF(ISNUMBER(SEARCH("/",Raw_Data!D342)),DATE(VALUE(RIGHT(Raw_Data!D342,4)),VALUE(MID(Raw_Data!D342,FIND("/",Raw_Data!D342)+1,FIND("/",Raw_Data!D342,FIND("/",Raw_Data!D342)+1)-FIND("/",Raw_Data!D342)-1)),VALUE(LEFT(Raw_Data!D342,FIND("/",Raw_Data!D342)-1))),IF(ISNUMBER(VALUE(LEFT(Raw_Data!D342,4))),DATE(VALUE(LEFT(Raw_Data!D342,4)),VALUE(MID(Raw_Data!D342,6,2)),VALUE(MID(Raw_Data!D342,9,2))),DATEVALUE(Raw_Data!D342))),"")</f>
        <v>45447</v>
      </c>
      <c r="E342" s="12" t="n">
        <f aca="false">IFERROR(IF(ISNUMBER(SEARCH("/",Raw_Data!E342)),DATE(VALUE(RIGHT(Raw_Data!E342,4)),VALUE(MID(Raw_Data!E342,FIND("/",Raw_Data!E342)+1,FIND("/",Raw_Data!E342,FIND("/",Raw_Data!E342)+1)-FIND("/",Raw_Data!E342)-1)),VALUE(LEFT(Raw_Data!E342,FIND("/",Raw_Data!E342)-1))),IF(ISNUMBER(VALUE(LEFT(Raw_Data!E342,4))),DATE(VALUE(LEFT(Raw_Data!E342,4)),VALUE(MID(Raw_Data!E342,6,2)),VALUE(MID(Raw_Data!E342,9,2))),DATEVALUE(Raw_Data!E342))),"")</f>
        <v>45461</v>
      </c>
      <c r="F342" s="11" t="str">
        <f aca="false">Raw_Data!F342</f>
        <v>Male 18-24</v>
      </c>
      <c r="G342" s="11" t="str">
        <f aca="false">IF(TRIM(Raw_Data!G342)="","Unspecified",IFERROR(INDEX(Lookup_Tables!$F$2:$F$24,MATCH(UPPER(TRIM(Raw_Data!G342)),Lookup_Tables!$G$2:$G$24,0)),"Unknown"))</f>
        <v>South</v>
      </c>
      <c r="H342" s="11" t="n">
        <f aca="false">IF(Raw_Data!H342="",ROUND(AVERAGEIFS(Raw_Data!$H$2:$H$839,Raw_Data!$C$2:$C$839,Raw_Data!C342),2),Raw_Data!H342)</f>
        <v>31310.1</v>
      </c>
      <c r="I342" s="11" t="n">
        <f aca="false">Raw_Data!I342</f>
        <v>967171</v>
      </c>
      <c r="J342" s="11" t="n">
        <f aca="false">IF(Raw_Data!J342&lt;0,ABS(Raw_Data!J342),Raw_Data!J342)</f>
        <v>12723</v>
      </c>
      <c r="K342" s="11" t="n">
        <f aca="false">Raw_Data!K342</f>
        <v>823</v>
      </c>
      <c r="L342" s="11" t="n">
        <f aca="false">IF(Raw_Data!L342="",ROUND(AVERAGEIFS(Raw_Data!$L$2:$L$839,Raw_Data!$C$2:$C$839,Raw_Data!C342),2),Raw_Data!L342)</f>
        <v>383537.06</v>
      </c>
      <c r="M342" s="13" t="n">
        <f aca="false">IFERROR(J342/I342,0)</f>
        <v>0.013154860929453</v>
      </c>
      <c r="N342" s="14" t="n">
        <f aca="false">IFERROR(H342/J342,0)</f>
        <v>2.46090544682858</v>
      </c>
      <c r="O342" s="14" t="n">
        <f aca="false">IFERROR(H342/K342,0)</f>
        <v>38.0438639125152</v>
      </c>
      <c r="P342" s="15" t="n">
        <f aca="false">IFERROR(L342/H342,0)</f>
        <v>12.2496274365141</v>
      </c>
      <c r="Q342" s="13" t="n">
        <f aca="false">IFERROR(K342/J342,0)</f>
        <v>0.0646860017291519</v>
      </c>
      <c r="R342" s="11" t="str">
        <f aca="false">IF(COUNTIF($A$2:A342,A342)&gt;1,"Duplicate - Remove","Unique")</f>
        <v>Unique</v>
      </c>
      <c r="S342" s="11" t="str">
        <f aca="false">TRIM(IF(Raw_Data!G342="","Region missing; ","")&amp;IF(Raw_Data!H342="","Spend imputed; ","")&amp;IF(Raw_Data!L342="","Revenue imputed; ","")&amp;IF(Raw_Data!J342&lt;0,"Clicks corrected; ",""))</f>
        <v/>
      </c>
    </row>
    <row r="343" customFormat="false" ht="15" hidden="false" customHeight="true" outlineLevel="0" collapsed="false">
      <c r="A343" s="11" t="n">
        <f aca="false">Raw_Data!A343</f>
        <v>1308</v>
      </c>
      <c r="B343" s="11" t="str">
        <f aca="false">PROPER(TRIM(Raw_Data!B343))</f>
        <v>Clearance Sale Push</v>
      </c>
      <c r="C343" s="11" t="str">
        <f aca="false">IFERROR(INDEX(Lookup_Tables!$B$2:$B$26,MATCH(UPPER(TRIM(Raw_Data!C343)),Lookup_Tables!$C$2:$C$26,0)),"Unknown")</f>
        <v>YouTube</v>
      </c>
      <c r="D343" s="12" t="n">
        <f aca="false">IFERROR(IF(ISNUMBER(SEARCH("/",Raw_Data!D343)),DATE(VALUE(RIGHT(Raw_Data!D343,4)),VALUE(MID(Raw_Data!D343,FIND("/",Raw_Data!D343)+1,FIND("/",Raw_Data!D343,FIND("/",Raw_Data!D343)+1)-FIND("/",Raw_Data!D343)-1)),VALUE(LEFT(Raw_Data!D343,FIND("/",Raw_Data!D343)-1))),IF(ISNUMBER(VALUE(LEFT(Raw_Data!D343,4))),DATE(VALUE(LEFT(Raw_Data!D343,4)),VALUE(MID(Raw_Data!D343,6,2)),VALUE(MID(Raw_Data!D343,9,2))),DATEVALUE(Raw_Data!D343))),"")</f>
        <v>45348</v>
      </c>
      <c r="E343" s="12" t="n">
        <f aca="false">IFERROR(IF(ISNUMBER(SEARCH("/",Raw_Data!E343)),DATE(VALUE(RIGHT(Raw_Data!E343,4)),VALUE(MID(Raw_Data!E343,FIND("/",Raw_Data!E343)+1,FIND("/",Raw_Data!E343,FIND("/",Raw_Data!E343)+1)-FIND("/",Raw_Data!E343)-1)),VALUE(LEFT(Raw_Data!E343,FIND("/",Raw_Data!E343)-1))),IF(ISNUMBER(VALUE(LEFT(Raw_Data!E343,4))),DATE(VALUE(LEFT(Raw_Data!E343,4)),VALUE(MID(Raw_Data!E343,6,2)),VALUE(MID(Raw_Data!E343,9,2))),DATEVALUE(Raw_Data!E343))),"")</f>
        <v>45375</v>
      </c>
      <c r="F343" s="11" t="str">
        <f aca="false">Raw_Data!F343</f>
        <v>Female 35-44</v>
      </c>
      <c r="G343" s="11" t="str">
        <f aca="false">IF(TRIM(Raw_Data!G343)="","Unspecified",IFERROR(INDEX(Lookup_Tables!$F$2:$F$24,MATCH(UPPER(TRIM(Raw_Data!G343)),Lookup_Tables!$G$2:$G$24,0)),"Unknown"))</f>
        <v>Central</v>
      </c>
      <c r="H343" s="11" t="n">
        <f aca="false">IF(Raw_Data!H343="",ROUND(AVERAGEIFS(Raw_Data!$H$2:$H$839,Raw_Data!$C$2:$C$839,Raw_Data!C343),2),Raw_Data!H343)</f>
        <v>34000.18</v>
      </c>
      <c r="I343" s="11" t="n">
        <f aca="false">Raw_Data!I343</f>
        <v>906917</v>
      </c>
      <c r="J343" s="11" t="n">
        <f aca="false">IF(Raw_Data!J343&lt;0,ABS(Raw_Data!J343),Raw_Data!J343)</f>
        <v>30005</v>
      </c>
      <c r="K343" s="11" t="n">
        <f aca="false">Raw_Data!K343</f>
        <v>1641</v>
      </c>
      <c r="L343" s="11" t="n">
        <f aca="false">IF(Raw_Data!L343="",ROUND(AVERAGEIFS(Raw_Data!$L$2:$L$839,Raw_Data!$C$2:$C$839,Raw_Data!C343),2),Raw_Data!L343)</f>
        <v>2769857.55</v>
      </c>
      <c r="M343" s="13" t="n">
        <f aca="false">IFERROR(J343/I343,0)</f>
        <v>0.0330846152404244</v>
      </c>
      <c r="N343" s="14" t="n">
        <f aca="false">IFERROR(H343/J343,0)</f>
        <v>1.13315047492085</v>
      </c>
      <c r="O343" s="14" t="n">
        <f aca="false">IFERROR(H343/K343,0)</f>
        <v>20.719183424741</v>
      </c>
      <c r="P343" s="15" t="n">
        <f aca="false">IFERROR(L343/H343,0)</f>
        <v>81.465967238997</v>
      </c>
      <c r="Q343" s="13" t="n">
        <f aca="false">IFERROR(K343/J343,0)</f>
        <v>0.0546908848525246</v>
      </c>
      <c r="R343" s="11" t="str">
        <f aca="false">IF(COUNTIF($A$2:A343,A343)&gt;1,"Duplicate - Remove","Unique")</f>
        <v>Unique</v>
      </c>
      <c r="S343" s="11" t="str">
        <f aca="false">TRIM(IF(Raw_Data!G343="","Region missing; ","")&amp;IF(Raw_Data!H343="","Spend imputed; ","")&amp;IF(Raw_Data!L343="","Revenue imputed; ","")&amp;IF(Raw_Data!J343&lt;0,"Clicks corrected; ",""))</f>
        <v/>
      </c>
    </row>
    <row r="344" customFormat="false" ht="15" hidden="false" customHeight="true" outlineLevel="0" collapsed="false">
      <c r="A344" s="11" t="n">
        <f aca="false">Raw_Data!A344</f>
        <v>1310</v>
      </c>
      <c r="B344" s="11" t="str">
        <f aca="false">PROPER(TRIM(Raw_Data!B344))</f>
        <v>Ayurvedic Range Launch</v>
      </c>
      <c r="C344" s="11" t="str">
        <f aca="false">IFERROR(INDEX(Lookup_Tables!$B$2:$B$26,MATCH(UPPER(TRIM(Raw_Data!C344)),Lookup_Tables!$C$2:$C$26,0)),"Unknown")</f>
        <v>Facebook</v>
      </c>
      <c r="D344" s="12" t="n">
        <f aca="false">IFERROR(IF(ISNUMBER(SEARCH("/",Raw_Data!D344)),DATE(VALUE(RIGHT(Raw_Data!D344,4)),VALUE(MID(Raw_Data!D344,FIND("/",Raw_Data!D344)+1,FIND("/",Raw_Data!D344,FIND("/",Raw_Data!D344)+1)-FIND("/",Raw_Data!D344)-1)),VALUE(LEFT(Raw_Data!D344,FIND("/",Raw_Data!D344)-1))),IF(ISNUMBER(VALUE(LEFT(Raw_Data!D344,4))),DATE(VALUE(LEFT(Raw_Data!D344,4)),VALUE(MID(Raw_Data!D344,6,2)),VALUE(MID(Raw_Data!D344,9,2))),DATEVALUE(Raw_Data!D344))),"")</f>
        <v>45584</v>
      </c>
      <c r="E344" s="12" t="n">
        <f aca="false">IFERROR(IF(ISNUMBER(SEARCH("/",Raw_Data!E344)),DATE(VALUE(RIGHT(Raw_Data!E344,4)),VALUE(MID(Raw_Data!E344,FIND("/",Raw_Data!E344)+1,FIND("/",Raw_Data!E344,FIND("/",Raw_Data!E344)+1)-FIND("/",Raw_Data!E344)-1)),VALUE(LEFT(Raw_Data!E344,FIND("/",Raw_Data!E344)-1))),IF(ISNUMBER(VALUE(LEFT(Raw_Data!E344,4))),DATE(VALUE(LEFT(Raw_Data!E344,4)),VALUE(MID(Raw_Data!E344,6,2)),VALUE(MID(Raw_Data!E344,9,2))),DATEVALUE(Raw_Data!E344))),"")</f>
        <v>45612</v>
      </c>
      <c r="F344" s="11" t="str">
        <f aca="false">Raw_Data!F344</f>
        <v>Female 25-34</v>
      </c>
      <c r="G344" s="11" t="str">
        <f aca="false">IF(TRIM(Raw_Data!G344)="","Unspecified",IFERROR(INDEX(Lookup_Tables!$F$2:$F$24,MATCH(UPPER(TRIM(Raw_Data!G344)),Lookup_Tables!$G$2:$G$24,0)),"Unknown"))</f>
        <v>Unspecified</v>
      </c>
      <c r="H344" s="11" t="n">
        <f aca="false">IF(Raw_Data!H344="",ROUND(AVERAGEIFS(Raw_Data!$H$2:$H$839,Raw_Data!$C$2:$C$839,Raw_Data!C344),2),Raw_Data!H344)</f>
        <v>40198.44</v>
      </c>
      <c r="I344" s="11" t="n">
        <f aca="false">Raw_Data!I344</f>
        <v>621834</v>
      </c>
      <c r="J344" s="11" t="n">
        <f aca="false">IF(Raw_Data!J344&lt;0,ABS(Raw_Data!J344),Raw_Data!J344)</f>
        <v>12393</v>
      </c>
      <c r="K344" s="11" t="n">
        <f aca="false">Raw_Data!K344</f>
        <v>690</v>
      </c>
      <c r="L344" s="11" t="n">
        <f aca="false">IF(Raw_Data!L344="",ROUND(AVERAGEIFS(Raw_Data!$L$2:$L$839,Raw_Data!$C$2:$C$839,Raw_Data!C344),2),Raw_Data!L344)</f>
        <v>455011.26</v>
      </c>
      <c r="M344" s="13" t="n">
        <f aca="false">IFERROR(J344/I344,0)</f>
        <v>0.0199297561728693</v>
      </c>
      <c r="N344" s="14" t="n">
        <f aca="false">IFERROR(H344/J344,0)</f>
        <v>3.24364076494796</v>
      </c>
      <c r="O344" s="14" t="n">
        <f aca="false">IFERROR(H344/K344,0)</f>
        <v>58.2586086956522</v>
      </c>
      <c r="P344" s="15" t="n">
        <f aca="false">IFERROR(L344/H344,0)</f>
        <v>11.319127309418</v>
      </c>
      <c r="Q344" s="13" t="n">
        <f aca="false">IFERROR(K344/J344,0)</f>
        <v>0.055676591624304</v>
      </c>
      <c r="R344" s="11" t="str">
        <f aca="false">IF(COUNTIF($A$2:A344,A344)&gt;1,"Duplicate - Remove","Unique")</f>
        <v>Unique</v>
      </c>
      <c r="S344" s="11" t="str">
        <f aca="false">TRIM(IF(Raw_Data!G344="","Region missing; ","")&amp;IF(Raw_Data!H344="","Spend imputed; ","")&amp;IF(Raw_Data!L344="","Revenue imputed; ","")&amp;IF(Raw_Data!J344&lt;0,"Clicks corrected; ",""))</f>
        <v>Region missing; Revenue imputed;</v>
      </c>
    </row>
    <row r="345" customFormat="false" ht="15" hidden="false" customHeight="true" outlineLevel="0" collapsed="false">
      <c r="A345" s="11" t="n">
        <f aca="false">Raw_Data!A345</f>
        <v>1329</v>
      </c>
      <c r="B345" s="11" t="str">
        <f aca="false">PROPER(TRIM(Raw_Data!B345))</f>
        <v>Ayurvedic Range Launch</v>
      </c>
      <c r="C345" s="11" t="str">
        <f aca="false">IFERROR(INDEX(Lookup_Tables!$B$2:$B$26,MATCH(UPPER(TRIM(Raw_Data!C345)),Lookup_Tables!$C$2:$C$26,0)),"Unknown")</f>
        <v>Facebook</v>
      </c>
      <c r="D345" s="12" t="n">
        <f aca="false">IFERROR(IF(ISNUMBER(SEARCH("/",Raw_Data!D345)),DATE(VALUE(RIGHT(Raw_Data!D345,4)),VALUE(MID(Raw_Data!D345,FIND("/",Raw_Data!D345)+1,FIND("/",Raw_Data!D345,FIND("/",Raw_Data!D345)+1)-FIND("/",Raw_Data!D345)-1)),VALUE(LEFT(Raw_Data!D345,FIND("/",Raw_Data!D345)-1))),IF(ISNUMBER(VALUE(LEFT(Raw_Data!D345,4))),DATE(VALUE(LEFT(Raw_Data!D345,4)),VALUE(MID(Raw_Data!D345,6,2)),VALUE(MID(Raw_Data!D345,9,2))),DATEVALUE(Raw_Data!D345))),"")</f>
        <v>45519</v>
      </c>
      <c r="E345" s="12" t="n">
        <f aca="false">IFERROR(IF(ISNUMBER(SEARCH("/",Raw_Data!E345)),DATE(VALUE(RIGHT(Raw_Data!E345,4)),VALUE(MID(Raw_Data!E345,FIND("/",Raw_Data!E345)+1,FIND("/",Raw_Data!E345,FIND("/",Raw_Data!E345)+1)-FIND("/",Raw_Data!E345)-1)),VALUE(LEFT(Raw_Data!E345,FIND("/",Raw_Data!E345)-1))),IF(ISNUMBER(VALUE(LEFT(Raw_Data!E345,4))),DATE(VALUE(LEFT(Raw_Data!E345,4)),VALUE(MID(Raw_Data!E345,6,2)),VALUE(MID(Raw_Data!E345,9,2))),DATEVALUE(Raw_Data!E345))),"")</f>
        <v>45547</v>
      </c>
      <c r="F345" s="11" t="str">
        <f aca="false">Raw_Data!F345</f>
        <v>Female 45+</v>
      </c>
      <c r="G345" s="11" t="str">
        <f aca="false">IF(TRIM(Raw_Data!G345)="","Unspecified",IFERROR(INDEX(Lookup_Tables!$F$2:$F$24,MATCH(UPPER(TRIM(Raw_Data!G345)),Lookup_Tables!$G$2:$G$24,0)),"Unknown"))</f>
        <v>Central</v>
      </c>
      <c r="H345" s="11" t="n">
        <f aca="false">IF(Raw_Data!H345="",ROUND(AVERAGEIFS(Raw_Data!$H$2:$H$839,Raw_Data!$C$2:$C$839,Raw_Data!C345),2),Raw_Data!H345)</f>
        <v>6945.22</v>
      </c>
      <c r="I345" s="11" t="n">
        <f aca="false">Raw_Data!I345</f>
        <v>137004</v>
      </c>
      <c r="J345" s="11" t="n">
        <f aca="false">IF(Raw_Data!J345&lt;0,ABS(Raw_Data!J345),Raw_Data!J345)</f>
        <v>775</v>
      </c>
      <c r="K345" s="11" t="n">
        <f aca="false">Raw_Data!K345</f>
        <v>51</v>
      </c>
      <c r="L345" s="11" t="n">
        <f aca="false">IF(Raw_Data!L345="",ROUND(AVERAGEIFS(Raw_Data!$L$2:$L$839,Raw_Data!$C$2:$C$839,Raw_Data!C345),2),Raw_Data!L345)</f>
        <v>79594.37</v>
      </c>
      <c r="M345" s="13" t="n">
        <f aca="false">IFERROR(J345/I345,0)</f>
        <v>0.00565676914542641</v>
      </c>
      <c r="N345" s="14" t="n">
        <f aca="false">IFERROR(H345/J345,0)</f>
        <v>8.96157419354839</v>
      </c>
      <c r="O345" s="14" t="n">
        <f aca="false">IFERROR(H345/K345,0)</f>
        <v>136.180784313726</v>
      </c>
      <c r="P345" s="15" t="n">
        <f aca="false">IFERROR(L345/H345,0)</f>
        <v>11.460309392647</v>
      </c>
      <c r="Q345" s="13" t="n">
        <f aca="false">IFERROR(K345/J345,0)</f>
        <v>0.0658064516129032</v>
      </c>
      <c r="R345" s="11" t="str">
        <f aca="false">IF(COUNTIF($A$2:A345,A345)&gt;1,"Duplicate - Remove","Unique")</f>
        <v>Unique</v>
      </c>
      <c r="S345" s="11" t="str">
        <f aca="false">TRIM(IF(Raw_Data!G345="","Region missing; ","")&amp;IF(Raw_Data!H345="","Spend imputed; ","")&amp;IF(Raw_Data!L345="","Revenue imputed; ","")&amp;IF(Raw_Data!J345&lt;0,"Clicks corrected; ",""))</f>
        <v/>
      </c>
    </row>
    <row r="346" customFormat="false" ht="15" hidden="false" customHeight="true" outlineLevel="0" collapsed="false">
      <c r="A346" s="11" t="n">
        <f aca="false">Raw_Data!A346</f>
        <v>1028</v>
      </c>
      <c r="B346" s="11" t="str">
        <f aca="false">PROPER(TRIM(Raw_Data!B346))</f>
        <v>Sunscreen Season Campaign</v>
      </c>
      <c r="C346" s="11" t="str">
        <f aca="false">IFERROR(INDEX(Lookup_Tables!$B$2:$B$26,MATCH(UPPER(TRIM(Raw_Data!C346)),Lookup_Tables!$C$2:$C$26,0)),"Unknown")</f>
        <v>YouTube</v>
      </c>
      <c r="D346" s="12" t="n">
        <f aca="false">IFERROR(IF(ISNUMBER(SEARCH("/",Raw_Data!D346)),DATE(VALUE(RIGHT(Raw_Data!D346,4)),VALUE(MID(Raw_Data!D346,FIND("/",Raw_Data!D346)+1,FIND("/",Raw_Data!D346,FIND("/",Raw_Data!D346)+1)-FIND("/",Raw_Data!D346)-1)),VALUE(LEFT(Raw_Data!D346,FIND("/",Raw_Data!D346)-1))),IF(ISNUMBER(VALUE(LEFT(Raw_Data!D346,4))),DATE(VALUE(LEFT(Raw_Data!D346,4)),VALUE(MID(Raw_Data!D346,6,2)),VALUE(MID(Raw_Data!D346,9,2))),DATEVALUE(Raw_Data!D346))),"")</f>
        <v>45541</v>
      </c>
      <c r="E346" s="12" t="n">
        <f aca="false">IFERROR(IF(ISNUMBER(SEARCH("/",Raw_Data!E346)),DATE(VALUE(RIGHT(Raw_Data!E346,4)),VALUE(MID(Raw_Data!E346,FIND("/",Raw_Data!E346)+1,FIND("/",Raw_Data!E346,FIND("/",Raw_Data!E346)+1)-FIND("/",Raw_Data!E346)-1)),VALUE(LEFT(Raw_Data!E346,FIND("/",Raw_Data!E346)-1))),IF(ISNUMBER(VALUE(LEFT(Raw_Data!E346,4))),DATE(VALUE(LEFT(Raw_Data!E346,4)),VALUE(MID(Raw_Data!E346,6,2)),VALUE(MID(Raw_Data!E346,9,2))),DATEVALUE(Raw_Data!E346))),"")</f>
        <v>45553</v>
      </c>
      <c r="F346" s="11" t="str">
        <f aca="false">Raw_Data!F346</f>
        <v>Male 18-24</v>
      </c>
      <c r="G346" s="11" t="str">
        <f aca="false">IF(TRIM(Raw_Data!G346)="","Unspecified",IFERROR(INDEX(Lookup_Tables!$F$2:$F$24,MATCH(UPPER(TRIM(Raw_Data!G346)),Lookup_Tables!$G$2:$G$24,0)),"Unknown"))</f>
        <v>West</v>
      </c>
      <c r="H346" s="11" t="n">
        <f aca="false">IF(Raw_Data!H346="",ROUND(AVERAGEIFS(Raw_Data!$H$2:$H$839,Raw_Data!$C$2:$C$839,Raw_Data!C346),2),Raw_Data!H346)</f>
        <v>47687.7</v>
      </c>
      <c r="I346" s="11" t="n">
        <f aca="false">Raw_Data!I346</f>
        <v>749918</v>
      </c>
      <c r="J346" s="11" t="n">
        <f aca="false">IF(Raw_Data!J346&lt;0,ABS(Raw_Data!J346),Raw_Data!J346)</f>
        <v>11311</v>
      </c>
      <c r="K346" s="11" t="n">
        <f aca="false">Raw_Data!K346</f>
        <v>650</v>
      </c>
      <c r="L346" s="11" t="n">
        <f aca="false">IF(Raw_Data!L346="",ROUND(AVERAGEIFS(Raw_Data!$L$2:$L$839,Raw_Data!$C$2:$C$839,Raw_Data!C346),2),Raw_Data!L346)</f>
        <v>608568.46</v>
      </c>
      <c r="M346" s="13" t="n">
        <f aca="false">IFERROR(J346/I346,0)</f>
        <v>0.0150829824060764</v>
      </c>
      <c r="N346" s="14" t="n">
        <f aca="false">IFERROR(H346/J346,0)</f>
        <v>4.21604632658474</v>
      </c>
      <c r="O346" s="14" t="n">
        <f aca="false">IFERROR(H346/K346,0)</f>
        <v>73.3656923076923</v>
      </c>
      <c r="P346" s="15" t="n">
        <f aca="false">IFERROR(L346/H346,0)</f>
        <v>12.761539348721</v>
      </c>
      <c r="Q346" s="13" t="n">
        <f aca="false">IFERROR(K346/J346,0)</f>
        <v>0.0574661833613297</v>
      </c>
      <c r="R346" s="11" t="str">
        <f aca="false">IF(COUNTIF($A$2:A346,A346)&gt;1,"Duplicate - Remove","Unique")</f>
        <v>Unique</v>
      </c>
      <c r="S346" s="11" t="str">
        <f aca="false">TRIM(IF(Raw_Data!G346="","Region missing; ","")&amp;IF(Raw_Data!H346="","Spend imputed; ","")&amp;IF(Raw_Data!L346="","Revenue imputed; ","")&amp;IF(Raw_Data!J346&lt;0,"Clicks corrected; ",""))</f>
        <v/>
      </c>
    </row>
    <row r="347" customFormat="false" ht="15" hidden="false" customHeight="true" outlineLevel="0" collapsed="false">
      <c r="A347" s="11" t="n">
        <f aca="false">Raw_Data!A347</f>
        <v>1515</v>
      </c>
      <c r="B347" s="11" t="str">
        <f aca="false">PROPER(TRIM(Raw_Data!B347))</f>
        <v>Sunscreen Season Campaign</v>
      </c>
      <c r="C347" s="11" t="str">
        <f aca="false">IFERROR(INDEX(Lookup_Tables!$B$2:$B$26,MATCH(UPPER(TRIM(Raw_Data!C347)),Lookup_Tables!$C$2:$C$26,0)),"Unknown")</f>
        <v>Email</v>
      </c>
      <c r="D347" s="12" t="n">
        <f aca="false">IFERROR(IF(ISNUMBER(SEARCH("/",Raw_Data!D347)),DATE(VALUE(RIGHT(Raw_Data!D347,4)),VALUE(MID(Raw_Data!D347,FIND("/",Raw_Data!D347)+1,FIND("/",Raw_Data!D347,FIND("/",Raw_Data!D347)+1)-FIND("/",Raw_Data!D347)-1)),VALUE(LEFT(Raw_Data!D347,FIND("/",Raw_Data!D347)-1))),IF(ISNUMBER(VALUE(LEFT(Raw_Data!D347,4))),DATE(VALUE(LEFT(Raw_Data!D347,4)),VALUE(MID(Raw_Data!D347,6,2)),VALUE(MID(Raw_Data!D347,9,2))),DATEVALUE(Raw_Data!D347))),"")</f>
        <v>45522</v>
      </c>
      <c r="E347" s="12" t="n">
        <f aca="false">IFERROR(IF(ISNUMBER(SEARCH("/",Raw_Data!E347)),DATE(VALUE(RIGHT(Raw_Data!E347,4)),VALUE(MID(Raw_Data!E347,FIND("/",Raw_Data!E347)+1,FIND("/",Raw_Data!E347,FIND("/",Raw_Data!E347)+1)-FIND("/",Raw_Data!E347)-1)),VALUE(LEFT(Raw_Data!E347,FIND("/",Raw_Data!E347)-1))),IF(ISNUMBER(VALUE(LEFT(Raw_Data!E347,4))),DATE(VALUE(LEFT(Raw_Data!E347,4)),VALUE(MID(Raw_Data!E347,6,2)),VALUE(MID(Raw_Data!E347,9,2))),DATEVALUE(Raw_Data!E347))),"")</f>
        <v>45531</v>
      </c>
      <c r="F347" s="11" t="str">
        <f aca="false">Raw_Data!F347</f>
        <v>Female 18-24</v>
      </c>
      <c r="G347" s="11" t="str">
        <f aca="false">IF(TRIM(Raw_Data!G347)="","Unspecified",IFERROR(INDEX(Lookup_Tables!$F$2:$F$24,MATCH(UPPER(TRIM(Raw_Data!G347)),Lookup_Tables!$G$2:$G$24,0)),"Unknown"))</f>
        <v>West</v>
      </c>
      <c r="H347" s="11" t="n">
        <f aca="false">IF(Raw_Data!H347="",ROUND(AVERAGEIFS(Raw_Data!$H$2:$H$839,Raw_Data!$C$2:$C$839,Raw_Data!C347),2),Raw_Data!H347)</f>
        <v>4145.3</v>
      </c>
      <c r="I347" s="11" t="n">
        <f aca="false">Raw_Data!I347</f>
        <v>162646</v>
      </c>
      <c r="J347" s="11" t="n">
        <f aca="false">IF(Raw_Data!J347&lt;0,ABS(Raw_Data!J347),Raw_Data!J347)</f>
        <v>1288</v>
      </c>
      <c r="K347" s="11" t="n">
        <f aca="false">Raw_Data!K347</f>
        <v>32</v>
      </c>
      <c r="L347" s="11" t="n">
        <f aca="false">IF(Raw_Data!L347="",ROUND(AVERAGEIFS(Raw_Data!$L$2:$L$839,Raw_Data!$C$2:$C$839,Raw_Data!C347),2),Raw_Data!L347)</f>
        <v>56627.08</v>
      </c>
      <c r="M347" s="13" t="n">
        <f aca="false">IFERROR(J347/I347,0)</f>
        <v>0.00791903889428575</v>
      </c>
      <c r="N347" s="14" t="n">
        <f aca="false">IFERROR(H347/J347,0)</f>
        <v>3.21840062111801</v>
      </c>
      <c r="O347" s="14" t="n">
        <f aca="false">IFERROR(H347/K347,0)</f>
        <v>129.540625</v>
      </c>
      <c r="P347" s="15" t="n">
        <f aca="false">IFERROR(L347/H347,0)</f>
        <v>13.6605505029793</v>
      </c>
      <c r="Q347" s="13" t="n">
        <f aca="false">IFERROR(K347/J347,0)</f>
        <v>0.0248447204968944</v>
      </c>
      <c r="R347" s="11" t="str">
        <f aca="false">IF(COUNTIF($A$2:A347,A347)&gt;1,"Duplicate - Remove","Unique")</f>
        <v>Unique</v>
      </c>
      <c r="S347" s="11" t="str">
        <f aca="false">TRIM(IF(Raw_Data!G347="","Region missing; ","")&amp;IF(Raw_Data!H347="","Spend imputed; ","")&amp;IF(Raw_Data!L347="","Revenue imputed; ","")&amp;IF(Raw_Data!J347&lt;0,"Clicks corrected; ",""))</f>
        <v/>
      </c>
    </row>
    <row r="348" customFormat="false" ht="15" hidden="false" customHeight="true" outlineLevel="0" collapsed="false">
      <c r="A348" s="11" t="n">
        <f aca="false">Raw_Data!A348</f>
        <v>1337</v>
      </c>
      <c r="B348" s="11" t="str">
        <f aca="false">PROPER(TRIM(Raw_Data!B348))</f>
        <v>Sunscreen Season Campaign</v>
      </c>
      <c r="C348" s="11" t="str">
        <f aca="false">IFERROR(INDEX(Lookup_Tables!$B$2:$B$26,MATCH(UPPER(TRIM(Raw_Data!C348)),Lookup_Tables!$C$2:$C$26,0)),"Unknown")</f>
        <v>Google Ads</v>
      </c>
      <c r="D348" s="12" t="n">
        <f aca="false">IFERROR(IF(ISNUMBER(SEARCH("/",Raw_Data!D348)),DATE(VALUE(RIGHT(Raw_Data!D348,4)),VALUE(MID(Raw_Data!D348,FIND("/",Raw_Data!D348)+1,FIND("/",Raw_Data!D348,FIND("/",Raw_Data!D348)+1)-FIND("/",Raw_Data!D348)-1)),VALUE(LEFT(Raw_Data!D348,FIND("/",Raw_Data!D348)-1))),IF(ISNUMBER(VALUE(LEFT(Raw_Data!D348,4))),DATE(VALUE(LEFT(Raw_Data!D348,4)),VALUE(MID(Raw_Data!D348,6,2)),VALUE(MID(Raw_Data!D348,9,2))),DATEVALUE(Raw_Data!D348))),"")</f>
        <v>45406</v>
      </c>
      <c r="E348" s="12" t="n">
        <f aca="false">IFERROR(IF(ISNUMBER(SEARCH("/",Raw_Data!E348)),DATE(VALUE(RIGHT(Raw_Data!E348,4)),VALUE(MID(Raw_Data!E348,FIND("/",Raw_Data!E348)+1,FIND("/",Raw_Data!E348,FIND("/",Raw_Data!E348)+1)-FIND("/",Raw_Data!E348)-1)),VALUE(LEFT(Raw_Data!E348,FIND("/",Raw_Data!E348)-1))),IF(ISNUMBER(VALUE(LEFT(Raw_Data!E348,4))),DATE(VALUE(LEFT(Raw_Data!E348,4)),VALUE(MID(Raw_Data!E348,6,2)),VALUE(MID(Raw_Data!E348,9,2))),DATEVALUE(Raw_Data!E348))),"")</f>
        <v>45411</v>
      </c>
      <c r="F348" s="11" t="str">
        <f aca="false">Raw_Data!F348</f>
        <v>Male 45+</v>
      </c>
      <c r="G348" s="11" t="str">
        <f aca="false">IF(TRIM(Raw_Data!G348)="","Unspecified",IFERROR(INDEX(Lookup_Tables!$F$2:$F$24,MATCH(UPPER(TRIM(Raw_Data!G348)),Lookup_Tables!$G$2:$G$24,0)),"Unknown"))</f>
        <v>Central</v>
      </c>
      <c r="H348" s="11" t="n">
        <f aca="false">IF(Raw_Data!H348="",ROUND(AVERAGEIFS(Raw_Data!$H$2:$H$839,Raw_Data!$C$2:$C$839,Raw_Data!C348),2),Raw_Data!H348)</f>
        <v>20781.68</v>
      </c>
      <c r="I348" s="11" t="n">
        <f aca="false">Raw_Data!I348</f>
        <v>467675</v>
      </c>
      <c r="J348" s="11" t="n">
        <f aca="false">IF(Raw_Data!J348&lt;0,ABS(Raw_Data!J348),Raw_Data!J348)</f>
        <v>11325</v>
      </c>
      <c r="K348" s="11" t="n">
        <f aca="false">Raw_Data!K348</f>
        <v>617</v>
      </c>
      <c r="L348" s="11" t="n">
        <f aca="false">IF(Raw_Data!L348="",ROUND(AVERAGEIFS(Raw_Data!$L$2:$L$839,Raw_Data!$C$2:$C$839,Raw_Data!C348),2),Raw_Data!L348)</f>
        <v>327044.89</v>
      </c>
      <c r="M348" s="13" t="n">
        <f aca="false">IFERROR(J348/I348,0)</f>
        <v>0.0242155342919763</v>
      </c>
      <c r="N348" s="14" t="n">
        <f aca="false">IFERROR(H348/J348,0)</f>
        <v>1.83502693156733</v>
      </c>
      <c r="O348" s="14" t="n">
        <f aca="false">IFERROR(H348/K348,0)</f>
        <v>33.6818152350081</v>
      </c>
      <c r="P348" s="15" t="n">
        <f aca="false">IFERROR(L348/H348,0)</f>
        <v>15.7371728368448</v>
      </c>
      <c r="Q348" s="13" t="n">
        <f aca="false">IFERROR(K348/J348,0)</f>
        <v>0.0544812362030905</v>
      </c>
      <c r="R348" s="11" t="str">
        <f aca="false">IF(COUNTIF($A$2:A348,A348)&gt;1,"Duplicate - Remove","Unique")</f>
        <v>Unique</v>
      </c>
      <c r="S348" s="11" t="str">
        <f aca="false">TRIM(IF(Raw_Data!G348="","Region missing; ","")&amp;IF(Raw_Data!H348="","Spend imputed; ","")&amp;IF(Raw_Data!L348="","Revenue imputed; ","")&amp;IF(Raw_Data!J348&lt;0,"Clicks corrected; ",""))</f>
        <v/>
      </c>
    </row>
    <row r="349" customFormat="false" ht="15" hidden="false" customHeight="true" outlineLevel="0" collapsed="false">
      <c r="A349" s="11" t="n">
        <f aca="false">Raw_Data!A349</f>
        <v>1694</v>
      </c>
      <c r="B349" s="11" t="str">
        <f aca="false">PROPER(TRIM(Raw_Data!B349))</f>
        <v>New Year Wellness</v>
      </c>
      <c r="C349" s="11" t="str">
        <f aca="false">IFERROR(INDEX(Lookup_Tables!$B$2:$B$26,MATCH(UPPER(TRIM(Raw_Data!C349)),Lookup_Tables!$C$2:$C$26,0)),"Unknown")</f>
        <v>Facebook</v>
      </c>
      <c r="D349" s="12" t="n">
        <f aca="false">IFERROR(IF(ISNUMBER(SEARCH("/",Raw_Data!D349)),DATE(VALUE(RIGHT(Raw_Data!D349,4)),VALUE(MID(Raw_Data!D349,FIND("/",Raw_Data!D349)+1,FIND("/",Raw_Data!D349,FIND("/",Raw_Data!D349)+1)-FIND("/",Raw_Data!D349)-1)),VALUE(LEFT(Raw_Data!D349,FIND("/",Raw_Data!D349)-1))),IF(ISNUMBER(VALUE(LEFT(Raw_Data!D349,4))),DATE(VALUE(LEFT(Raw_Data!D349,4)),VALUE(MID(Raw_Data!D349,6,2)),VALUE(MID(Raw_Data!D349,9,2))),DATEVALUE(Raw_Data!D349))),"")</f>
        <v>45440</v>
      </c>
      <c r="E349" s="12" t="n">
        <f aca="false">IFERROR(IF(ISNUMBER(SEARCH("/",Raw_Data!E349)),DATE(VALUE(RIGHT(Raw_Data!E349,4)),VALUE(MID(Raw_Data!E349,FIND("/",Raw_Data!E349)+1,FIND("/",Raw_Data!E349,FIND("/",Raw_Data!E349)+1)-FIND("/",Raw_Data!E349)-1)),VALUE(LEFT(Raw_Data!E349,FIND("/",Raw_Data!E349)-1))),IF(ISNUMBER(VALUE(LEFT(Raw_Data!E349,4))),DATE(VALUE(LEFT(Raw_Data!E349,4)),VALUE(MID(Raw_Data!E349,6,2)),VALUE(MID(Raw_Data!E349,9,2))),DATEVALUE(Raw_Data!E349))),"")</f>
        <v>45445</v>
      </c>
      <c r="F349" s="11" t="str">
        <f aca="false">Raw_Data!F349</f>
        <v>Female 25-34</v>
      </c>
      <c r="G349" s="11" t="str">
        <f aca="false">IF(TRIM(Raw_Data!G349)="","Unspecified",IFERROR(INDEX(Lookup_Tables!$F$2:$F$24,MATCH(UPPER(TRIM(Raw_Data!G349)),Lookup_Tables!$G$2:$G$24,0)),"Unknown"))</f>
        <v>North</v>
      </c>
      <c r="H349" s="11" t="n">
        <f aca="false">IF(Raw_Data!H349="",ROUND(AVERAGEIFS(Raw_Data!$H$2:$H$839,Raw_Data!$C$2:$C$839,Raw_Data!C349),2),Raw_Data!H349)</f>
        <v>35022.14</v>
      </c>
      <c r="I349" s="11" t="n">
        <f aca="false">Raw_Data!I349</f>
        <v>1326678</v>
      </c>
      <c r="J349" s="11" t="n">
        <f aca="false">IF(Raw_Data!J349&lt;0,ABS(Raw_Data!J349),Raw_Data!J349)</f>
        <v>19797</v>
      </c>
      <c r="K349" s="11" t="n">
        <f aca="false">Raw_Data!K349</f>
        <v>443</v>
      </c>
      <c r="L349" s="11" t="n">
        <f aca="false">IF(Raw_Data!L349="",ROUND(AVERAGEIFS(Raw_Data!$L$2:$L$839,Raw_Data!$C$2:$C$839,Raw_Data!C349),2),Raw_Data!L349)</f>
        <v>405512.4</v>
      </c>
      <c r="M349" s="13" t="n">
        <f aca="false">IFERROR(J349/I349,0)</f>
        <v>0.0149222343326715</v>
      </c>
      <c r="N349" s="14" t="n">
        <f aca="false">IFERROR(H349/J349,0)</f>
        <v>1.76906298934182</v>
      </c>
      <c r="O349" s="14" t="n">
        <f aca="false">IFERROR(H349/K349,0)</f>
        <v>79.0567494356659</v>
      </c>
      <c r="P349" s="15" t="n">
        <f aca="false">IFERROR(L349/H349,0)</f>
        <v>11.5787441886761</v>
      </c>
      <c r="Q349" s="13" t="n">
        <f aca="false">IFERROR(K349/J349,0)</f>
        <v>0.0223771278476537</v>
      </c>
      <c r="R349" s="11" t="str">
        <f aca="false">IF(COUNTIF($A$2:A349,A349)&gt;1,"Duplicate - Remove","Unique")</f>
        <v>Unique</v>
      </c>
      <c r="S349" s="11" t="str">
        <f aca="false">TRIM(IF(Raw_Data!G349="","Region missing; ","")&amp;IF(Raw_Data!H349="","Spend imputed; ","")&amp;IF(Raw_Data!L349="","Revenue imputed; ","")&amp;IF(Raw_Data!J349&lt;0,"Clicks corrected; ",""))</f>
        <v/>
      </c>
    </row>
    <row r="350" customFormat="false" ht="15" hidden="false" customHeight="true" outlineLevel="0" collapsed="false">
      <c r="A350" s="11" t="n">
        <f aca="false">Raw_Data!A350</f>
        <v>1376</v>
      </c>
      <c r="B350" s="11" t="str">
        <f aca="false">PROPER(TRIM(Raw_Data!B350))</f>
        <v>Men'S Grooming Drive</v>
      </c>
      <c r="C350" s="11" t="str">
        <f aca="false">IFERROR(INDEX(Lookup_Tables!$B$2:$B$26,MATCH(UPPER(TRIM(Raw_Data!C350)),Lookup_Tables!$C$2:$C$26,0)),"Unknown")</f>
        <v>Facebook</v>
      </c>
      <c r="D350" s="12" t="n">
        <f aca="false">IFERROR(IF(ISNUMBER(SEARCH("/",Raw_Data!D350)),DATE(VALUE(RIGHT(Raw_Data!D350,4)),VALUE(MID(Raw_Data!D350,FIND("/",Raw_Data!D350)+1,FIND("/",Raw_Data!D350,FIND("/",Raw_Data!D350)+1)-FIND("/",Raw_Data!D350)-1)),VALUE(LEFT(Raw_Data!D350,FIND("/",Raw_Data!D350)-1))),IF(ISNUMBER(VALUE(LEFT(Raw_Data!D350,4))),DATE(VALUE(LEFT(Raw_Data!D350,4)),VALUE(MID(Raw_Data!D350,6,2)),VALUE(MID(Raw_Data!D350,9,2))),DATEVALUE(Raw_Data!D350))),"")</f>
        <v>45480</v>
      </c>
      <c r="E350" s="12" t="n">
        <f aca="false">IFERROR(IF(ISNUMBER(SEARCH("/",Raw_Data!E350)),DATE(VALUE(RIGHT(Raw_Data!E350,4)),VALUE(MID(Raw_Data!E350,FIND("/",Raw_Data!E350)+1,FIND("/",Raw_Data!E350,FIND("/",Raw_Data!E350)+1)-FIND("/",Raw_Data!E350)-1)),VALUE(LEFT(Raw_Data!E350,FIND("/",Raw_Data!E350)-1))),IF(ISNUMBER(VALUE(LEFT(Raw_Data!E350,4))),DATE(VALUE(LEFT(Raw_Data!E350,4)),VALUE(MID(Raw_Data!E350,6,2)),VALUE(MID(Raw_Data!E350,9,2))),DATEVALUE(Raw_Data!E350))),"")</f>
        <v>45501</v>
      </c>
      <c r="F350" s="11" t="str">
        <f aca="false">Raw_Data!F350</f>
        <v>Female 25-34</v>
      </c>
      <c r="G350" s="11" t="str">
        <f aca="false">IF(TRIM(Raw_Data!G350)="","Unspecified",IFERROR(INDEX(Lookup_Tables!$F$2:$F$24,MATCH(UPPER(TRIM(Raw_Data!G350)),Lookup_Tables!$G$2:$G$24,0)),"Unknown"))</f>
        <v>East</v>
      </c>
      <c r="H350" s="11" t="n">
        <f aca="false">IF(Raw_Data!H350="",ROUND(AVERAGEIFS(Raw_Data!$H$2:$H$839,Raw_Data!$C$2:$C$839,Raw_Data!C350),2),Raw_Data!H350)</f>
        <v>27543.41</v>
      </c>
      <c r="I350" s="11" t="n">
        <f aca="false">Raw_Data!I350</f>
        <v>1022833</v>
      </c>
      <c r="J350" s="11" t="n">
        <f aca="false">IF(Raw_Data!J350&lt;0,ABS(Raw_Data!J350),Raw_Data!J350)</f>
        <v>19733</v>
      </c>
      <c r="K350" s="11" t="n">
        <f aca="false">Raw_Data!K350</f>
        <v>975</v>
      </c>
      <c r="L350" s="11" t="n">
        <f aca="false">IF(Raw_Data!L350="",ROUND(AVERAGEIFS(Raw_Data!$L$2:$L$839,Raw_Data!$C$2:$C$839,Raw_Data!C350),2),Raw_Data!L350)</f>
        <v>939366.03</v>
      </c>
      <c r="M350" s="13" t="n">
        <f aca="false">IFERROR(J350/I350,0)</f>
        <v>0.0192924944736824</v>
      </c>
      <c r="N350" s="14" t="n">
        <f aca="false">IFERROR(H350/J350,0)</f>
        <v>1.39580448994071</v>
      </c>
      <c r="O350" s="14" t="n">
        <f aca="false">IFERROR(H350/K350,0)</f>
        <v>28.2496512820513</v>
      </c>
      <c r="P350" s="15" t="n">
        <f aca="false">IFERROR(L350/H350,0)</f>
        <v>34.1049285473367</v>
      </c>
      <c r="Q350" s="13" t="n">
        <f aca="false">IFERROR(K350/J350,0)</f>
        <v>0.0494096184057163</v>
      </c>
      <c r="R350" s="11" t="str">
        <f aca="false">IF(COUNTIF($A$2:A350,A350)&gt;1,"Duplicate - Remove","Unique")</f>
        <v>Unique</v>
      </c>
      <c r="S350" s="11" t="str">
        <f aca="false">TRIM(IF(Raw_Data!G350="","Region missing; ","")&amp;IF(Raw_Data!H350="","Spend imputed; ","")&amp;IF(Raw_Data!L350="","Revenue imputed; ","")&amp;IF(Raw_Data!J350&lt;0,"Clicks corrected; ",""))</f>
        <v/>
      </c>
    </row>
    <row r="351" customFormat="false" ht="15" hidden="false" customHeight="true" outlineLevel="0" collapsed="false">
      <c r="A351" s="11" t="n">
        <f aca="false">Raw_Data!A351</f>
        <v>1353</v>
      </c>
      <c r="B351" s="11" t="str">
        <f aca="false">PROPER(TRIM(Raw_Data!B351))</f>
        <v>Monsoon Skincare Push</v>
      </c>
      <c r="C351" s="11" t="str">
        <f aca="false">IFERROR(INDEX(Lookup_Tables!$B$2:$B$26,MATCH(UPPER(TRIM(Raw_Data!C351)),Lookup_Tables!$C$2:$C$26,0)),"Unknown")</f>
        <v>Instagram</v>
      </c>
      <c r="D351" s="12" t="n">
        <f aca="false">IFERROR(IF(ISNUMBER(SEARCH("/",Raw_Data!D351)),DATE(VALUE(RIGHT(Raw_Data!D351,4)),VALUE(MID(Raw_Data!D351,FIND("/",Raw_Data!D351)+1,FIND("/",Raw_Data!D351,FIND("/",Raw_Data!D351)+1)-FIND("/",Raw_Data!D351)-1)),VALUE(LEFT(Raw_Data!D351,FIND("/",Raw_Data!D351)-1))),IF(ISNUMBER(VALUE(LEFT(Raw_Data!D351,4))),DATE(VALUE(LEFT(Raw_Data!D351,4)),VALUE(MID(Raw_Data!D351,6,2)),VALUE(MID(Raw_Data!D351,9,2))),DATEVALUE(Raw_Data!D351))),"")</f>
        <v>45582</v>
      </c>
      <c r="E351" s="12" t="n">
        <f aca="false">IFERROR(IF(ISNUMBER(SEARCH("/",Raw_Data!E351)),DATE(VALUE(RIGHT(Raw_Data!E351,4)),VALUE(MID(Raw_Data!E351,FIND("/",Raw_Data!E351)+1,FIND("/",Raw_Data!E351,FIND("/",Raw_Data!E351)+1)-FIND("/",Raw_Data!E351)-1)),VALUE(LEFT(Raw_Data!E351,FIND("/",Raw_Data!E351)-1))),IF(ISNUMBER(VALUE(LEFT(Raw_Data!E351,4))),DATE(VALUE(LEFT(Raw_Data!E351,4)),VALUE(MID(Raw_Data!E351,6,2)),VALUE(MID(Raw_Data!E351,9,2))),DATEVALUE(Raw_Data!E351))),"")</f>
        <v>45603</v>
      </c>
      <c r="F351" s="11" t="str">
        <f aca="false">Raw_Data!F351</f>
        <v>Female 45+</v>
      </c>
      <c r="G351" s="11" t="str">
        <f aca="false">IF(TRIM(Raw_Data!G351)="","Unspecified",IFERROR(INDEX(Lookup_Tables!$F$2:$F$24,MATCH(UPPER(TRIM(Raw_Data!G351)),Lookup_Tables!$G$2:$G$24,0)),"Unknown"))</f>
        <v>East</v>
      </c>
      <c r="H351" s="11" t="n">
        <f aca="false">IF(Raw_Data!H351="",ROUND(AVERAGEIFS(Raw_Data!$H$2:$H$839,Raw_Data!$C$2:$C$839,Raw_Data!C351),2),Raw_Data!H351)</f>
        <v>21864.18</v>
      </c>
      <c r="I351" s="11" t="n">
        <f aca="false">Raw_Data!I351</f>
        <v>708376</v>
      </c>
      <c r="J351" s="11" t="n">
        <f aca="false">IF(Raw_Data!J351&lt;0,ABS(Raw_Data!J351),Raw_Data!J351)</f>
        <v>16037</v>
      </c>
      <c r="K351" s="11" t="n">
        <f aca="false">Raw_Data!K351</f>
        <v>1266</v>
      </c>
      <c r="L351" s="11" t="n">
        <f aca="false">IF(Raw_Data!L351="",ROUND(AVERAGEIFS(Raw_Data!$L$2:$L$839,Raw_Data!$C$2:$C$839,Raw_Data!C351),2),Raw_Data!L351)</f>
        <v>1136512.9</v>
      </c>
      <c r="M351" s="13" t="n">
        <f aca="false">IFERROR(J351/I351,0)</f>
        <v>0.0226391069149717</v>
      </c>
      <c r="N351" s="14" t="n">
        <f aca="false">IFERROR(H351/J351,0)</f>
        <v>1.36335848350689</v>
      </c>
      <c r="O351" s="14" t="n">
        <f aca="false">IFERROR(H351/K351,0)</f>
        <v>17.2702843601896</v>
      </c>
      <c r="P351" s="15" t="n">
        <f aca="false">IFERROR(L351/H351,0)</f>
        <v>51.9805865118198</v>
      </c>
      <c r="Q351" s="13" t="n">
        <f aca="false">IFERROR(K351/J351,0)</f>
        <v>0.0789424455945626</v>
      </c>
      <c r="R351" s="11" t="str">
        <f aca="false">IF(COUNTIF($A$2:A351,A351)&gt;1,"Duplicate - Remove","Unique")</f>
        <v>Unique</v>
      </c>
      <c r="S351" s="11" t="str">
        <f aca="false">TRIM(IF(Raw_Data!G351="","Region missing; ","")&amp;IF(Raw_Data!H351="","Spend imputed; ","")&amp;IF(Raw_Data!L351="","Revenue imputed; ","")&amp;IF(Raw_Data!J351&lt;0,"Clicks corrected; ",""))</f>
        <v/>
      </c>
    </row>
    <row r="352" customFormat="false" ht="15" hidden="false" customHeight="true" outlineLevel="0" collapsed="false">
      <c r="A352" s="11" t="n">
        <f aca="false">Raw_Data!A352</f>
        <v>1216</v>
      </c>
      <c r="B352" s="11" t="str">
        <f aca="false">PROPER(TRIM(Raw_Data!B352))</f>
        <v>Monsoon Skincare Push</v>
      </c>
      <c r="C352" s="11" t="str">
        <f aca="false">IFERROR(INDEX(Lookup_Tables!$B$2:$B$26,MATCH(UPPER(TRIM(Raw_Data!C352)),Lookup_Tables!$C$2:$C$26,0)),"Unknown")</f>
        <v>Google Ads</v>
      </c>
      <c r="D352" s="12" t="n">
        <f aca="false">IFERROR(IF(ISNUMBER(SEARCH("/",Raw_Data!D352)),DATE(VALUE(RIGHT(Raw_Data!D352,4)),VALUE(MID(Raw_Data!D352,FIND("/",Raw_Data!D352)+1,FIND("/",Raw_Data!D352,FIND("/",Raw_Data!D352)+1)-FIND("/",Raw_Data!D352)-1)),VALUE(LEFT(Raw_Data!D352,FIND("/",Raw_Data!D352)-1))),IF(ISNUMBER(VALUE(LEFT(Raw_Data!D352,4))),DATE(VALUE(LEFT(Raw_Data!D352,4)),VALUE(MID(Raw_Data!D352,6,2)),VALUE(MID(Raw_Data!D352,9,2))),DATEVALUE(Raw_Data!D352))),"")</f>
        <v>45440</v>
      </c>
      <c r="E352" s="12" t="n">
        <f aca="false">IFERROR(IF(ISNUMBER(SEARCH("/",Raw_Data!E352)),DATE(VALUE(RIGHT(Raw_Data!E352,4)),VALUE(MID(Raw_Data!E352,FIND("/",Raw_Data!E352)+1,FIND("/",Raw_Data!E352,FIND("/",Raw_Data!E352)+1)-FIND("/",Raw_Data!E352)-1)),VALUE(LEFT(Raw_Data!E352,FIND("/",Raw_Data!E352)-1))),IF(ISNUMBER(VALUE(LEFT(Raw_Data!E352,4))),DATE(VALUE(LEFT(Raw_Data!E352,4)),VALUE(MID(Raw_Data!E352,6,2)),VALUE(MID(Raw_Data!E352,9,2))),DATEVALUE(Raw_Data!E352))),"")</f>
        <v>45466</v>
      </c>
      <c r="F352" s="11" t="str">
        <f aca="false">Raw_Data!F352</f>
        <v>Female 25-34</v>
      </c>
      <c r="G352" s="11" t="str">
        <f aca="false">IF(TRIM(Raw_Data!G352)="","Unspecified",IFERROR(INDEX(Lookup_Tables!$F$2:$F$24,MATCH(UPPER(TRIM(Raw_Data!G352)),Lookup_Tables!$G$2:$G$24,0)),"Unknown"))</f>
        <v>North</v>
      </c>
      <c r="H352" s="11" t="n">
        <f aca="false">IF(Raw_Data!H352="",ROUND(AVERAGEIFS(Raw_Data!$H$2:$H$839,Raw_Data!$C$2:$C$839,Raw_Data!C352),2),Raw_Data!H352)</f>
        <v>27548.13</v>
      </c>
      <c r="I352" s="11" t="n">
        <f aca="false">Raw_Data!I352</f>
        <v>549184</v>
      </c>
      <c r="J352" s="11" t="n">
        <f aca="false">IF(Raw_Data!J352&lt;0,ABS(Raw_Data!J352),Raw_Data!J352)</f>
        <v>12311</v>
      </c>
      <c r="K352" s="11" t="n">
        <f aca="false">Raw_Data!K352</f>
        <v>943</v>
      </c>
      <c r="L352" s="11" t="n">
        <f aca="false">IF(Raw_Data!L352="",ROUND(AVERAGEIFS(Raw_Data!$L$2:$L$839,Raw_Data!$C$2:$C$839,Raw_Data!C352),2),Raw_Data!L352)</f>
        <v>818383.14</v>
      </c>
      <c r="M352" s="13" t="n">
        <f aca="false">IFERROR(J352/I352,0)</f>
        <v>0.0224168948840462</v>
      </c>
      <c r="N352" s="14" t="n">
        <f aca="false">IFERROR(H352/J352,0)</f>
        <v>2.23768418487532</v>
      </c>
      <c r="O352" s="14" t="n">
        <f aca="false">IFERROR(H352/K352,0)</f>
        <v>29.2132873806999</v>
      </c>
      <c r="P352" s="15" t="n">
        <f aca="false">IFERROR(L352/H352,0)</f>
        <v>29.7073935690009</v>
      </c>
      <c r="Q352" s="13" t="n">
        <f aca="false">IFERROR(K352/J352,0)</f>
        <v>0.0765981642433596</v>
      </c>
      <c r="R352" s="11" t="str">
        <f aca="false">IF(COUNTIF($A$2:A352,A352)&gt;1,"Duplicate - Remove","Unique")</f>
        <v>Unique</v>
      </c>
      <c r="S352" s="11" t="str">
        <f aca="false">TRIM(IF(Raw_Data!G352="","Region missing; ","")&amp;IF(Raw_Data!H352="","Spend imputed; ","")&amp;IF(Raw_Data!L352="","Revenue imputed; ","")&amp;IF(Raw_Data!J352&lt;0,"Clicks corrected; ",""))</f>
        <v/>
      </c>
    </row>
    <row r="353" customFormat="false" ht="15" hidden="false" customHeight="true" outlineLevel="0" collapsed="false">
      <c r="A353" s="11" t="n">
        <f aca="false">Raw_Data!A353</f>
        <v>1636</v>
      </c>
      <c r="B353" s="11" t="str">
        <f aca="false">PROPER(TRIM(Raw_Data!B353))</f>
        <v>Monsoon Skincare Push</v>
      </c>
      <c r="C353" s="11" t="str">
        <f aca="false">IFERROR(INDEX(Lookup_Tables!$B$2:$B$26,MATCH(UPPER(TRIM(Raw_Data!C353)),Lookup_Tables!$C$2:$C$26,0)),"Unknown")</f>
        <v>Email</v>
      </c>
      <c r="D353" s="12" t="n">
        <f aca="false">IFERROR(IF(ISNUMBER(SEARCH("/",Raw_Data!D353)),DATE(VALUE(RIGHT(Raw_Data!D353,4)),VALUE(MID(Raw_Data!D353,FIND("/",Raw_Data!D353)+1,FIND("/",Raw_Data!D353,FIND("/",Raw_Data!D353)+1)-FIND("/",Raw_Data!D353)-1)),VALUE(LEFT(Raw_Data!D353,FIND("/",Raw_Data!D353)-1))),IF(ISNUMBER(VALUE(LEFT(Raw_Data!D353,4))),DATE(VALUE(LEFT(Raw_Data!D353,4)),VALUE(MID(Raw_Data!D353,6,2)),VALUE(MID(Raw_Data!D353,9,2))),DATEVALUE(Raw_Data!D353))),"")</f>
        <v>45503</v>
      </c>
      <c r="E353" s="12" t="n">
        <f aca="false">IFERROR(IF(ISNUMBER(SEARCH("/",Raw_Data!E353)),DATE(VALUE(RIGHT(Raw_Data!E353,4)),VALUE(MID(Raw_Data!E353,FIND("/",Raw_Data!E353)+1,FIND("/",Raw_Data!E353,FIND("/",Raw_Data!E353)+1)-FIND("/",Raw_Data!E353)-1)),VALUE(LEFT(Raw_Data!E353,FIND("/",Raw_Data!E353)-1))),IF(ISNUMBER(VALUE(LEFT(Raw_Data!E353,4))),DATE(VALUE(LEFT(Raw_Data!E353,4)),VALUE(MID(Raw_Data!E353,6,2)),VALUE(MID(Raw_Data!E353,9,2))),DATEVALUE(Raw_Data!E353))),"")</f>
        <v>45529</v>
      </c>
      <c r="F353" s="11" t="str">
        <f aca="false">Raw_Data!F353</f>
        <v>Male 35-44</v>
      </c>
      <c r="G353" s="11" t="str">
        <f aca="false">IF(TRIM(Raw_Data!G353)="","Unspecified",IFERROR(INDEX(Lookup_Tables!$F$2:$F$24,MATCH(UPPER(TRIM(Raw_Data!G353)),Lookup_Tables!$G$2:$G$24,0)),"Unknown"))</f>
        <v>Central</v>
      </c>
      <c r="H353" s="11" t="n">
        <f aca="false">IF(Raw_Data!H353="",ROUND(AVERAGEIFS(Raw_Data!$H$2:$H$839,Raw_Data!$C$2:$C$839,Raw_Data!C353),2),Raw_Data!H353)</f>
        <v>1993.65</v>
      </c>
      <c r="I353" s="11" t="n">
        <f aca="false">Raw_Data!I353</f>
        <v>42019</v>
      </c>
      <c r="J353" s="11" t="n">
        <f aca="false">IF(Raw_Data!J353&lt;0,ABS(Raw_Data!J353),Raw_Data!J353)</f>
        <v>818</v>
      </c>
      <c r="K353" s="11" t="n">
        <f aca="false">Raw_Data!K353</f>
        <v>23</v>
      </c>
      <c r="L353" s="11" t="n">
        <f aca="false">IF(Raw_Data!L353="",ROUND(AVERAGEIFS(Raw_Data!$L$2:$L$839,Raw_Data!$C$2:$C$839,Raw_Data!C353),2),Raw_Data!L353)</f>
        <v>19056.36</v>
      </c>
      <c r="M353" s="13" t="n">
        <f aca="false">IFERROR(J353/I353,0)</f>
        <v>0.0194673838025655</v>
      </c>
      <c r="N353" s="14" t="n">
        <f aca="false">IFERROR(H353/J353,0)</f>
        <v>2.43722493887531</v>
      </c>
      <c r="O353" s="14" t="n">
        <f aca="false">IFERROR(H353/K353,0)</f>
        <v>86.6804347826087</v>
      </c>
      <c r="P353" s="15" t="n">
        <f aca="false">IFERROR(L353/H353,0)</f>
        <v>9.55852832743962</v>
      </c>
      <c r="Q353" s="13" t="n">
        <f aca="false">IFERROR(K353/J353,0)</f>
        <v>0.0281173594132029</v>
      </c>
      <c r="R353" s="11" t="str">
        <f aca="false">IF(COUNTIF($A$2:A353,A353)&gt;1,"Duplicate - Remove","Unique")</f>
        <v>Unique</v>
      </c>
      <c r="S353" s="11" t="str">
        <f aca="false">TRIM(IF(Raw_Data!G353="","Region missing; ","")&amp;IF(Raw_Data!H353="","Spend imputed; ","")&amp;IF(Raw_Data!L353="","Revenue imputed; ","")&amp;IF(Raw_Data!J353&lt;0,"Clicks corrected; ",""))</f>
        <v/>
      </c>
    </row>
    <row r="354" customFormat="false" ht="15" hidden="false" customHeight="true" outlineLevel="0" collapsed="false">
      <c r="A354" s="11" t="n">
        <f aca="false">Raw_Data!A354</f>
        <v>1320</v>
      </c>
      <c r="B354" s="11" t="str">
        <f aca="false">PROPER(TRIM(Raw_Data!B354))</f>
        <v>Festive Gift Bundle</v>
      </c>
      <c r="C354" s="11" t="str">
        <f aca="false">IFERROR(INDEX(Lookup_Tables!$B$2:$B$26,MATCH(UPPER(TRIM(Raw_Data!C354)),Lookup_Tables!$C$2:$C$26,0)),"Unknown")</f>
        <v>YouTube</v>
      </c>
      <c r="D354" s="12" t="n">
        <f aca="false">IFERROR(IF(ISNUMBER(SEARCH("/",Raw_Data!D354)),DATE(VALUE(RIGHT(Raw_Data!D354,4)),VALUE(MID(Raw_Data!D354,FIND("/",Raw_Data!D354)+1,FIND("/",Raw_Data!D354,FIND("/",Raw_Data!D354)+1)-FIND("/",Raw_Data!D354)-1)),VALUE(LEFT(Raw_Data!D354,FIND("/",Raw_Data!D354)-1))),IF(ISNUMBER(VALUE(LEFT(Raw_Data!D354,4))),DATE(VALUE(LEFT(Raw_Data!D354,4)),VALUE(MID(Raw_Data!D354,6,2)),VALUE(MID(Raw_Data!D354,9,2))),DATEVALUE(Raw_Data!D354))),"")</f>
        <v>45595</v>
      </c>
      <c r="E354" s="12" t="n">
        <f aca="false">IFERROR(IF(ISNUMBER(SEARCH("/",Raw_Data!E354)),DATE(VALUE(RIGHT(Raw_Data!E354,4)),VALUE(MID(Raw_Data!E354,FIND("/",Raw_Data!E354)+1,FIND("/",Raw_Data!E354,FIND("/",Raw_Data!E354)+1)-FIND("/",Raw_Data!E354)-1)),VALUE(LEFT(Raw_Data!E354,FIND("/",Raw_Data!E354)-1))),IF(ISNUMBER(VALUE(LEFT(Raw_Data!E354,4))),DATE(VALUE(LEFT(Raw_Data!E354,4)),VALUE(MID(Raw_Data!E354,6,2)),VALUE(MID(Raw_Data!E354,9,2))),DATEVALUE(Raw_Data!E354))),"")</f>
        <v>45618</v>
      </c>
      <c r="F354" s="11" t="str">
        <f aca="false">Raw_Data!F354</f>
        <v>Male 45+</v>
      </c>
      <c r="G354" s="11" t="str">
        <f aca="false">IF(TRIM(Raw_Data!G354)="","Unspecified",IFERROR(INDEX(Lookup_Tables!$F$2:$F$24,MATCH(UPPER(TRIM(Raw_Data!G354)),Lookup_Tables!$G$2:$G$24,0)),"Unknown"))</f>
        <v>North</v>
      </c>
      <c r="H354" s="11" t="n">
        <f aca="false">IF(Raw_Data!H354="",ROUND(AVERAGEIFS(Raw_Data!$H$2:$H$839,Raw_Data!$C$2:$C$839,Raw_Data!C354),2),Raw_Data!H354)</f>
        <v>46429.97</v>
      </c>
      <c r="I354" s="11" t="n">
        <f aca="false">Raw_Data!I354</f>
        <v>1563629</v>
      </c>
      <c r="J354" s="11" t="n">
        <f aca="false">IF(Raw_Data!J354&lt;0,ABS(Raw_Data!J354),Raw_Data!J354)</f>
        <v>49959</v>
      </c>
      <c r="K354" s="11" t="n">
        <f aca="false">Raw_Data!K354</f>
        <v>1304</v>
      </c>
      <c r="L354" s="11" t="n">
        <f aca="false">IF(Raw_Data!L354="",ROUND(AVERAGEIFS(Raw_Data!$L$2:$L$839,Raw_Data!$C$2:$C$839,Raw_Data!C354),2),Raw_Data!L354)</f>
        <v>664639.23</v>
      </c>
      <c r="M354" s="13" t="n">
        <f aca="false">IFERROR(J354/I354,0)</f>
        <v>0.031950673721196</v>
      </c>
      <c r="N354" s="14" t="n">
        <f aca="false">IFERROR(H354/J354,0)</f>
        <v>0.929361476410657</v>
      </c>
      <c r="O354" s="14" t="n">
        <f aca="false">IFERROR(H354/K354,0)</f>
        <v>35.6058052147239</v>
      </c>
      <c r="P354" s="15" t="n">
        <f aca="false">IFERROR(L354/H354,0)</f>
        <v>14.3148752842184</v>
      </c>
      <c r="Q354" s="13" t="n">
        <f aca="false">IFERROR(K354/J354,0)</f>
        <v>0.0261014031505835</v>
      </c>
      <c r="R354" s="11" t="str">
        <f aca="false">IF(COUNTIF($A$2:A354,A354)&gt;1,"Duplicate - Remove","Unique")</f>
        <v>Unique</v>
      </c>
      <c r="S354" s="11" t="str">
        <f aca="false">TRIM(IF(Raw_Data!G354="","Region missing; ","")&amp;IF(Raw_Data!H354="","Spend imputed; ","")&amp;IF(Raw_Data!L354="","Revenue imputed; ","")&amp;IF(Raw_Data!J354&lt;0,"Clicks corrected; ",""))</f>
        <v/>
      </c>
    </row>
    <row r="355" customFormat="false" ht="15" hidden="false" customHeight="true" outlineLevel="0" collapsed="false">
      <c r="A355" s="11" t="n">
        <f aca="false">Raw_Data!A355</f>
        <v>1367</v>
      </c>
      <c r="B355" s="11" t="str">
        <f aca="false">PROPER(TRIM(Raw_Data!B355))</f>
        <v>Anti-Ageing Serum Push</v>
      </c>
      <c r="C355" s="11" t="str">
        <f aca="false">IFERROR(INDEX(Lookup_Tables!$B$2:$B$26,MATCH(UPPER(TRIM(Raw_Data!C355)),Lookup_Tables!$C$2:$C$26,0)),"Unknown")</f>
        <v>Instagram</v>
      </c>
      <c r="D355" s="12" t="n">
        <f aca="false">IFERROR(IF(ISNUMBER(SEARCH("/",Raw_Data!D355)),DATE(VALUE(RIGHT(Raw_Data!D355,4)),VALUE(MID(Raw_Data!D355,FIND("/",Raw_Data!D355)+1,FIND("/",Raw_Data!D355,FIND("/",Raw_Data!D355)+1)-FIND("/",Raw_Data!D355)-1)),VALUE(LEFT(Raw_Data!D355,FIND("/",Raw_Data!D355)-1))),IF(ISNUMBER(VALUE(LEFT(Raw_Data!D355,4))),DATE(VALUE(LEFT(Raw_Data!D355,4)),VALUE(MID(Raw_Data!D355,6,2)),VALUE(MID(Raw_Data!D355,9,2))),DATEVALUE(Raw_Data!D355))),"")</f>
        <v>45389</v>
      </c>
      <c r="E355" s="12" t="n">
        <f aca="false">IFERROR(IF(ISNUMBER(SEARCH("/",Raw_Data!E355)),DATE(VALUE(RIGHT(Raw_Data!E355,4)),VALUE(MID(Raw_Data!E355,FIND("/",Raw_Data!E355)+1,FIND("/",Raw_Data!E355,FIND("/",Raw_Data!E355)+1)-FIND("/",Raw_Data!E355)-1)),VALUE(LEFT(Raw_Data!E355,FIND("/",Raw_Data!E355)-1))),IF(ISNUMBER(VALUE(LEFT(Raw_Data!E355,4))),DATE(VALUE(LEFT(Raw_Data!E355,4)),VALUE(MID(Raw_Data!E355,6,2)),VALUE(MID(Raw_Data!E355,9,2))),DATEVALUE(Raw_Data!E355))),"")</f>
        <v>45419</v>
      </c>
      <c r="F355" s="11" t="str">
        <f aca="false">Raw_Data!F355</f>
        <v>Male 18-24</v>
      </c>
      <c r="G355" s="11" t="str">
        <f aca="false">IF(TRIM(Raw_Data!G355)="","Unspecified",IFERROR(INDEX(Lookup_Tables!$F$2:$F$24,MATCH(UPPER(TRIM(Raw_Data!G355)),Lookup_Tables!$G$2:$G$24,0)),"Unknown"))</f>
        <v>West</v>
      </c>
      <c r="H355" s="11" t="n">
        <f aca="false">IF(Raw_Data!H355="",ROUND(AVERAGEIFS(Raw_Data!$H$2:$H$839,Raw_Data!$C$2:$C$839,Raw_Data!C355),2),Raw_Data!H355)</f>
        <v>22974.02</v>
      </c>
      <c r="I355" s="11" t="n">
        <f aca="false">Raw_Data!I355</f>
        <v>628436</v>
      </c>
      <c r="J355" s="11" t="n">
        <f aca="false">IF(Raw_Data!J355&lt;0,ABS(Raw_Data!J355),Raw_Data!J355)</f>
        <v>5596</v>
      </c>
      <c r="K355" s="11" t="n">
        <f aca="false">Raw_Data!K355</f>
        <v>391</v>
      </c>
      <c r="L355" s="11" t="n">
        <f aca="false">IF(Raw_Data!L355="",ROUND(AVERAGEIFS(Raw_Data!$L$2:$L$839,Raw_Data!$C$2:$C$839,Raw_Data!C355),2),Raw_Data!L355)</f>
        <v>477066.94</v>
      </c>
      <c r="M355" s="13" t="n">
        <f aca="false">IFERROR(J355/I355,0)</f>
        <v>0.00890464581914467</v>
      </c>
      <c r="N355" s="14" t="n">
        <f aca="false">IFERROR(H355/J355,0)</f>
        <v>4.10543602573267</v>
      </c>
      <c r="O355" s="14" t="n">
        <f aca="false">IFERROR(H355/K355,0)</f>
        <v>58.757084398977</v>
      </c>
      <c r="P355" s="15" t="n">
        <f aca="false">IFERROR(L355/H355,0)</f>
        <v>20.7654968525317</v>
      </c>
      <c r="Q355" s="13" t="n">
        <f aca="false">IFERROR(K355/J355,0)</f>
        <v>0.0698713366690493</v>
      </c>
      <c r="R355" s="11" t="str">
        <f aca="false">IF(COUNTIF($A$2:A355,A355)&gt;1,"Duplicate - Remove","Unique")</f>
        <v>Unique</v>
      </c>
      <c r="S355" s="11" t="str">
        <f aca="false">TRIM(IF(Raw_Data!G355="","Region missing; ","")&amp;IF(Raw_Data!H355="","Spend imputed; ","")&amp;IF(Raw_Data!L355="","Revenue imputed; ","")&amp;IF(Raw_Data!J355&lt;0,"Clicks corrected; ",""))</f>
        <v/>
      </c>
    </row>
    <row r="356" customFormat="false" ht="15" hidden="false" customHeight="true" outlineLevel="0" collapsed="false">
      <c r="A356" s="11" t="n">
        <f aca="false">Raw_Data!A356</f>
        <v>1307</v>
      </c>
      <c r="B356" s="11" t="str">
        <f aca="false">PROPER(TRIM(Raw_Data!B356))</f>
        <v>Hair Care Revamp</v>
      </c>
      <c r="C356" s="11" t="str">
        <f aca="false">IFERROR(INDEX(Lookup_Tables!$B$2:$B$26,MATCH(UPPER(TRIM(Raw_Data!C356)),Lookup_Tables!$C$2:$C$26,0)),"Unknown")</f>
        <v>Facebook</v>
      </c>
      <c r="D356" s="12" t="n">
        <f aca="false">IFERROR(IF(ISNUMBER(SEARCH("/",Raw_Data!D356)),DATE(VALUE(RIGHT(Raw_Data!D356,4)),VALUE(MID(Raw_Data!D356,FIND("/",Raw_Data!D356)+1,FIND("/",Raw_Data!D356,FIND("/",Raw_Data!D356)+1)-FIND("/",Raw_Data!D356)-1)),VALUE(LEFT(Raw_Data!D356,FIND("/",Raw_Data!D356)-1))),IF(ISNUMBER(VALUE(LEFT(Raw_Data!D356,4))),DATE(VALUE(LEFT(Raw_Data!D356,4)),VALUE(MID(Raw_Data!D356,6,2)),VALUE(MID(Raw_Data!D356,9,2))),DATEVALUE(Raw_Data!D356))),"")</f>
        <v>45520</v>
      </c>
      <c r="E356" s="12" t="n">
        <f aca="false">IFERROR(IF(ISNUMBER(SEARCH("/",Raw_Data!E356)),DATE(VALUE(RIGHT(Raw_Data!E356,4)),VALUE(MID(Raw_Data!E356,FIND("/",Raw_Data!E356)+1,FIND("/",Raw_Data!E356,FIND("/",Raw_Data!E356)+1)-FIND("/",Raw_Data!E356)-1)),VALUE(LEFT(Raw_Data!E356,FIND("/",Raw_Data!E356)-1))),IF(ISNUMBER(VALUE(LEFT(Raw_Data!E356,4))),DATE(VALUE(LEFT(Raw_Data!E356,4)),VALUE(MID(Raw_Data!E356,6,2)),VALUE(MID(Raw_Data!E356,9,2))),DATEVALUE(Raw_Data!E356))),"")</f>
        <v>45536</v>
      </c>
      <c r="F356" s="11" t="str">
        <f aca="false">Raw_Data!F356</f>
        <v>Female 25-34</v>
      </c>
      <c r="G356" s="11" t="str">
        <f aca="false">IF(TRIM(Raw_Data!G356)="","Unspecified",IFERROR(INDEX(Lookup_Tables!$F$2:$F$24,MATCH(UPPER(TRIM(Raw_Data!G356)),Lookup_Tables!$G$2:$G$24,0)),"Unknown"))</f>
        <v>North</v>
      </c>
      <c r="H356" s="11" t="n">
        <f aca="false">IF(Raw_Data!H356="",ROUND(AVERAGEIFS(Raw_Data!$H$2:$H$839,Raw_Data!$C$2:$C$839,Raw_Data!C356),2),Raw_Data!H356)</f>
        <v>37911.03</v>
      </c>
      <c r="I356" s="11" t="n">
        <f aca="false">Raw_Data!I356</f>
        <v>807406</v>
      </c>
      <c r="J356" s="11" t="n">
        <f aca="false">IF(Raw_Data!J356&lt;0,ABS(Raw_Data!J356),Raw_Data!J356)</f>
        <v>4861</v>
      </c>
      <c r="K356" s="11" t="n">
        <f aca="false">Raw_Data!K356</f>
        <v>259</v>
      </c>
      <c r="L356" s="11" t="n">
        <f aca="false">IF(Raw_Data!L356="",ROUND(AVERAGEIFS(Raw_Data!$L$2:$L$839,Raw_Data!$C$2:$C$839,Raw_Data!C356),2),Raw_Data!L356)</f>
        <v>112012</v>
      </c>
      <c r="M356" s="13" t="n">
        <f aca="false">IFERROR(J356/I356,0)</f>
        <v>0.00602051508163179</v>
      </c>
      <c r="N356" s="14" t="n">
        <f aca="false">IFERROR(H356/J356,0)</f>
        <v>7.7990187204279</v>
      </c>
      <c r="O356" s="14" t="n">
        <f aca="false">IFERROR(H356/K356,0)</f>
        <v>146.374633204633</v>
      </c>
      <c r="P356" s="15" t="n">
        <f aca="false">IFERROR(L356/H356,0)</f>
        <v>2.95460186652803</v>
      </c>
      <c r="Q356" s="13" t="n">
        <f aca="false">IFERROR(K356/J356,0)</f>
        <v>0.0532812178564081</v>
      </c>
      <c r="R356" s="11" t="str">
        <f aca="false">IF(COUNTIF($A$2:A356,A356)&gt;1,"Duplicate - Remove","Unique")</f>
        <v>Unique</v>
      </c>
      <c r="S356" s="11" t="str">
        <f aca="false">TRIM(IF(Raw_Data!G356="","Region missing; ","")&amp;IF(Raw_Data!H356="","Spend imputed; ","")&amp;IF(Raw_Data!L356="","Revenue imputed; ","")&amp;IF(Raw_Data!J356&lt;0,"Clicks corrected; ",""))</f>
        <v/>
      </c>
    </row>
    <row r="357" customFormat="false" ht="15" hidden="false" customHeight="true" outlineLevel="0" collapsed="false">
      <c r="A357" s="11" t="n">
        <f aca="false">Raw_Data!A357</f>
        <v>1207</v>
      </c>
      <c r="B357" s="11" t="str">
        <f aca="false">PROPER(TRIM(Raw_Data!B357))</f>
        <v>New Year Wellness</v>
      </c>
      <c r="C357" s="11" t="str">
        <f aca="false">IFERROR(INDEX(Lookup_Tables!$B$2:$B$26,MATCH(UPPER(TRIM(Raw_Data!C357)),Lookup_Tables!$C$2:$C$26,0)),"Unknown")</f>
        <v>Instagram</v>
      </c>
      <c r="D357" s="12" t="n">
        <f aca="false">IFERROR(IF(ISNUMBER(SEARCH("/",Raw_Data!D357)),DATE(VALUE(RIGHT(Raw_Data!D357,4)),VALUE(MID(Raw_Data!D357,FIND("/",Raw_Data!D357)+1,FIND("/",Raw_Data!D357,FIND("/",Raw_Data!D357)+1)-FIND("/",Raw_Data!D357)-1)),VALUE(LEFT(Raw_Data!D357,FIND("/",Raw_Data!D357)-1))),IF(ISNUMBER(VALUE(LEFT(Raw_Data!D357,4))),DATE(VALUE(LEFT(Raw_Data!D357,4)),VALUE(MID(Raw_Data!D357,6,2)),VALUE(MID(Raw_Data!D357,9,2))),DATEVALUE(Raw_Data!D357))),"")</f>
        <v>45593</v>
      </c>
      <c r="E357" s="12" t="n">
        <f aca="false">IFERROR(IF(ISNUMBER(SEARCH("/",Raw_Data!E357)),DATE(VALUE(RIGHT(Raw_Data!E357,4)),VALUE(MID(Raw_Data!E357,FIND("/",Raw_Data!E357)+1,FIND("/",Raw_Data!E357,FIND("/",Raw_Data!E357)+1)-FIND("/",Raw_Data!E357)-1)),VALUE(LEFT(Raw_Data!E357,FIND("/",Raw_Data!E357)-1))),IF(ISNUMBER(VALUE(LEFT(Raw_Data!E357,4))),DATE(VALUE(LEFT(Raw_Data!E357,4)),VALUE(MID(Raw_Data!E357,6,2)),VALUE(MID(Raw_Data!E357,9,2))),DATEVALUE(Raw_Data!E357))),"")</f>
        <v>45615</v>
      </c>
      <c r="F357" s="11" t="str">
        <f aca="false">Raw_Data!F357</f>
        <v>Male 35-44</v>
      </c>
      <c r="G357" s="11" t="str">
        <f aca="false">IF(TRIM(Raw_Data!G357)="","Unspecified",IFERROR(INDEX(Lookup_Tables!$F$2:$F$24,MATCH(UPPER(TRIM(Raw_Data!G357)),Lookup_Tables!$G$2:$G$24,0)),"Unknown"))</f>
        <v>West</v>
      </c>
      <c r="H357" s="11" t="n">
        <f aca="false">IF(Raw_Data!H357="",ROUND(AVERAGEIFS(Raw_Data!$H$2:$H$839,Raw_Data!$C$2:$C$839,Raw_Data!C357),2),Raw_Data!H357)</f>
        <v>39376.12</v>
      </c>
      <c r="I357" s="11" t="n">
        <f aca="false">Raw_Data!I357</f>
        <v>1354682</v>
      </c>
      <c r="J357" s="11" t="n">
        <f aca="false">IF(Raw_Data!J357&lt;0,ABS(Raw_Data!J357),Raw_Data!J357)</f>
        <v>45962</v>
      </c>
      <c r="K357" s="11" t="n">
        <f aca="false">Raw_Data!K357</f>
        <v>1406</v>
      </c>
      <c r="L357" s="11" t="n">
        <f aca="false">IF(Raw_Data!L357="",ROUND(AVERAGEIFS(Raw_Data!$L$2:$L$839,Raw_Data!$C$2:$C$839,Raw_Data!C357),2),Raw_Data!L357)</f>
        <v>853818.18</v>
      </c>
      <c r="M357" s="13" t="n">
        <f aca="false">IFERROR(J357/I357,0)</f>
        <v>0.0339282577018075</v>
      </c>
      <c r="N357" s="14" t="n">
        <f aca="false">IFERROR(H357/J357,0)</f>
        <v>0.856710325921413</v>
      </c>
      <c r="O357" s="14" t="n">
        <f aca="false">IFERROR(H357/K357,0)</f>
        <v>28.0057752489331</v>
      </c>
      <c r="P357" s="15" t="n">
        <f aca="false">IFERROR(L357/H357,0)</f>
        <v>21.6836544585906</v>
      </c>
      <c r="Q357" s="13" t="n">
        <f aca="false">IFERROR(K357/J357,0)</f>
        <v>0.0305904877942648</v>
      </c>
      <c r="R357" s="11" t="str">
        <f aca="false">IF(COUNTIF($A$2:A357,A357)&gt;1,"Duplicate - Remove","Unique")</f>
        <v>Unique</v>
      </c>
      <c r="S357" s="11" t="str">
        <f aca="false">TRIM(IF(Raw_Data!G357="","Region missing; ","")&amp;IF(Raw_Data!H357="","Spend imputed; ","")&amp;IF(Raw_Data!L357="","Revenue imputed; ","")&amp;IF(Raw_Data!J357&lt;0,"Clicks corrected; ",""))</f>
        <v/>
      </c>
    </row>
    <row r="358" customFormat="false" ht="15" hidden="false" customHeight="true" outlineLevel="0" collapsed="false">
      <c r="A358" s="11" t="n">
        <f aca="false">Raw_Data!A358</f>
        <v>1812</v>
      </c>
      <c r="B358" s="11" t="str">
        <f aca="false">PROPER(TRIM(Raw_Data!B358))</f>
        <v>Clearance Sale Push</v>
      </c>
      <c r="C358" s="11" t="str">
        <f aca="false">IFERROR(INDEX(Lookup_Tables!$B$2:$B$26,MATCH(UPPER(TRIM(Raw_Data!C358)),Lookup_Tables!$C$2:$C$26,0)),"Unknown")</f>
        <v>YouTube</v>
      </c>
      <c r="D358" s="12" t="n">
        <f aca="false">IFERROR(IF(ISNUMBER(SEARCH("/",Raw_Data!D358)),DATE(VALUE(RIGHT(Raw_Data!D358,4)),VALUE(MID(Raw_Data!D358,FIND("/",Raw_Data!D358)+1,FIND("/",Raw_Data!D358,FIND("/",Raw_Data!D358)+1)-FIND("/",Raw_Data!D358)-1)),VALUE(LEFT(Raw_Data!D358,FIND("/",Raw_Data!D358)-1))),IF(ISNUMBER(VALUE(LEFT(Raw_Data!D358,4))),DATE(VALUE(LEFT(Raw_Data!D358,4)),VALUE(MID(Raw_Data!D358,6,2)),VALUE(MID(Raw_Data!D358,9,2))),DATEVALUE(Raw_Data!D358))),"")</f>
        <v>45396</v>
      </c>
      <c r="E358" s="12" t="n">
        <f aca="false">IFERROR(IF(ISNUMBER(SEARCH("/",Raw_Data!E358)),DATE(VALUE(RIGHT(Raw_Data!E358,4)),VALUE(MID(Raw_Data!E358,FIND("/",Raw_Data!E358)+1,FIND("/",Raw_Data!E358,FIND("/",Raw_Data!E358)+1)-FIND("/",Raw_Data!E358)-1)),VALUE(LEFT(Raw_Data!E358,FIND("/",Raw_Data!E358)-1))),IF(ISNUMBER(VALUE(LEFT(Raw_Data!E358,4))),DATE(VALUE(LEFT(Raw_Data!E358,4)),VALUE(MID(Raw_Data!E358,6,2)),VALUE(MID(Raw_Data!E358,9,2))),DATEVALUE(Raw_Data!E358))),"")</f>
        <v>45415</v>
      </c>
      <c r="F358" s="11" t="str">
        <f aca="false">Raw_Data!F358</f>
        <v>Female 18-24</v>
      </c>
      <c r="G358" s="11" t="str">
        <f aca="false">IF(TRIM(Raw_Data!G358)="","Unspecified",IFERROR(INDEX(Lookup_Tables!$F$2:$F$24,MATCH(UPPER(TRIM(Raw_Data!G358)),Lookup_Tables!$G$2:$G$24,0)),"Unknown"))</f>
        <v>South</v>
      </c>
      <c r="H358" s="11" t="n">
        <f aca="false">IF(Raw_Data!H358="",ROUND(AVERAGEIFS(Raw_Data!$H$2:$H$839,Raw_Data!$C$2:$C$839,Raw_Data!C358),2),Raw_Data!H358)</f>
        <v>55123.55</v>
      </c>
      <c r="I358" s="11" t="n">
        <f aca="false">Raw_Data!I358</f>
        <v>1844730</v>
      </c>
      <c r="J358" s="11" t="n">
        <f aca="false">IF(Raw_Data!J358&lt;0,ABS(Raw_Data!J358),Raw_Data!J358)</f>
        <v>14902</v>
      </c>
      <c r="K358" s="11" t="n">
        <f aca="false">Raw_Data!K358</f>
        <v>1181</v>
      </c>
      <c r="L358" s="11" t="n">
        <f aca="false">IF(Raw_Data!L358="",ROUND(AVERAGEIFS(Raw_Data!$L$2:$L$839,Raw_Data!$C$2:$C$839,Raw_Data!C358),2),Raw_Data!L358)</f>
        <v>1352745.37</v>
      </c>
      <c r="M358" s="13" t="n">
        <f aca="false">IFERROR(J358/I358,0)</f>
        <v>0.00807814693749221</v>
      </c>
      <c r="N358" s="14" t="n">
        <f aca="false">IFERROR(H358/J358,0)</f>
        <v>3.69907059455107</v>
      </c>
      <c r="O358" s="14" t="n">
        <f aca="false">IFERROR(H358/K358,0)</f>
        <v>46.6753175275191</v>
      </c>
      <c r="P358" s="15" t="n">
        <f aca="false">IFERROR(L358/H358,0)</f>
        <v>24.540244051771</v>
      </c>
      <c r="Q358" s="13" t="n">
        <f aca="false">IFERROR(K358/J358,0)</f>
        <v>0.0792511072339283</v>
      </c>
      <c r="R358" s="11" t="str">
        <f aca="false">IF(COUNTIF($A$2:A358,A358)&gt;1,"Duplicate - Remove","Unique")</f>
        <v>Unique</v>
      </c>
      <c r="S358" s="11" t="str">
        <f aca="false">TRIM(IF(Raw_Data!G358="","Region missing; ","")&amp;IF(Raw_Data!H358="","Spend imputed; ","")&amp;IF(Raw_Data!L358="","Revenue imputed; ","")&amp;IF(Raw_Data!J358&lt;0,"Clicks corrected; ",""))</f>
        <v/>
      </c>
    </row>
    <row r="359" customFormat="false" ht="15" hidden="false" customHeight="true" outlineLevel="0" collapsed="false">
      <c r="A359" s="11" t="n">
        <f aca="false">Raw_Data!A359</f>
        <v>1611</v>
      </c>
      <c r="B359" s="11" t="str">
        <f aca="false">PROPER(TRIM(Raw_Data!B359))</f>
        <v>Festive Gift Bundle</v>
      </c>
      <c r="C359" s="11" t="str">
        <f aca="false">IFERROR(INDEX(Lookup_Tables!$B$2:$B$26,MATCH(UPPER(TRIM(Raw_Data!C359)),Lookup_Tables!$C$2:$C$26,0)),"Unknown")</f>
        <v>Email</v>
      </c>
      <c r="D359" s="12" t="n">
        <f aca="false">IFERROR(IF(ISNUMBER(SEARCH("/",Raw_Data!D359)),DATE(VALUE(RIGHT(Raw_Data!D359,4)),VALUE(MID(Raw_Data!D359,FIND("/",Raw_Data!D359)+1,FIND("/",Raw_Data!D359,FIND("/",Raw_Data!D359)+1)-FIND("/",Raw_Data!D359)-1)),VALUE(LEFT(Raw_Data!D359,FIND("/",Raw_Data!D359)-1))),IF(ISNUMBER(VALUE(LEFT(Raw_Data!D359,4))),DATE(VALUE(LEFT(Raw_Data!D359,4)),VALUE(MID(Raw_Data!D359,6,2)),VALUE(MID(Raw_Data!D359,9,2))),DATEVALUE(Raw_Data!D359))),"")</f>
        <v>45394</v>
      </c>
      <c r="E359" s="12" t="n">
        <f aca="false">IFERROR(IF(ISNUMBER(SEARCH("/",Raw_Data!E359)),DATE(VALUE(RIGHT(Raw_Data!E359,4)),VALUE(MID(Raw_Data!E359,FIND("/",Raw_Data!E359)+1,FIND("/",Raw_Data!E359,FIND("/",Raw_Data!E359)+1)-FIND("/",Raw_Data!E359)-1)),VALUE(LEFT(Raw_Data!E359,FIND("/",Raw_Data!E359)-1))),IF(ISNUMBER(VALUE(LEFT(Raw_Data!E359,4))),DATE(VALUE(LEFT(Raw_Data!E359,4)),VALUE(MID(Raw_Data!E359,6,2)),VALUE(MID(Raw_Data!E359,9,2))),DATEVALUE(Raw_Data!E359))),"")</f>
        <v>45404</v>
      </c>
      <c r="F359" s="11" t="str">
        <f aca="false">Raw_Data!F359</f>
        <v>Male 25-34</v>
      </c>
      <c r="G359" s="11" t="str">
        <f aca="false">IF(TRIM(Raw_Data!G359)="","Unspecified",IFERROR(INDEX(Lookup_Tables!$F$2:$F$24,MATCH(UPPER(TRIM(Raw_Data!G359)),Lookup_Tables!$G$2:$G$24,0)),"Unknown"))</f>
        <v>West</v>
      </c>
      <c r="H359" s="11" t="n">
        <f aca="false">IF(Raw_Data!H359="",ROUND(AVERAGEIFS(Raw_Data!$H$2:$H$839,Raw_Data!$C$2:$C$839,Raw_Data!C359),2),Raw_Data!H359)</f>
        <v>2815.48</v>
      </c>
      <c r="I359" s="11" t="n">
        <f aca="false">Raw_Data!I359</f>
        <v>73174</v>
      </c>
      <c r="J359" s="11" t="n">
        <f aca="false">IF(Raw_Data!J359&lt;0,ABS(Raw_Data!J359),Raw_Data!J359)</f>
        <v>568</v>
      </c>
      <c r="K359" s="11" t="n">
        <f aca="false">Raw_Data!K359</f>
        <v>19</v>
      </c>
      <c r="L359" s="11" t="n">
        <f aca="false">IF(Raw_Data!L359="",ROUND(AVERAGEIFS(Raw_Data!$L$2:$L$839,Raw_Data!$C$2:$C$839,Raw_Data!C359),2),Raw_Data!L359)</f>
        <v>16667.54</v>
      </c>
      <c r="M359" s="13" t="n">
        <f aca="false">IFERROR(J359/I359,0)</f>
        <v>0.00776231994970891</v>
      </c>
      <c r="N359" s="14" t="n">
        <f aca="false">IFERROR(H359/J359,0)</f>
        <v>4.95683098591549</v>
      </c>
      <c r="O359" s="14" t="n">
        <f aca="false">IFERROR(H359/K359,0)</f>
        <v>148.183157894737</v>
      </c>
      <c r="P359" s="15" t="n">
        <f aca="false">IFERROR(L359/H359,0)</f>
        <v>5.9199639137909</v>
      </c>
      <c r="Q359" s="13" t="n">
        <f aca="false">IFERROR(K359/J359,0)</f>
        <v>0.0334507042253521</v>
      </c>
      <c r="R359" s="11" t="str">
        <f aca="false">IF(COUNTIF($A$2:A359,A359)&gt;1,"Duplicate - Remove","Unique")</f>
        <v>Unique</v>
      </c>
      <c r="S359" s="11" t="str">
        <f aca="false">TRIM(IF(Raw_Data!G359="","Region missing; ","")&amp;IF(Raw_Data!H359="","Spend imputed; ","")&amp;IF(Raw_Data!L359="","Revenue imputed; ","")&amp;IF(Raw_Data!J359&lt;0,"Clicks corrected; ",""))</f>
        <v/>
      </c>
    </row>
    <row r="360" customFormat="false" ht="15" hidden="false" customHeight="true" outlineLevel="0" collapsed="false">
      <c r="A360" s="11" t="n">
        <f aca="false">Raw_Data!A360</f>
        <v>1435</v>
      </c>
      <c r="B360" s="11" t="str">
        <f aca="false">PROPER(TRIM(Raw_Data!B360))</f>
        <v>Summer Glow Launch</v>
      </c>
      <c r="C360" s="11" t="str">
        <f aca="false">IFERROR(INDEX(Lookup_Tables!$B$2:$B$26,MATCH(UPPER(TRIM(Raw_Data!C360)),Lookup_Tables!$C$2:$C$26,0)),"Unknown")</f>
        <v>Facebook</v>
      </c>
      <c r="D360" s="12" t="n">
        <f aca="false">IFERROR(IF(ISNUMBER(SEARCH("/",Raw_Data!D360)),DATE(VALUE(RIGHT(Raw_Data!D360,4)),VALUE(MID(Raw_Data!D360,FIND("/",Raw_Data!D360)+1,FIND("/",Raw_Data!D360,FIND("/",Raw_Data!D360)+1)-FIND("/",Raw_Data!D360)-1)),VALUE(LEFT(Raw_Data!D360,FIND("/",Raw_Data!D360)-1))),IF(ISNUMBER(VALUE(LEFT(Raw_Data!D360,4))),DATE(VALUE(LEFT(Raw_Data!D360,4)),VALUE(MID(Raw_Data!D360,6,2)),VALUE(MID(Raw_Data!D360,9,2))),DATEVALUE(Raw_Data!D360))),"")</f>
        <v>45540</v>
      </c>
      <c r="E360" s="12" t="n">
        <f aca="false">IFERROR(IF(ISNUMBER(SEARCH("/",Raw_Data!E360)),DATE(VALUE(RIGHT(Raw_Data!E360,4)),VALUE(MID(Raw_Data!E360,FIND("/",Raw_Data!E360)+1,FIND("/",Raw_Data!E360,FIND("/",Raw_Data!E360)+1)-FIND("/",Raw_Data!E360)-1)),VALUE(LEFT(Raw_Data!E360,FIND("/",Raw_Data!E360)-1))),IF(ISNUMBER(VALUE(LEFT(Raw_Data!E360,4))),DATE(VALUE(LEFT(Raw_Data!E360,4)),VALUE(MID(Raw_Data!E360,6,2)),VALUE(MID(Raw_Data!E360,9,2))),DATEVALUE(Raw_Data!E360))),"")</f>
        <v>45559</v>
      </c>
      <c r="F360" s="11" t="str">
        <f aca="false">Raw_Data!F360</f>
        <v>Male 45+</v>
      </c>
      <c r="G360" s="11" t="str">
        <f aca="false">IF(TRIM(Raw_Data!G360)="","Unspecified",IFERROR(INDEX(Lookup_Tables!$F$2:$F$24,MATCH(UPPER(TRIM(Raw_Data!G360)),Lookup_Tables!$G$2:$G$24,0)),"Unknown"))</f>
        <v>South</v>
      </c>
      <c r="H360" s="11" t="n">
        <f aca="false">IF(Raw_Data!H360="",ROUND(AVERAGEIFS(Raw_Data!$H$2:$H$839,Raw_Data!$C$2:$C$839,Raw_Data!C360),2),Raw_Data!H360)</f>
        <v>9632.14</v>
      </c>
      <c r="I360" s="11" t="n">
        <f aca="false">Raw_Data!I360</f>
        <v>302695</v>
      </c>
      <c r="J360" s="11" t="n">
        <f aca="false">IF(Raw_Data!J360&lt;0,ABS(Raw_Data!J360),Raw_Data!J360)</f>
        <v>7993</v>
      </c>
      <c r="K360" s="11" t="n">
        <f aca="false">Raw_Data!K360</f>
        <v>324</v>
      </c>
      <c r="L360" s="11" t="n">
        <f aca="false">IF(Raw_Data!L360="",ROUND(AVERAGEIFS(Raw_Data!$L$2:$L$839,Raw_Data!$C$2:$C$839,Raw_Data!C360),2),Raw_Data!L360)</f>
        <v>334576.08</v>
      </c>
      <c r="M360" s="13" t="n">
        <f aca="false">IFERROR(J360/I360,0)</f>
        <v>0.0264061183699764</v>
      </c>
      <c r="N360" s="14" t="n">
        <f aca="false">IFERROR(H360/J360,0)</f>
        <v>1.2050719379457</v>
      </c>
      <c r="O360" s="14" t="n">
        <f aca="false">IFERROR(H360/K360,0)</f>
        <v>29.7288271604938</v>
      </c>
      <c r="P360" s="15" t="n">
        <f aca="false">IFERROR(L360/H360,0)</f>
        <v>34.735383829554</v>
      </c>
      <c r="Q360" s="13" t="n">
        <f aca="false">IFERROR(K360/J360,0)</f>
        <v>0.0405354685349681</v>
      </c>
      <c r="R360" s="11" t="str">
        <f aca="false">IF(COUNTIF($A$2:A360,A360)&gt;1,"Duplicate - Remove","Unique")</f>
        <v>Unique</v>
      </c>
      <c r="S360" s="11" t="str">
        <f aca="false">TRIM(IF(Raw_Data!G360="","Region missing; ","")&amp;IF(Raw_Data!H360="","Spend imputed; ","")&amp;IF(Raw_Data!L360="","Revenue imputed; ","")&amp;IF(Raw_Data!J360&lt;0,"Clicks corrected; ",""))</f>
        <v/>
      </c>
    </row>
    <row r="361" customFormat="false" ht="15" hidden="false" customHeight="true" outlineLevel="0" collapsed="false">
      <c r="A361" s="11" t="n">
        <f aca="false">Raw_Data!A361</f>
        <v>1564</v>
      </c>
      <c r="B361" s="11" t="str">
        <f aca="false">PROPER(TRIM(Raw_Data!B361))</f>
        <v>Baby Care Trust Campaign</v>
      </c>
      <c r="C361" s="11" t="str">
        <f aca="false">IFERROR(INDEX(Lookup_Tables!$B$2:$B$26,MATCH(UPPER(TRIM(Raw_Data!C361)),Lookup_Tables!$C$2:$C$26,0)),"Unknown")</f>
        <v>Facebook</v>
      </c>
      <c r="D361" s="12" t="n">
        <f aca="false">IFERROR(IF(ISNUMBER(SEARCH("/",Raw_Data!D361)),DATE(VALUE(RIGHT(Raw_Data!D361,4)),VALUE(MID(Raw_Data!D361,FIND("/",Raw_Data!D361)+1,FIND("/",Raw_Data!D361,FIND("/",Raw_Data!D361)+1)-FIND("/",Raw_Data!D361)-1)),VALUE(LEFT(Raw_Data!D361,FIND("/",Raw_Data!D361)-1))),IF(ISNUMBER(VALUE(LEFT(Raw_Data!D361,4))),DATE(VALUE(LEFT(Raw_Data!D361,4)),VALUE(MID(Raw_Data!D361,6,2)),VALUE(MID(Raw_Data!D361,9,2))),DATEVALUE(Raw_Data!D361))),"")</f>
        <v>45485</v>
      </c>
      <c r="E361" s="12" t="n">
        <f aca="false">IFERROR(IF(ISNUMBER(SEARCH("/",Raw_Data!E361)),DATE(VALUE(RIGHT(Raw_Data!E361,4)),VALUE(MID(Raw_Data!E361,FIND("/",Raw_Data!E361)+1,FIND("/",Raw_Data!E361,FIND("/",Raw_Data!E361)+1)-FIND("/",Raw_Data!E361)-1)),VALUE(LEFT(Raw_Data!E361,FIND("/",Raw_Data!E361)-1))),IF(ISNUMBER(VALUE(LEFT(Raw_Data!E361,4))),DATE(VALUE(LEFT(Raw_Data!E361,4)),VALUE(MID(Raw_Data!E361,6,2)),VALUE(MID(Raw_Data!E361,9,2))),DATEVALUE(Raw_Data!E361))),"")</f>
        <v>45512</v>
      </c>
      <c r="F361" s="11" t="str">
        <f aca="false">Raw_Data!F361</f>
        <v>Female 45+</v>
      </c>
      <c r="G361" s="11" t="str">
        <f aca="false">IF(TRIM(Raw_Data!G361)="","Unspecified",IFERROR(INDEX(Lookup_Tables!$F$2:$F$24,MATCH(UPPER(TRIM(Raw_Data!G361)),Lookup_Tables!$G$2:$G$24,0)),"Unknown"))</f>
        <v>North</v>
      </c>
      <c r="H361" s="11" t="n">
        <f aca="false">IF(Raw_Data!H361="",ROUND(AVERAGEIFS(Raw_Data!$H$2:$H$839,Raw_Data!$C$2:$C$839,Raw_Data!C361),2),Raw_Data!H361)</f>
        <v>24907.62</v>
      </c>
      <c r="I361" s="11" t="n">
        <f aca="false">Raw_Data!I361</f>
        <v>639399</v>
      </c>
      <c r="J361" s="11" t="n">
        <f aca="false">IF(Raw_Data!J361&lt;0,ABS(Raw_Data!J361),Raw_Data!J361)</f>
        <v>5839</v>
      </c>
      <c r="K361" s="11" t="n">
        <f aca="false">Raw_Data!K361</f>
        <v>237</v>
      </c>
      <c r="L361" s="11" t="n">
        <f aca="false">IF(Raw_Data!L361="",ROUND(AVERAGEIFS(Raw_Data!$L$2:$L$839,Raw_Data!$C$2:$C$839,Raw_Data!C361),2),Raw_Data!L361)</f>
        <v>391254.47</v>
      </c>
      <c r="M361" s="13" t="n">
        <f aca="false">IFERROR(J361/I361,0)</f>
        <v>0.00913201303098691</v>
      </c>
      <c r="N361" s="14" t="n">
        <f aca="false">IFERROR(H361/J361,0)</f>
        <v>4.26573385853742</v>
      </c>
      <c r="O361" s="14" t="n">
        <f aca="false">IFERROR(H361/K361,0)</f>
        <v>105.095443037975</v>
      </c>
      <c r="P361" s="15" t="n">
        <f aca="false">IFERROR(L361/H361,0)</f>
        <v>15.7082238286918</v>
      </c>
      <c r="Q361" s="13" t="n">
        <f aca="false">IFERROR(K361/J361,0)</f>
        <v>0.0405891419763658</v>
      </c>
      <c r="R361" s="11" t="str">
        <f aca="false">IF(COUNTIF($A$2:A361,A361)&gt;1,"Duplicate - Remove","Unique")</f>
        <v>Unique</v>
      </c>
      <c r="S361" s="11" t="str">
        <f aca="false">TRIM(IF(Raw_Data!G361="","Region missing; ","")&amp;IF(Raw_Data!H361="","Spend imputed; ","")&amp;IF(Raw_Data!L361="","Revenue imputed; ","")&amp;IF(Raw_Data!J361&lt;0,"Clicks corrected; ",""))</f>
        <v/>
      </c>
    </row>
    <row r="362" customFormat="false" ht="15" hidden="false" customHeight="true" outlineLevel="0" collapsed="false">
      <c r="A362" s="11" t="n">
        <f aca="false">Raw_Data!A362</f>
        <v>1563</v>
      </c>
      <c r="B362" s="11" t="str">
        <f aca="false">PROPER(TRIM(Raw_Data!B362))</f>
        <v>Wedding Season Special</v>
      </c>
      <c r="C362" s="11" t="str">
        <f aca="false">IFERROR(INDEX(Lookup_Tables!$B$2:$B$26,MATCH(UPPER(TRIM(Raw_Data!C362)),Lookup_Tables!$C$2:$C$26,0)),"Unknown")</f>
        <v>YouTube</v>
      </c>
      <c r="D362" s="12" t="n">
        <f aca="false">IFERROR(IF(ISNUMBER(SEARCH("/",Raw_Data!D362)),DATE(VALUE(RIGHT(Raw_Data!D362,4)),VALUE(MID(Raw_Data!D362,FIND("/",Raw_Data!D362)+1,FIND("/",Raw_Data!D362,FIND("/",Raw_Data!D362)+1)-FIND("/",Raw_Data!D362)-1)),VALUE(LEFT(Raw_Data!D362,FIND("/",Raw_Data!D362)-1))),IF(ISNUMBER(VALUE(LEFT(Raw_Data!D362,4))),DATE(VALUE(LEFT(Raw_Data!D362,4)),VALUE(MID(Raw_Data!D362,6,2)),VALUE(MID(Raw_Data!D362,9,2))),DATEVALUE(Raw_Data!D362))),"")</f>
        <v>45310</v>
      </c>
      <c r="E362" s="12" t="n">
        <f aca="false">IFERROR(IF(ISNUMBER(SEARCH("/",Raw_Data!E362)),DATE(VALUE(RIGHT(Raw_Data!E362,4)),VALUE(MID(Raw_Data!E362,FIND("/",Raw_Data!E362)+1,FIND("/",Raw_Data!E362,FIND("/",Raw_Data!E362)+1)-FIND("/",Raw_Data!E362)-1)),VALUE(LEFT(Raw_Data!E362,FIND("/",Raw_Data!E362)-1))),IF(ISNUMBER(VALUE(LEFT(Raw_Data!E362,4))),DATE(VALUE(LEFT(Raw_Data!E362,4)),VALUE(MID(Raw_Data!E362,6,2)),VALUE(MID(Raw_Data!E362,9,2))),DATEVALUE(Raw_Data!E362))),"")</f>
        <v>45330</v>
      </c>
      <c r="F362" s="11" t="str">
        <f aca="false">Raw_Data!F362</f>
        <v>Female 25-34</v>
      </c>
      <c r="G362" s="11" t="str">
        <f aca="false">IF(TRIM(Raw_Data!G362)="","Unspecified",IFERROR(INDEX(Lookup_Tables!$F$2:$F$24,MATCH(UPPER(TRIM(Raw_Data!G362)),Lookup_Tables!$G$2:$G$24,0)),"Unknown"))</f>
        <v>South</v>
      </c>
      <c r="H362" s="11" t="n">
        <f aca="false">IF(Raw_Data!H362="",ROUND(AVERAGEIFS(Raw_Data!$H$2:$H$839,Raw_Data!$C$2:$C$839,Raw_Data!C362),2),Raw_Data!H362)</f>
        <v>31893.38</v>
      </c>
      <c r="I362" s="11" t="n">
        <f aca="false">Raw_Data!I362</f>
        <v>757673</v>
      </c>
      <c r="J362" s="11" t="n">
        <f aca="false">IF(Raw_Data!J362&lt;0,ABS(Raw_Data!J362),Raw_Data!J362)</f>
        <v>14644</v>
      </c>
      <c r="K362" s="11" t="n">
        <f aca="false">Raw_Data!K362</f>
        <v>947</v>
      </c>
      <c r="L362" s="11" t="n">
        <f aca="false">IF(Raw_Data!L362="",ROUND(AVERAGEIFS(Raw_Data!$L$2:$L$839,Raw_Data!$C$2:$C$839,Raw_Data!C362),2),Raw_Data!L362)</f>
        <v>1534947.04</v>
      </c>
      <c r="M362" s="13" t="n">
        <f aca="false">IFERROR(J362/I362,0)</f>
        <v>0.0193275991093783</v>
      </c>
      <c r="N362" s="14" t="n">
        <f aca="false">IFERROR(H362/J362,0)</f>
        <v>2.17791450423382</v>
      </c>
      <c r="O362" s="14" t="n">
        <f aca="false">IFERROR(H362/K362,0)</f>
        <v>33.6783315733897</v>
      </c>
      <c r="P362" s="15" t="n">
        <f aca="false">IFERROR(L362/H362,0)</f>
        <v>48.1274496462902</v>
      </c>
      <c r="Q362" s="13" t="n">
        <f aca="false">IFERROR(K362/J362,0)</f>
        <v>0.0646681234635346</v>
      </c>
      <c r="R362" s="11" t="str">
        <f aca="false">IF(COUNTIF($A$2:A362,A362)&gt;1,"Duplicate - Remove","Unique")</f>
        <v>Unique</v>
      </c>
      <c r="S362" s="11" t="str">
        <f aca="false">TRIM(IF(Raw_Data!G362="","Region missing; ","")&amp;IF(Raw_Data!H362="","Spend imputed; ","")&amp;IF(Raw_Data!L362="","Revenue imputed; ","")&amp;IF(Raw_Data!J362&lt;0,"Clicks corrected; ",""))</f>
        <v/>
      </c>
    </row>
    <row r="363" customFormat="false" ht="15" hidden="false" customHeight="true" outlineLevel="0" collapsed="false">
      <c r="A363" s="11" t="n">
        <f aca="false">Raw_Data!A363</f>
        <v>1427</v>
      </c>
      <c r="B363" s="11" t="str">
        <f aca="false">PROPER(TRIM(Raw_Data!B363))</f>
        <v>Back To College Offer</v>
      </c>
      <c r="C363" s="11" t="str">
        <f aca="false">IFERROR(INDEX(Lookup_Tables!$B$2:$B$26,MATCH(UPPER(TRIM(Raw_Data!C363)),Lookup_Tables!$C$2:$C$26,0)),"Unknown")</f>
        <v>YouTube</v>
      </c>
      <c r="D363" s="12" t="n">
        <f aca="false">IFERROR(IF(ISNUMBER(SEARCH("/",Raw_Data!D363)),DATE(VALUE(RIGHT(Raw_Data!D363,4)),VALUE(MID(Raw_Data!D363,FIND("/",Raw_Data!D363)+1,FIND("/",Raw_Data!D363,FIND("/",Raw_Data!D363)+1)-FIND("/",Raw_Data!D363)-1)),VALUE(LEFT(Raw_Data!D363,FIND("/",Raw_Data!D363)-1))),IF(ISNUMBER(VALUE(LEFT(Raw_Data!D363,4))),DATE(VALUE(LEFT(Raw_Data!D363,4)),VALUE(MID(Raw_Data!D363,6,2)),VALUE(MID(Raw_Data!D363,9,2))),DATEVALUE(Raw_Data!D363))),"")</f>
        <v>45528</v>
      </c>
      <c r="E363" s="12" t="n">
        <f aca="false">IFERROR(IF(ISNUMBER(SEARCH("/",Raw_Data!E363)),DATE(VALUE(RIGHT(Raw_Data!E363,4)),VALUE(MID(Raw_Data!E363,FIND("/",Raw_Data!E363)+1,FIND("/",Raw_Data!E363,FIND("/",Raw_Data!E363)+1)-FIND("/",Raw_Data!E363)-1)),VALUE(LEFT(Raw_Data!E363,FIND("/",Raw_Data!E363)-1))),IF(ISNUMBER(VALUE(LEFT(Raw_Data!E363,4))),DATE(VALUE(LEFT(Raw_Data!E363,4)),VALUE(MID(Raw_Data!E363,6,2)),VALUE(MID(Raw_Data!E363,9,2))),DATEVALUE(Raw_Data!E363))),"")</f>
        <v>45543</v>
      </c>
      <c r="F363" s="11" t="str">
        <f aca="false">Raw_Data!F363</f>
        <v>Male 45+</v>
      </c>
      <c r="G363" s="11" t="str">
        <f aca="false">IF(TRIM(Raw_Data!G363)="","Unspecified",IFERROR(INDEX(Lookup_Tables!$F$2:$F$24,MATCH(UPPER(TRIM(Raw_Data!G363)),Lookup_Tables!$G$2:$G$24,0)),"Unknown"))</f>
        <v>South</v>
      </c>
      <c r="H363" s="11" t="n">
        <f aca="false">IF(Raw_Data!H363="",ROUND(AVERAGEIFS(Raw_Data!$H$2:$H$839,Raw_Data!$C$2:$C$839,Raw_Data!C363),2),Raw_Data!H363)</f>
        <v>38480.61</v>
      </c>
      <c r="I363" s="11" t="n">
        <f aca="false">Raw_Data!I363</f>
        <v>757920</v>
      </c>
      <c r="J363" s="11" t="n">
        <f aca="false">IF(Raw_Data!J363&lt;0,ABS(Raw_Data!J363),Raw_Data!J363)</f>
        <v>21300</v>
      </c>
      <c r="K363" s="11" t="n">
        <f aca="false">Raw_Data!K363</f>
        <v>1253</v>
      </c>
      <c r="L363" s="11" t="n">
        <f aca="false">IF(Raw_Data!L363="",ROUND(AVERAGEIFS(Raw_Data!$L$2:$L$839,Raw_Data!$C$2:$C$839,Raw_Data!C363),2),Raw_Data!L363)</f>
        <v>819334.06</v>
      </c>
      <c r="M363" s="13" t="n">
        <f aca="false">IFERROR(J363/I363,0)</f>
        <v>0.0281032298923369</v>
      </c>
      <c r="N363" s="14" t="n">
        <f aca="false">IFERROR(H363/J363,0)</f>
        <v>1.8066014084507</v>
      </c>
      <c r="O363" s="14" t="n">
        <f aca="false">IFERROR(H363/K363,0)</f>
        <v>30.710782122905</v>
      </c>
      <c r="P363" s="15" t="n">
        <f aca="false">IFERROR(L363/H363,0)</f>
        <v>21.2921276455857</v>
      </c>
      <c r="Q363" s="13" t="n">
        <f aca="false">IFERROR(K363/J363,0)</f>
        <v>0.0588262910798122</v>
      </c>
      <c r="R363" s="11" t="str">
        <f aca="false">IF(COUNTIF($A$2:A363,A363)&gt;1,"Duplicate - Remove","Unique")</f>
        <v>Unique</v>
      </c>
      <c r="S363" s="11" t="str">
        <f aca="false">TRIM(IF(Raw_Data!G363="","Region missing; ","")&amp;IF(Raw_Data!H363="","Spend imputed; ","")&amp;IF(Raw_Data!L363="","Revenue imputed; ","")&amp;IF(Raw_Data!J363&lt;0,"Clicks corrected; ",""))</f>
        <v/>
      </c>
    </row>
    <row r="364" customFormat="false" ht="15" hidden="false" customHeight="true" outlineLevel="0" collapsed="false">
      <c r="A364" s="11" t="n">
        <f aca="false">Raw_Data!A364</f>
        <v>1530</v>
      </c>
      <c r="B364" s="11" t="str">
        <f aca="false">PROPER(TRIM(Raw_Data!B364))</f>
        <v>New Year Wellness</v>
      </c>
      <c r="C364" s="11" t="str">
        <f aca="false">IFERROR(INDEX(Lookup_Tables!$B$2:$B$26,MATCH(UPPER(TRIM(Raw_Data!C364)),Lookup_Tables!$C$2:$C$26,0)),"Unknown")</f>
        <v>Facebook</v>
      </c>
      <c r="D364" s="12" t="n">
        <f aca="false">IFERROR(IF(ISNUMBER(SEARCH("/",Raw_Data!D364)),DATE(VALUE(RIGHT(Raw_Data!D364,4)),VALUE(MID(Raw_Data!D364,FIND("/",Raw_Data!D364)+1,FIND("/",Raw_Data!D364,FIND("/",Raw_Data!D364)+1)-FIND("/",Raw_Data!D364)-1)),VALUE(LEFT(Raw_Data!D364,FIND("/",Raw_Data!D364)-1))),IF(ISNUMBER(VALUE(LEFT(Raw_Data!D364,4))),DATE(VALUE(LEFT(Raw_Data!D364,4)),VALUE(MID(Raw_Data!D364,6,2)),VALUE(MID(Raw_Data!D364,9,2))),DATEVALUE(Raw_Data!D364))),"")</f>
        <v>45514</v>
      </c>
      <c r="E364" s="12" t="n">
        <f aca="false">IFERROR(IF(ISNUMBER(SEARCH("/",Raw_Data!E364)),DATE(VALUE(RIGHT(Raw_Data!E364,4)),VALUE(MID(Raw_Data!E364,FIND("/",Raw_Data!E364)+1,FIND("/",Raw_Data!E364,FIND("/",Raw_Data!E364)+1)-FIND("/",Raw_Data!E364)-1)),VALUE(LEFT(Raw_Data!E364,FIND("/",Raw_Data!E364)-1))),IF(ISNUMBER(VALUE(LEFT(Raw_Data!E364,4))),DATE(VALUE(LEFT(Raw_Data!E364,4)),VALUE(MID(Raw_Data!E364,6,2)),VALUE(MID(Raw_Data!E364,9,2))),DATEVALUE(Raw_Data!E364))),"")</f>
        <v>45529</v>
      </c>
      <c r="F364" s="11" t="str">
        <f aca="false">Raw_Data!F364</f>
        <v>Female 45+</v>
      </c>
      <c r="G364" s="11" t="str">
        <f aca="false">IF(TRIM(Raw_Data!G364)="","Unspecified",IFERROR(INDEX(Lookup_Tables!$F$2:$F$24,MATCH(UPPER(TRIM(Raw_Data!G364)),Lookup_Tables!$G$2:$G$24,0)),"Unknown"))</f>
        <v>Central</v>
      </c>
      <c r="H364" s="11" t="n">
        <f aca="false">IF(Raw_Data!H364="",ROUND(AVERAGEIFS(Raw_Data!$H$2:$H$839,Raw_Data!$C$2:$C$839,Raw_Data!C364),2),Raw_Data!H364)</f>
        <v>14718.62</v>
      </c>
      <c r="I364" s="11" t="n">
        <f aca="false">Raw_Data!I364</f>
        <v>239052</v>
      </c>
      <c r="J364" s="11" t="n">
        <f aca="false">IF(Raw_Data!J364&lt;0,ABS(Raw_Data!J364),Raw_Data!J364)</f>
        <v>4737</v>
      </c>
      <c r="K364" s="11" t="n">
        <f aca="false">Raw_Data!K364</f>
        <v>62</v>
      </c>
      <c r="L364" s="11" t="n">
        <f aca="false">IF(Raw_Data!L364="",ROUND(AVERAGEIFS(Raw_Data!$L$2:$L$839,Raw_Data!$C$2:$C$839,Raw_Data!C364),2),Raw_Data!L364)</f>
        <v>46369.95</v>
      </c>
      <c r="M364" s="13" t="n">
        <f aca="false">IFERROR(J364/I364,0)</f>
        <v>0.0198157723005873</v>
      </c>
      <c r="N364" s="14" t="n">
        <f aca="false">IFERROR(H364/J364,0)</f>
        <v>3.10716065020055</v>
      </c>
      <c r="O364" s="14" t="n">
        <f aca="false">IFERROR(H364/K364,0)</f>
        <v>237.397096774194</v>
      </c>
      <c r="P364" s="15" t="n">
        <f aca="false">IFERROR(L364/H364,0)</f>
        <v>3.15042782543472</v>
      </c>
      <c r="Q364" s="13" t="n">
        <f aca="false">IFERROR(K364/J364,0)</f>
        <v>0.0130884526071353</v>
      </c>
      <c r="R364" s="11" t="str">
        <f aca="false">IF(COUNTIF($A$2:A364,A364)&gt;1,"Duplicate - Remove","Unique")</f>
        <v>Unique</v>
      </c>
      <c r="S364" s="11" t="str">
        <f aca="false">TRIM(IF(Raw_Data!G364="","Region missing; ","")&amp;IF(Raw_Data!H364="","Spend imputed; ","")&amp;IF(Raw_Data!L364="","Revenue imputed; ","")&amp;IF(Raw_Data!J364&lt;0,"Clicks corrected; ",""))</f>
        <v/>
      </c>
    </row>
    <row r="365" customFormat="false" ht="15" hidden="false" customHeight="true" outlineLevel="0" collapsed="false">
      <c r="A365" s="11" t="n">
        <f aca="false">Raw_Data!A365</f>
        <v>1147</v>
      </c>
      <c r="B365" s="11" t="str">
        <f aca="false">PROPER(TRIM(Raw_Data!B365))</f>
        <v>Back To College Offer</v>
      </c>
      <c r="C365" s="11" t="str">
        <f aca="false">IFERROR(INDEX(Lookup_Tables!$B$2:$B$26,MATCH(UPPER(TRIM(Raw_Data!C365)),Lookup_Tables!$C$2:$C$26,0)),"Unknown")</f>
        <v>YouTube</v>
      </c>
      <c r="D365" s="12" t="n">
        <f aca="false">IFERROR(IF(ISNUMBER(SEARCH("/",Raw_Data!D365)),DATE(VALUE(RIGHT(Raw_Data!D365,4)),VALUE(MID(Raw_Data!D365,FIND("/",Raw_Data!D365)+1,FIND("/",Raw_Data!D365,FIND("/",Raw_Data!D365)+1)-FIND("/",Raw_Data!D365)-1)),VALUE(LEFT(Raw_Data!D365,FIND("/",Raw_Data!D365)-1))),IF(ISNUMBER(VALUE(LEFT(Raw_Data!D365,4))),DATE(VALUE(LEFT(Raw_Data!D365,4)),VALUE(MID(Raw_Data!D365,6,2)),VALUE(MID(Raw_Data!D365,9,2))),DATEVALUE(Raw_Data!D365))),"")</f>
        <v>45471</v>
      </c>
      <c r="E365" s="12" t="n">
        <f aca="false">IFERROR(IF(ISNUMBER(SEARCH("/",Raw_Data!E365)),DATE(VALUE(RIGHT(Raw_Data!E365,4)),VALUE(MID(Raw_Data!E365,FIND("/",Raw_Data!E365)+1,FIND("/",Raw_Data!E365,FIND("/",Raw_Data!E365)+1)-FIND("/",Raw_Data!E365)-1)),VALUE(LEFT(Raw_Data!E365,FIND("/",Raw_Data!E365)-1))),IF(ISNUMBER(VALUE(LEFT(Raw_Data!E365,4))),DATE(VALUE(LEFT(Raw_Data!E365,4)),VALUE(MID(Raw_Data!E365,6,2)),VALUE(MID(Raw_Data!E365,9,2))),DATEVALUE(Raw_Data!E365))),"")</f>
        <v>45489</v>
      </c>
      <c r="F365" s="11" t="str">
        <f aca="false">Raw_Data!F365</f>
        <v>Female 45+</v>
      </c>
      <c r="G365" s="11" t="str">
        <f aca="false">IF(TRIM(Raw_Data!G365)="","Unspecified",IFERROR(INDEX(Lookup_Tables!$F$2:$F$24,MATCH(UPPER(TRIM(Raw_Data!G365)),Lookup_Tables!$G$2:$G$24,0)),"Unknown"))</f>
        <v>South</v>
      </c>
      <c r="H365" s="11" t="n">
        <f aca="false">IF(Raw_Data!H365="",ROUND(AVERAGEIFS(Raw_Data!$H$2:$H$839,Raw_Data!$C$2:$C$839,Raw_Data!C365),2),Raw_Data!H365)</f>
        <v>74330.75</v>
      </c>
      <c r="I365" s="11" t="n">
        <f aca="false">Raw_Data!I365</f>
        <v>1575414</v>
      </c>
      <c r="J365" s="11" t="n">
        <f aca="false">IF(Raw_Data!J365&lt;0,ABS(Raw_Data!J365),Raw_Data!J365)</f>
        <v>38343</v>
      </c>
      <c r="K365" s="11" t="n">
        <f aca="false">Raw_Data!K365</f>
        <v>1049</v>
      </c>
      <c r="L365" s="11" t="n">
        <f aca="false">IF(Raw_Data!L365="",ROUND(AVERAGEIFS(Raw_Data!$L$2:$L$839,Raw_Data!$C$2:$C$839,Raw_Data!C365),2),Raw_Data!L365)</f>
        <v>1281299.62</v>
      </c>
      <c r="M365" s="13" t="n">
        <f aca="false">IFERROR(J365/I365,0)</f>
        <v>0.0243383643918361</v>
      </c>
      <c r="N365" s="14" t="n">
        <f aca="false">IFERROR(H365/J365,0)</f>
        <v>1.93857418564014</v>
      </c>
      <c r="O365" s="14" t="n">
        <f aca="false">IFERROR(H365/K365,0)</f>
        <v>70.8586749285033</v>
      </c>
      <c r="P365" s="15" t="n">
        <f aca="false">IFERROR(L365/H365,0)</f>
        <v>17.2378136908346</v>
      </c>
      <c r="Q365" s="13" t="n">
        <f aca="false">IFERROR(K365/J365,0)</f>
        <v>0.027358318337115</v>
      </c>
      <c r="R365" s="11" t="str">
        <f aca="false">IF(COUNTIF($A$2:A365,A365)&gt;1,"Duplicate - Remove","Unique")</f>
        <v>Unique</v>
      </c>
      <c r="S365" s="11" t="str">
        <f aca="false">TRIM(IF(Raw_Data!G365="","Region missing; ","")&amp;IF(Raw_Data!H365="","Spend imputed; ","")&amp;IF(Raw_Data!L365="","Revenue imputed; ","")&amp;IF(Raw_Data!J365&lt;0,"Clicks corrected; ",""))</f>
        <v/>
      </c>
    </row>
    <row r="366" customFormat="false" ht="15" hidden="false" customHeight="true" outlineLevel="0" collapsed="false">
      <c r="A366" s="11" t="n">
        <f aca="false">Raw_Data!A366</f>
        <v>1411</v>
      </c>
      <c r="B366" s="11" t="str">
        <f aca="false">PROPER(TRIM(Raw_Data!B366))</f>
        <v>Men'S Grooming Drive</v>
      </c>
      <c r="C366" s="11" t="str">
        <f aca="false">IFERROR(INDEX(Lookup_Tables!$B$2:$B$26,MATCH(UPPER(TRIM(Raw_Data!C366)),Lookup_Tables!$C$2:$C$26,0)),"Unknown")</f>
        <v>YouTube</v>
      </c>
      <c r="D366" s="12" t="n">
        <f aca="false">IFERROR(IF(ISNUMBER(SEARCH("/",Raw_Data!D366)),DATE(VALUE(RIGHT(Raw_Data!D366,4)),VALUE(MID(Raw_Data!D366,FIND("/",Raw_Data!D366)+1,FIND("/",Raw_Data!D366,FIND("/",Raw_Data!D366)+1)-FIND("/",Raw_Data!D366)-1)),VALUE(LEFT(Raw_Data!D366,FIND("/",Raw_Data!D366)-1))),IF(ISNUMBER(VALUE(LEFT(Raw_Data!D366,4))),DATE(VALUE(LEFT(Raw_Data!D366,4)),VALUE(MID(Raw_Data!D366,6,2)),VALUE(MID(Raw_Data!D366,9,2))),DATEVALUE(Raw_Data!D366))),"")</f>
        <v>45457</v>
      </c>
      <c r="E366" s="12" t="n">
        <f aca="false">IFERROR(IF(ISNUMBER(SEARCH("/",Raw_Data!E366)),DATE(VALUE(RIGHT(Raw_Data!E366,4)),VALUE(MID(Raw_Data!E366,FIND("/",Raw_Data!E366)+1,FIND("/",Raw_Data!E366,FIND("/",Raw_Data!E366)+1)-FIND("/",Raw_Data!E366)-1)),VALUE(LEFT(Raw_Data!E366,FIND("/",Raw_Data!E366)-1))),IF(ISNUMBER(VALUE(LEFT(Raw_Data!E366,4))),DATE(VALUE(LEFT(Raw_Data!E366,4)),VALUE(MID(Raw_Data!E366,6,2)),VALUE(MID(Raw_Data!E366,9,2))),DATEVALUE(Raw_Data!E366))),"")</f>
        <v>45475</v>
      </c>
      <c r="F366" s="11" t="str">
        <f aca="false">Raw_Data!F366</f>
        <v>Female 18-24</v>
      </c>
      <c r="G366" s="11" t="str">
        <f aca="false">IF(TRIM(Raw_Data!G366)="","Unspecified",IFERROR(INDEX(Lookup_Tables!$F$2:$F$24,MATCH(UPPER(TRIM(Raw_Data!G366)),Lookup_Tables!$G$2:$G$24,0)),"Unknown"))</f>
        <v>North</v>
      </c>
      <c r="H366" s="11" t="n">
        <f aca="false">IF(Raw_Data!H366="",ROUND(AVERAGEIFS(Raw_Data!$H$2:$H$839,Raw_Data!$C$2:$C$839,Raw_Data!C366),2),Raw_Data!H366)</f>
        <v>35552.67</v>
      </c>
      <c r="I366" s="11" t="n">
        <f aca="false">Raw_Data!I366</f>
        <v>1137839</v>
      </c>
      <c r="J366" s="11" t="n">
        <f aca="false">IF(Raw_Data!J366&lt;0,ABS(Raw_Data!J366),Raw_Data!J366)</f>
        <v>21616</v>
      </c>
      <c r="K366" s="11" t="n">
        <f aca="false">Raw_Data!K366</f>
        <v>763</v>
      </c>
      <c r="L366" s="11" t="n">
        <f aca="false">IF(Raw_Data!L366="",ROUND(AVERAGEIFS(Raw_Data!$L$2:$L$839,Raw_Data!$C$2:$C$839,Raw_Data!C366),2),Raw_Data!L366)</f>
        <v>1106793.67</v>
      </c>
      <c r="M366" s="13" t="n">
        <f aca="false">IFERROR(J366/I366,0)</f>
        <v>0.0189974152757991</v>
      </c>
      <c r="N366" s="14" t="n">
        <f aca="false">IFERROR(H366/J366,0)</f>
        <v>1.64473861954108</v>
      </c>
      <c r="O366" s="14" t="n">
        <f aca="false">IFERROR(H366/K366,0)</f>
        <v>46.5958977719528</v>
      </c>
      <c r="P366" s="15" t="n">
        <f aca="false">IFERROR(L366/H366,0)</f>
        <v>31.1310984519587</v>
      </c>
      <c r="Q366" s="13" t="n">
        <f aca="false">IFERROR(K366/J366,0)</f>
        <v>0.0352979274611399</v>
      </c>
      <c r="R366" s="11" t="str">
        <f aca="false">IF(COUNTIF($A$2:A366,A366)&gt;1,"Duplicate - Remove","Unique")</f>
        <v>Unique</v>
      </c>
      <c r="S366" s="11" t="str">
        <f aca="false">TRIM(IF(Raw_Data!G366="","Region missing; ","")&amp;IF(Raw_Data!H366="","Spend imputed; ","")&amp;IF(Raw_Data!L366="","Revenue imputed; ","")&amp;IF(Raw_Data!J366&lt;0,"Clicks corrected; ",""))</f>
        <v/>
      </c>
    </row>
    <row r="367" customFormat="false" ht="15" hidden="false" customHeight="true" outlineLevel="0" collapsed="false">
      <c r="A367" s="11" t="n">
        <f aca="false">Raw_Data!A367</f>
        <v>1034</v>
      </c>
      <c r="B367" s="11" t="str">
        <f aca="false">PROPER(TRIM(Raw_Data!B367))</f>
        <v>Summer Glow Launch</v>
      </c>
      <c r="C367" s="11" t="str">
        <f aca="false">IFERROR(INDEX(Lookup_Tables!$B$2:$B$26,MATCH(UPPER(TRIM(Raw_Data!C367)),Lookup_Tables!$C$2:$C$26,0)),"Unknown")</f>
        <v>Email</v>
      </c>
      <c r="D367" s="12" t="n">
        <f aca="false">IFERROR(IF(ISNUMBER(SEARCH("/",Raw_Data!D367)),DATE(VALUE(RIGHT(Raw_Data!D367,4)),VALUE(MID(Raw_Data!D367,FIND("/",Raw_Data!D367)+1,FIND("/",Raw_Data!D367,FIND("/",Raw_Data!D367)+1)-FIND("/",Raw_Data!D367)-1)),VALUE(LEFT(Raw_Data!D367,FIND("/",Raw_Data!D367)-1))),IF(ISNUMBER(VALUE(LEFT(Raw_Data!D367,4))),DATE(VALUE(LEFT(Raw_Data!D367,4)),VALUE(MID(Raw_Data!D367,6,2)),VALUE(MID(Raw_Data!D367,9,2))),DATEVALUE(Raw_Data!D367))),"")</f>
        <v>45466</v>
      </c>
      <c r="E367" s="12" t="n">
        <f aca="false">IFERROR(IF(ISNUMBER(SEARCH("/",Raw_Data!E367)),DATE(VALUE(RIGHT(Raw_Data!E367,4)),VALUE(MID(Raw_Data!E367,FIND("/",Raw_Data!E367)+1,FIND("/",Raw_Data!E367,FIND("/",Raw_Data!E367)+1)-FIND("/",Raw_Data!E367)-1)),VALUE(LEFT(Raw_Data!E367,FIND("/",Raw_Data!E367)-1))),IF(ISNUMBER(VALUE(LEFT(Raw_Data!E367,4))),DATE(VALUE(LEFT(Raw_Data!E367,4)),VALUE(MID(Raw_Data!E367,6,2)),VALUE(MID(Raw_Data!E367,9,2))),DATEVALUE(Raw_Data!E367))),"")</f>
        <v>45479</v>
      </c>
      <c r="F367" s="11" t="str">
        <f aca="false">Raw_Data!F367</f>
        <v>Male 25-34</v>
      </c>
      <c r="G367" s="11" t="str">
        <f aca="false">IF(TRIM(Raw_Data!G367)="","Unspecified",IFERROR(INDEX(Lookup_Tables!$F$2:$F$24,MATCH(UPPER(TRIM(Raw_Data!G367)),Lookup_Tables!$G$2:$G$24,0)),"Unknown"))</f>
        <v>West</v>
      </c>
      <c r="H367" s="11" t="n">
        <f aca="false">IF(Raw_Data!H367="",ROUND(AVERAGEIFS(Raw_Data!$H$2:$H$839,Raw_Data!$C$2:$C$839,Raw_Data!C367),2),Raw_Data!H367)</f>
        <v>5908.29</v>
      </c>
      <c r="I367" s="11" t="n">
        <f aca="false">Raw_Data!I367</f>
        <v>129431</v>
      </c>
      <c r="J367" s="11" t="n">
        <f aca="false">IF(Raw_Data!J367&lt;0,ABS(Raw_Data!J367),Raw_Data!J367)</f>
        <v>686</v>
      </c>
      <c r="K367" s="11" t="n">
        <f aca="false">Raw_Data!K367</f>
        <v>52</v>
      </c>
      <c r="L367" s="11" t="n">
        <f aca="false">IF(Raw_Data!L367="",ROUND(AVERAGEIFS(Raw_Data!$L$2:$L$839,Raw_Data!$C$2:$C$839,Raw_Data!C367),2),Raw_Data!L367)</f>
        <v>24655.22</v>
      </c>
      <c r="M367" s="13" t="n">
        <f aca="false">IFERROR(J367/I367,0)</f>
        <v>0.00530012130015221</v>
      </c>
      <c r="N367" s="14" t="n">
        <f aca="false">IFERROR(H367/J367,0)</f>
        <v>8.61266763848396</v>
      </c>
      <c r="O367" s="14" t="n">
        <f aca="false">IFERROR(H367/K367,0)</f>
        <v>113.620961538462</v>
      </c>
      <c r="P367" s="15" t="n">
        <f aca="false">IFERROR(L367/H367,0)</f>
        <v>4.17298744645236</v>
      </c>
      <c r="Q367" s="13" t="n">
        <f aca="false">IFERROR(K367/J367,0)</f>
        <v>0.075801749271137</v>
      </c>
      <c r="R367" s="11" t="str">
        <f aca="false">IF(COUNTIF($A$2:A367,A367)&gt;1,"Duplicate - Remove","Unique")</f>
        <v>Unique</v>
      </c>
      <c r="S367" s="11" t="str">
        <f aca="false">TRIM(IF(Raw_Data!G367="","Region missing; ","")&amp;IF(Raw_Data!H367="","Spend imputed; ","")&amp;IF(Raw_Data!L367="","Revenue imputed; ","")&amp;IF(Raw_Data!J367&lt;0,"Clicks corrected; ",""))</f>
        <v/>
      </c>
    </row>
    <row r="368" customFormat="false" ht="15" hidden="false" customHeight="true" outlineLevel="0" collapsed="false">
      <c r="A368" s="11" t="n">
        <f aca="false">Raw_Data!A368</f>
        <v>1363</v>
      </c>
      <c r="B368" s="11" t="str">
        <f aca="false">PROPER(TRIM(Raw_Data!B368))</f>
        <v>Ayurvedic Range Launch</v>
      </c>
      <c r="C368" s="11" t="str">
        <f aca="false">IFERROR(INDEX(Lookup_Tables!$B$2:$B$26,MATCH(UPPER(TRIM(Raw_Data!C368)),Lookup_Tables!$C$2:$C$26,0)),"Unknown")</f>
        <v>Facebook</v>
      </c>
      <c r="D368" s="12" t="n">
        <f aca="false">IFERROR(IF(ISNUMBER(SEARCH("/",Raw_Data!D368)),DATE(VALUE(RIGHT(Raw_Data!D368,4)),VALUE(MID(Raw_Data!D368,FIND("/",Raw_Data!D368)+1,FIND("/",Raw_Data!D368,FIND("/",Raw_Data!D368)+1)-FIND("/",Raw_Data!D368)-1)),VALUE(LEFT(Raw_Data!D368,FIND("/",Raw_Data!D368)-1))),IF(ISNUMBER(VALUE(LEFT(Raw_Data!D368,4))),DATE(VALUE(LEFT(Raw_Data!D368,4)),VALUE(MID(Raw_Data!D368,6,2)),VALUE(MID(Raw_Data!D368,9,2))),DATEVALUE(Raw_Data!D368))),"")</f>
        <v>45543</v>
      </c>
      <c r="E368" s="12" t="n">
        <f aca="false">IFERROR(IF(ISNUMBER(SEARCH("/",Raw_Data!E368)),DATE(VALUE(RIGHT(Raw_Data!E368,4)),VALUE(MID(Raw_Data!E368,FIND("/",Raw_Data!E368)+1,FIND("/",Raw_Data!E368,FIND("/",Raw_Data!E368)+1)-FIND("/",Raw_Data!E368)-1)),VALUE(LEFT(Raw_Data!E368,FIND("/",Raw_Data!E368)-1))),IF(ISNUMBER(VALUE(LEFT(Raw_Data!E368,4))),DATE(VALUE(LEFT(Raw_Data!E368,4)),VALUE(MID(Raw_Data!E368,6,2)),VALUE(MID(Raw_Data!E368,9,2))),DATEVALUE(Raw_Data!E368))),"")</f>
        <v>45563</v>
      </c>
      <c r="F368" s="11" t="str">
        <f aca="false">Raw_Data!F368</f>
        <v>Female 25-34</v>
      </c>
      <c r="G368" s="11" t="str">
        <f aca="false">IF(TRIM(Raw_Data!G368)="","Unspecified",IFERROR(INDEX(Lookup_Tables!$F$2:$F$24,MATCH(UPPER(TRIM(Raw_Data!G368)),Lookup_Tables!$G$2:$G$24,0)),"Unknown"))</f>
        <v>West</v>
      </c>
      <c r="H368" s="11" t="n">
        <f aca="false">IF(Raw_Data!H368="",ROUND(AVERAGEIFS(Raw_Data!$H$2:$H$839,Raw_Data!$C$2:$C$839,Raw_Data!C368),2),Raw_Data!H368)</f>
        <v>24170.3</v>
      </c>
      <c r="I368" s="11" t="n">
        <f aca="false">Raw_Data!I368</f>
        <v>870833</v>
      </c>
      <c r="J368" s="11" t="n">
        <f aca="false">IF(Raw_Data!J368&lt;0,ABS(Raw_Data!J368),Raw_Data!J368)</f>
        <v>23095</v>
      </c>
      <c r="K368" s="11" t="n">
        <f aca="false">Raw_Data!K368</f>
        <v>1648</v>
      </c>
      <c r="L368" s="11" t="n">
        <f aca="false">IF(Raw_Data!L368="",ROUND(AVERAGEIFS(Raw_Data!$L$2:$L$839,Raw_Data!$C$2:$C$839,Raw_Data!C368),2),Raw_Data!L368)</f>
        <v>2536848.64</v>
      </c>
      <c r="M368" s="13" t="n">
        <f aca="false">IFERROR(J368/I368,0)</f>
        <v>0.0265205843140993</v>
      </c>
      <c r="N368" s="14" t="n">
        <f aca="false">IFERROR(H368/J368,0)</f>
        <v>1.04655986144187</v>
      </c>
      <c r="O368" s="14" t="n">
        <f aca="false">IFERROR(H368/K368,0)</f>
        <v>14.6664441747573</v>
      </c>
      <c r="P368" s="15" t="n">
        <f aca="false">IFERROR(L368/H368,0)</f>
        <v>104.957267390144</v>
      </c>
      <c r="Q368" s="13" t="n">
        <f aca="false">IFERROR(K368/J368,0)</f>
        <v>0.0713574366746049</v>
      </c>
      <c r="R368" s="11" t="str">
        <f aca="false">IF(COUNTIF($A$2:A368,A368)&gt;1,"Duplicate - Remove","Unique")</f>
        <v>Unique</v>
      </c>
      <c r="S368" s="11" t="str">
        <f aca="false">TRIM(IF(Raw_Data!G368="","Region missing; ","")&amp;IF(Raw_Data!H368="","Spend imputed; ","")&amp;IF(Raw_Data!L368="","Revenue imputed; ","")&amp;IF(Raw_Data!J368&lt;0,"Clicks corrected; ",""))</f>
        <v/>
      </c>
    </row>
    <row r="369" customFormat="false" ht="15" hidden="false" customHeight="true" outlineLevel="0" collapsed="false">
      <c r="A369" s="11" t="n">
        <f aca="false">Raw_Data!A369</f>
        <v>1683</v>
      </c>
      <c r="B369" s="11" t="str">
        <f aca="false">PROPER(TRIM(Raw_Data!B369))</f>
        <v>Sunscreen Season Campaign</v>
      </c>
      <c r="C369" s="11" t="str">
        <f aca="false">IFERROR(INDEX(Lookup_Tables!$B$2:$B$26,MATCH(UPPER(TRIM(Raw_Data!C369)),Lookup_Tables!$C$2:$C$26,0)),"Unknown")</f>
        <v>YouTube</v>
      </c>
      <c r="D369" s="12" t="n">
        <f aca="false">IFERROR(IF(ISNUMBER(SEARCH("/",Raw_Data!D369)),DATE(VALUE(RIGHT(Raw_Data!D369,4)),VALUE(MID(Raw_Data!D369,FIND("/",Raw_Data!D369)+1,FIND("/",Raw_Data!D369,FIND("/",Raw_Data!D369)+1)-FIND("/",Raw_Data!D369)-1)),VALUE(LEFT(Raw_Data!D369,FIND("/",Raw_Data!D369)-1))),IF(ISNUMBER(VALUE(LEFT(Raw_Data!D369,4))),DATE(VALUE(LEFT(Raw_Data!D369,4)),VALUE(MID(Raw_Data!D369,6,2)),VALUE(MID(Raw_Data!D369,9,2))),DATEVALUE(Raw_Data!D369))),"")</f>
        <v>45303</v>
      </c>
      <c r="E369" s="12" t="n">
        <f aca="false">IFERROR(IF(ISNUMBER(SEARCH("/",Raw_Data!E369)),DATE(VALUE(RIGHT(Raw_Data!E369,4)),VALUE(MID(Raw_Data!E369,FIND("/",Raw_Data!E369)+1,FIND("/",Raw_Data!E369,FIND("/",Raw_Data!E369)+1)-FIND("/",Raw_Data!E369)-1)),VALUE(LEFT(Raw_Data!E369,FIND("/",Raw_Data!E369)-1))),IF(ISNUMBER(VALUE(LEFT(Raw_Data!E369,4))),DATE(VALUE(LEFT(Raw_Data!E369,4)),VALUE(MID(Raw_Data!E369,6,2)),VALUE(MID(Raw_Data!E369,9,2))),DATEVALUE(Raw_Data!E369))),"")</f>
        <v>45325</v>
      </c>
      <c r="F369" s="11" t="str">
        <f aca="false">Raw_Data!F369</f>
        <v>Female 35-44</v>
      </c>
      <c r="G369" s="11" t="str">
        <f aca="false">IF(TRIM(Raw_Data!G369)="","Unspecified",IFERROR(INDEX(Lookup_Tables!$F$2:$F$24,MATCH(UPPER(TRIM(Raw_Data!G369)),Lookup_Tables!$G$2:$G$24,0)),"Unknown"))</f>
        <v>West</v>
      </c>
      <c r="H369" s="11" t="n">
        <f aca="false">IF(Raw_Data!H369="",ROUND(AVERAGEIFS(Raw_Data!$H$2:$H$839,Raw_Data!$C$2:$C$839,Raw_Data!C369),2),Raw_Data!H369)</f>
        <v>56924.7</v>
      </c>
      <c r="I369" s="11" t="n">
        <f aca="false">Raw_Data!I369</f>
        <v>935764</v>
      </c>
      <c r="J369" s="11" t="n">
        <f aca="false">IF(Raw_Data!J369&lt;0,ABS(Raw_Data!J369),Raw_Data!J369)</f>
        <v>14437</v>
      </c>
      <c r="K369" s="11" t="n">
        <f aca="false">Raw_Data!K369</f>
        <v>1021</v>
      </c>
      <c r="L369" s="11" t="n">
        <f aca="false">IF(Raw_Data!L369="",ROUND(AVERAGEIFS(Raw_Data!$L$2:$L$839,Raw_Data!$C$2:$C$839,Raw_Data!C369),2),Raw_Data!L369)</f>
        <v>576279.13</v>
      </c>
      <c r="M369" s="13" t="n">
        <f aca="false">IFERROR(J369/I369,0)</f>
        <v>0.0154280352738511</v>
      </c>
      <c r="N369" s="14" t="n">
        <f aca="false">IFERROR(H369/J369,0)</f>
        <v>3.94297291681097</v>
      </c>
      <c r="O369" s="14" t="n">
        <f aca="false">IFERROR(H369/K369,0)</f>
        <v>55.7538687561215</v>
      </c>
      <c r="P369" s="15" t="n">
        <f aca="false">IFERROR(L369/H369,0)</f>
        <v>10.1235338965335</v>
      </c>
      <c r="Q369" s="13" t="n">
        <f aca="false">IFERROR(K369/J369,0)</f>
        <v>0.0707210639329501</v>
      </c>
      <c r="R369" s="11" t="str">
        <f aca="false">IF(COUNTIF($A$2:A369,A369)&gt;1,"Duplicate - Remove","Unique")</f>
        <v>Unique</v>
      </c>
      <c r="S369" s="11" t="str">
        <f aca="false">TRIM(IF(Raw_Data!G369="","Region missing; ","")&amp;IF(Raw_Data!H369="","Spend imputed; ","")&amp;IF(Raw_Data!L369="","Revenue imputed; ","")&amp;IF(Raw_Data!J369&lt;0,"Clicks corrected; ",""))</f>
        <v/>
      </c>
    </row>
    <row r="370" customFormat="false" ht="15" hidden="false" customHeight="true" outlineLevel="0" collapsed="false">
      <c r="A370" s="11" t="n">
        <f aca="false">Raw_Data!A370</f>
        <v>1290</v>
      </c>
      <c r="B370" s="11" t="str">
        <f aca="false">PROPER(TRIM(Raw_Data!B370))</f>
        <v>Ayurvedic Range Launch</v>
      </c>
      <c r="C370" s="11" t="str">
        <f aca="false">IFERROR(INDEX(Lookup_Tables!$B$2:$B$26,MATCH(UPPER(TRIM(Raw_Data!C370)),Lookup_Tables!$C$2:$C$26,0)),"Unknown")</f>
        <v>YouTube</v>
      </c>
      <c r="D370" s="12" t="n">
        <f aca="false">IFERROR(IF(ISNUMBER(SEARCH("/",Raw_Data!D370)),DATE(VALUE(RIGHT(Raw_Data!D370,4)),VALUE(MID(Raw_Data!D370,FIND("/",Raw_Data!D370)+1,FIND("/",Raw_Data!D370,FIND("/",Raw_Data!D370)+1)-FIND("/",Raw_Data!D370)-1)),VALUE(LEFT(Raw_Data!D370,FIND("/",Raw_Data!D370)-1))),IF(ISNUMBER(VALUE(LEFT(Raw_Data!D370,4))),DATE(VALUE(LEFT(Raw_Data!D370,4)),VALUE(MID(Raw_Data!D370,6,2)),VALUE(MID(Raw_Data!D370,9,2))),DATEVALUE(Raw_Data!D370))),"")</f>
        <v>45517</v>
      </c>
      <c r="E370" s="12" t="n">
        <f aca="false">IFERROR(IF(ISNUMBER(SEARCH("/",Raw_Data!E370)),DATE(VALUE(RIGHT(Raw_Data!E370,4)),VALUE(MID(Raw_Data!E370,FIND("/",Raw_Data!E370)+1,FIND("/",Raw_Data!E370,FIND("/",Raw_Data!E370)+1)-FIND("/",Raw_Data!E370)-1)),VALUE(LEFT(Raw_Data!E370,FIND("/",Raw_Data!E370)-1))),IF(ISNUMBER(VALUE(LEFT(Raw_Data!E370,4))),DATE(VALUE(LEFT(Raw_Data!E370,4)),VALUE(MID(Raw_Data!E370,6,2)),VALUE(MID(Raw_Data!E370,9,2))),DATEVALUE(Raw_Data!E370))),"")</f>
        <v>45543</v>
      </c>
      <c r="F370" s="11" t="str">
        <f aca="false">Raw_Data!F370</f>
        <v>Male 35-44</v>
      </c>
      <c r="G370" s="11" t="str">
        <f aca="false">IF(TRIM(Raw_Data!G370)="","Unspecified",IFERROR(INDEX(Lookup_Tables!$F$2:$F$24,MATCH(UPPER(TRIM(Raw_Data!G370)),Lookup_Tables!$G$2:$G$24,0)),"Unknown"))</f>
        <v>South</v>
      </c>
      <c r="H370" s="11" t="n">
        <f aca="false">IF(Raw_Data!H370="",ROUND(AVERAGEIFS(Raw_Data!$H$2:$H$839,Raw_Data!$C$2:$C$839,Raw_Data!C370),2),Raw_Data!H370)</f>
        <v>35449.07</v>
      </c>
      <c r="I370" s="11" t="n">
        <f aca="false">Raw_Data!I370</f>
        <v>671313</v>
      </c>
      <c r="J370" s="11" t="n">
        <f aca="false">IF(Raw_Data!J370&lt;0,ABS(Raw_Data!J370),Raw_Data!J370)</f>
        <v>5661</v>
      </c>
      <c r="K370" s="11" t="n">
        <f aca="false">Raw_Data!K370</f>
        <v>436</v>
      </c>
      <c r="L370" s="11" t="n">
        <f aca="false">IF(Raw_Data!L370="",ROUND(AVERAGEIFS(Raw_Data!$L$2:$L$839,Raw_Data!$C$2:$C$839,Raw_Data!C370),2),Raw_Data!L370)</f>
        <v>506395.41</v>
      </c>
      <c r="M370" s="13" t="n">
        <f aca="false">IFERROR(J370/I370,0)</f>
        <v>0.00843272810149662</v>
      </c>
      <c r="N370" s="14" t="n">
        <f aca="false">IFERROR(H370/J370,0)</f>
        <v>6.26198021550963</v>
      </c>
      <c r="O370" s="14" t="n">
        <f aca="false">IFERROR(H370/K370,0)</f>
        <v>81.3052064220183</v>
      </c>
      <c r="P370" s="15" t="n">
        <f aca="false">IFERROR(L370/H370,0)</f>
        <v>14.285153602055</v>
      </c>
      <c r="Q370" s="13" t="n">
        <f aca="false">IFERROR(K370/J370,0)</f>
        <v>0.0770181946652535</v>
      </c>
      <c r="R370" s="11" t="str">
        <f aca="false">IF(COUNTIF($A$2:A370,A370)&gt;1,"Duplicate - Remove","Unique")</f>
        <v>Unique</v>
      </c>
      <c r="S370" s="11" t="str">
        <f aca="false">TRIM(IF(Raw_Data!G370="","Region missing; ","")&amp;IF(Raw_Data!H370="","Spend imputed; ","")&amp;IF(Raw_Data!L370="","Revenue imputed; ","")&amp;IF(Raw_Data!J370&lt;0,"Clicks corrected; ",""))</f>
        <v/>
      </c>
    </row>
    <row r="371" customFormat="false" ht="15" hidden="false" customHeight="true" outlineLevel="0" collapsed="false">
      <c r="A371" s="11" t="n">
        <f aca="false">Raw_Data!A371</f>
        <v>1189</v>
      </c>
      <c r="B371" s="11" t="str">
        <f aca="false">PROPER(TRIM(Raw_Data!B371))</f>
        <v>New Year Wellness</v>
      </c>
      <c r="C371" s="11" t="str">
        <f aca="false">IFERROR(INDEX(Lookup_Tables!$B$2:$B$26,MATCH(UPPER(TRIM(Raw_Data!C371)),Lookup_Tables!$C$2:$C$26,0)),"Unknown")</f>
        <v>Instagram</v>
      </c>
      <c r="D371" s="12" t="n">
        <f aca="false">IFERROR(IF(ISNUMBER(SEARCH("/",Raw_Data!D371)),DATE(VALUE(RIGHT(Raw_Data!D371,4)),VALUE(MID(Raw_Data!D371,FIND("/",Raw_Data!D371)+1,FIND("/",Raw_Data!D371,FIND("/",Raw_Data!D371)+1)-FIND("/",Raw_Data!D371)-1)),VALUE(LEFT(Raw_Data!D371,FIND("/",Raw_Data!D371)-1))),IF(ISNUMBER(VALUE(LEFT(Raw_Data!D371,4))),DATE(VALUE(LEFT(Raw_Data!D371,4)),VALUE(MID(Raw_Data!D371,6,2)),VALUE(MID(Raw_Data!D371,9,2))),DATEVALUE(Raw_Data!D371))),"")</f>
        <v>45377</v>
      </c>
      <c r="E371" s="12" t="n">
        <f aca="false">IFERROR(IF(ISNUMBER(SEARCH("/",Raw_Data!E371)),DATE(VALUE(RIGHT(Raw_Data!E371,4)),VALUE(MID(Raw_Data!E371,FIND("/",Raw_Data!E371)+1,FIND("/",Raw_Data!E371,FIND("/",Raw_Data!E371)+1)-FIND("/",Raw_Data!E371)-1)),VALUE(LEFT(Raw_Data!E371,FIND("/",Raw_Data!E371)-1))),IF(ISNUMBER(VALUE(LEFT(Raw_Data!E371,4))),DATE(VALUE(LEFT(Raw_Data!E371,4)),VALUE(MID(Raw_Data!E371,6,2)),VALUE(MID(Raw_Data!E371,9,2))),DATEVALUE(Raw_Data!E371))),"")</f>
        <v>45384</v>
      </c>
      <c r="F371" s="11" t="str">
        <f aca="false">Raw_Data!F371</f>
        <v>Male 25-34</v>
      </c>
      <c r="G371" s="11" t="str">
        <f aca="false">IF(TRIM(Raw_Data!G371)="","Unspecified",IFERROR(INDEX(Lookup_Tables!$F$2:$F$24,MATCH(UPPER(TRIM(Raw_Data!G371)),Lookup_Tables!$G$2:$G$24,0)),"Unknown"))</f>
        <v>South</v>
      </c>
      <c r="H371" s="11" t="n">
        <f aca="false">IF(Raw_Data!H371="",ROUND(AVERAGEIFS(Raw_Data!$H$2:$H$839,Raw_Data!$C$2:$C$839,Raw_Data!C371),2),Raw_Data!H371)</f>
        <v>23506.52</v>
      </c>
      <c r="I371" s="11" t="n">
        <f aca="false">Raw_Data!I371</f>
        <v>523506</v>
      </c>
      <c r="J371" s="11" t="n">
        <f aca="false">IF(Raw_Data!J371&lt;0,ABS(Raw_Data!J371),Raw_Data!J371)</f>
        <v>14048</v>
      </c>
      <c r="K371" s="11" t="n">
        <f aca="false">Raw_Data!K371</f>
        <v>726</v>
      </c>
      <c r="L371" s="11" t="n">
        <f aca="false">IF(Raw_Data!L371="",ROUND(AVERAGEIFS(Raw_Data!$L$2:$L$839,Raw_Data!$C$2:$C$839,Raw_Data!C371),2),Raw_Data!L371)</f>
        <v>609739.06</v>
      </c>
      <c r="M371" s="13" t="n">
        <f aca="false">IFERROR(J371/I371,0)</f>
        <v>0.0268344584398269</v>
      </c>
      <c r="N371" s="14" t="n">
        <f aca="false">IFERROR(H371/J371,0)</f>
        <v>1.67330011389522</v>
      </c>
      <c r="O371" s="14" t="n">
        <f aca="false">IFERROR(H371/K371,0)</f>
        <v>32.3781267217631</v>
      </c>
      <c r="P371" s="15" t="n">
        <f aca="false">IFERROR(L371/H371,0)</f>
        <v>25.9391462453821</v>
      </c>
      <c r="Q371" s="13" t="n">
        <f aca="false">IFERROR(K371/J371,0)</f>
        <v>0.0516799544419134</v>
      </c>
      <c r="R371" s="11" t="str">
        <f aca="false">IF(COUNTIF($A$2:A371,A371)&gt;1,"Duplicate - Remove","Unique")</f>
        <v>Unique</v>
      </c>
      <c r="S371" s="11" t="str">
        <f aca="false">TRIM(IF(Raw_Data!G371="","Region missing; ","")&amp;IF(Raw_Data!H371="","Spend imputed; ","")&amp;IF(Raw_Data!L371="","Revenue imputed; ","")&amp;IF(Raw_Data!J371&lt;0,"Clicks corrected; ",""))</f>
        <v/>
      </c>
    </row>
    <row r="372" customFormat="false" ht="15" hidden="false" customHeight="true" outlineLevel="0" collapsed="false">
      <c r="A372" s="11" t="n">
        <f aca="false">Raw_Data!A372</f>
        <v>1260</v>
      </c>
      <c r="B372" s="11" t="str">
        <f aca="false">PROPER(TRIM(Raw_Data!B372))</f>
        <v>Baby Care Trust Campaign</v>
      </c>
      <c r="C372" s="11" t="str">
        <f aca="false">IFERROR(INDEX(Lookup_Tables!$B$2:$B$26,MATCH(UPPER(TRIM(Raw_Data!C372)),Lookup_Tables!$C$2:$C$26,0)),"Unknown")</f>
        <v>Email</v>
      </c>
      <c r="D372" s="12" t="n">
        <f aca="false">IFERROR(IF(ISNUMBER(SEARCH("/",Raw_Data!D372)),DATE(VALUE(RIGHT(Raw_Data!D372,4)),VALUE(MID(Raw_Data!D372,FIND("/",Raw_Data!D372)+1,FIND("/",Raw_Data!D372,FIND("/",Raw_Data!D372)+1)-FIND("/",Raw_Data!D372)-1)),VALUE(LEFT(Raw_Data!D372,FIND("/",Raw_Data!D372)-1))),IF(ISNUMBER(VALUE(LEFT(Raw_Data!D372,4))),DATE(VALUE(LEFT(Raw_Data!D372,4)),VALUE(MID(Raw_Data!D372,6,2)),VALUE(MID(Raw_Data!D372,9,2))),DATEVALUE(Raw_Data!D372))),"")</f>
        <v>45476</v>
      </c>
      <c r="E372" s="12" t="n">
        <f aca="false">IFERROR(IF(ISNUMBER(SEARCH("/",Raw_Data!E372)),DATE(VALUE(RIGHT(Raw_Data!E372,4)),VALUE(MID(Raw_Data!E372,FIND("/",Raw_Data!E372)+1,FIND("/",Raw_Data!E372,FIND("/",Raw_Data!E372)+1)-FIND("/",Raw_Data!E372)-1)),VALUE(LEFT(Raw_Data!E372,FIND("/",Raw_Data!E372)-1))),IF(ISNUMBER(VALUE(LEFT(Raw_Data!E372,4))),DATE(VALUE(LEFT(Raw_Data!E372,4)),VALUE(MID(Raw_Data!E372,6,2)),VALUE(MID(Raw_Data!E372,9,2))),DATEVALUE(Raw_Data!E372))),"")</f>
        <v>45495</v>
      </c>
      <c r="F372" s="11" t="str">
        <f aca="false">Raw_Data!F372</f>
        <v>Male 25-34</v>
      </c>
      <c r="G372" s="11" t="str">
        <f aca="false">IF(TRIM(Raw_Data!G372)="","Unspecified",IFERROR(INDEX(Lookup_Tables!$F$2:$F$24,MATCH(UPPER(TRIM(Raw_Data!G372)),Lookup_Tables!$G$2:$G$24,0)),"Unknown"))</f>
        <v>West</v>
      </c>
      <c r="H372" s="11" t="n">
        <f aca="false">IF(Raw_Data!H372="",ROUND(AVERAGEIFS(Raw_Data!$H$2:$H$839,Raw_Data!$C$2:$C$839,Raw_Data!C372),2),Raw_Data!H372)</f>
        <v>7718.77</v>
      </c>
      <c r="I372" s="11" t="n">
        <f aca="false">Raw_Data!I372</f>
        <v>115819</v>
      </c>
      <c r="J372" s="11" t="n">
        <f aca="false">IF(Raw_Data!J372&lt;0,ABS(Raw_Data!J372),Raw_Data!J372)</f>
        <v>699</v>
      </c>
      <c r="K372" s="11" t="n">
        <f aca="false">Raw_Data!K372</f>
        <v>20</v>
      </c>
      <c r="L372" s="11" t="n">
        <f aca="false">IF(Raw_Data!L372="",ROUND(AVERAGEIFS(Raw_Data!$L$2:$L$839,Raw_Data!$C$2:$C$839,Raw_Data!C372),2),Raw_Data!L372)</f>
        <v>7472.77</v>
      </c>
      <c r="M372" s="13" t="n">
        <f aca="false">IFERROR(J372/I372,0)</f>
        <v>0.00603527918562585</v>
      </c>
      <c r="N372" s="14" t="n">
        <f aca="false">IFERROR(H372/J372,0)</f>
        <v>11.0425894134478</v>
      </c>
      <c r="O372" s="14" t="n">
        <f aca="false">IFERROR(H372/K372,0)</f>
        <v>385.9385</v>
      </c>
      <c r="P372" s="15" t="n">
        <f aca="false">IFERROR(L372/H372,0)</f>
        <v>0.968129637234948</v>
      </c>
      <c r="Q372" s="13" t="n">
        <f aca="false">IFERROR(K372/J372,0)</f>
        <v>0.0286123032904149</v>
      </c>
      <c r="R372" s="11" t="str">
        <f aca="false">IF(COUNTIF($A$2:A372,A372)&gt;1,"Duplicate - Remove","Unique")</f>
        <v>Unique</v>
      </c>
      <c r="S372" s="11" t="str">
        <f aca="false">TRIM(IF(Raw_Data!G372="","Region missing; ","")&amp;IF(Raw_Data!H372="","Spend imputed; ","")&amp;IF(Raw_Data!L372="","Revenue imputed; ","")&amp;IF(Raw_Data!J372&lt;0,"Clicks corrected; ",""))</f>
        <v>Clicks corrected;</v>
      </c>
    </row>
    <row r="373" customFormat="false" ht="15" hidden="false" customHeight="true" outlineLevel="0" collapsed="false">
      <c r="A373" s="11" t="n">
        <f aca="false">Raw_Data!A373</f>
        <v>1025</v>
      </c>
      <c r="B373" s="11" t="str">
        <f aca="false">PROPER(TRIM(Raw_Data!B373))</f>
        <v>New Year Wellness</v>
      </c>
      <c r="C373" s="11" t="str">
        <f aca="false">IFERROR(INDEX(Lookup_Tables!$B$2:$B$26,MATCH(UPPER(TRIM(Raw_Data!C373)),Lookup_Tables!$C$2:$C$26,0)),"Unknown")</f>
        <v>Email</v>
      </c>
      <c r="D373" s="12" t="n">
        <f aca="false">IFERROR(IF(ISNUMBER(SEARCH("/",Raw_Data!D373)),DATE(VALUE(RIGHT(Raw_Data!D373,4)),VALUE(MID(Raw_Data!D373,FIND("/",Raw_Data!D373)+1,FIND("/",Raw_Data!D373,FIND("/",Raw_Data!D373)+1)-FIND("/",Raw_Data!D373)-1)),VALUE(LEFT(Raw_Data!D373,FIND("/",Raw_Data!D373)-1))),IF(ISNUMBER(VALUE(LEFT(Raw_Data!D373,4))),DATE(VALUE(LEFT(Raw_Data!D373,4)),VALUE(MID(Raw_Data!D373,6,2)),VALUE(MID(Raw_Data!D373,9,2))),DATEVALUE(Raw_Data!D373))),"")</f>
        <v>45317</v>
      </c>
      <c r="E373" s="12" t="n">
        <f aca="false">IFERROR(IF(ISNUMBER(SEARCH("/",Raw_Data!E373)),DATE(VALUE(RIGHT(Raw_Data!E373,4)),VALUE(MID(Raw_Data!E373,FIND("/",Raw_Data!E373)+1,FIND("/",Raw_Data!E373,FIND("/",Raw_Data!E373)+1)-FIND("/",Raw_Data!E373)-1)),VALUE(LEFT(Raw_Data!E373,FIND("/",Raw_Data!E373)-1))),IF(ISNUMBER(VALUE(LEFT(Raw_Data!E373,4))),DATE(VALUE(LEFT(Raw_Data!E373,4)),VALUE(MID(Raw_Data!E373,6,2)),VALUE(MID(Raw_Data!E373,9,2))),DATEVALUE(Raw_Data!E373))),"")</f>
        <v>45339</v>
      </c>
      <c r="F373" s="11" t="str">
        <f aca="false">Raw_Data!F373</f>
        <v>Male 45+</v>
      </c>
      <c r="G373" s="11" t="str">
        <f aca="false">IF(TRIM(Raw_Data!G373)="","Unspecified",IFERROR(INDEX(Lookup_Tables!$F$2:$F$24,MATCH(UPPER(TRIM(Raw_Data!G373)),Lookup_Tables!$G$2:$G$24,0)),"Unknown"))</f>
        <v>North</v>
      </c>
      <c r="H373" s="11" t="n">
        <f aca="false">IF(Raw_Data!H373="",ROUND(AVERAGEIFS(Raw_Data!$H$2:$H$839,Raw_Data!$C$2:$C$839,Raw_Data!C373),2),Raw_Data!H373)</f>
        <v>7422.29</v>
      </c>
      <c r="I373" s="11" t="n">
        <f aca="false">Raw_Data!I373</f>
        <v>133853</v>
      </c>
      <c r="J373" s="11" t="n">
        <f aca="false">IF(Raw_Data!J373&lt;0,ABS(Raw_Data!J373),Raw_Data!J373)</f>
        <v>1204</v>
      </c>
      <c r="K373" s="11" t="n">
        <f aca="false">Raw_Data!K373</f>
        <v>51</v>
      </c>
      <c r="L373" s="11" t="n">
        <f aca="false">IF(Raw_Data!L373="",ROUND(AVERAGEIFS(Raw_Data!$L$2:$L$839,Raw_Data!$C$2:$C$839,Raw_Data!C373),2),Raw_Data!L373)</f>
        <v>57127.2</v>
      </c>
      <c r="M373" s="13" t="n">
        <f aca="false">IFERROR(J373/I373,0)</f>
        <v>0.0089949422127259</v>
      </c>
      <c r="N373" s="14" t="n">
        <f aca="false">IFERROR(H373/J373,0)</f>
        <v>6.1646926910299</v>
      </c>
      <c r="O373" s="14" t="n">
        <f aca="false">IFERROR(H373/K373,0)</f>
        <v>145.535098039216</v>
      </c>
      <c r="P373" s="15" t="n">
        <f aca="false">IFERROR(L373/H373,0)</f>
        <v>7.69670815880274</v>
      </c>
      <c r="Q373" s="13" t="n">
        <f aca="false">IFERROR(K373/J373,0)</f>
        <v>0.042358803986711</v>
      </c>
      <c r="R373" s="11" t="str">
        <f aca="false">IF(COUNTIF($A$2:A373,A373)&gt;1,"Duplicate - Remove","Unique")</f>
        <v>Unique</v>
      </c>
      <c r="S373" s="11" t="str">
        <f aca="false">TRIM(IF(Raw_Data!G373="","Region missing; ","")&amp;IF(Raw_Data!H373="","Spend imputed; ","")&amp;IF(Raw_Data!L373="","Revenue imputed; ","")&amp;IF(Raw_Data!J373&lt;0,"Clicks corrected; ",""))</f>
        <v/>
      </c>
    </row>
    <row r="374" customFormat="false" ht="15" hidden="false" customHeight="true" outlineLevel="0" collapsed="false">
      <c r="A374" s="11" t="n">
        <f aca="false">Raw_Data!A374</f>
        <v>1311</v>
      </c>
      <c r="B374" s="11" t="str">
        <f aca="false">PROPER(TRIM(Raw_Data!B374))</f>
        <v>Baby Care Trust Campaign</v>
      </c>
      <c r="C374" s="11" t="str">
        <f aca="false">IFERROR(INDEX(Lookup_Tables!$B$2:$B$26,MATCH(UPPER(TRIM(Raw_Data!C374)),Lookup_Tables!$C$2:$C$26,0)),"Unknown")</f>
        <v>Google Ads</v>
      </c>
      <c r="D374" s="12" t="n">
        <f aca="false">IFERROR(IF(ISNUMBER(SEARCH("/",Raw_Data!D374)),DATE(VALUE(RIGHT(Raw_Data!D374,4)),VALUE(MID(Raw_Data!D374,FIND("/",Raw_Data!D374)+1,FIND("/",Raw_Data!D374,FIND("/",Raw_Data!D374)+1)-FIND("/",Raw_Data!D374)-1)),VALUE(LEFT(Raw_Data!D374,FIND("/",Raw_Data!D374)-1))),IF(ISNUMBER(VALUE(LEFT(Raw_Data!D374,4))),DATE(VALUE(LEFT(Raw_Data!D374,4)),VALUE(MID(Raw_Data!D374,6,2)),VALUE(MID(Raw_Data!D374,9,2))),DATEVALUE(Raw_Data!D374))),"")</f>
        <v>45568</v>
      </c>
      <c r="E374" s="12" t="n">
        <f aca="false">IFERROR(IF(ISNUMBER(SEARCH("/",Raw_Data!E374)),DATE(VALUE(RIGHT(Raw_Data!E374,4)),VALUE(MID(Raw_Data!E374,FIND("/",Raw_Data!E374)+1,FIND("/",Raw_Data!E374,FIND("/",Raw_Data!E374)+1)-FIND("/",Raw_Data!E374)-1)),VALUE(LEFT(Raw_Data!E374,FIND("/",Raw_Data!E374)-1))),IF(ISNUMBER(VALUE(LEFT(Raw_Data!E374,4))),DATE(VALUE(LEFT(Raw_Data!E374,4)),VALUE(MID(Raw_Data!E374,6,2)),VALUE(MID(Raw_Data!E374,9,2))),DATEVALUE(Raw_Data!E374))),"")</f>
        <v>45580</v>
      </c>
      <c r="F374" s="11" t="str">
        <f aca="false">Raw_Data!F374</f>
        <v>Female 25-34</v>
      </c>
      <c r="G374" s="11" t="str">
        <f aca="false">IF(TRIM(Raw_Data!G374)="","Unspecified",IFERROR(INDEX(Lookup_Tables!$F$2:$F$24,MATCH(UPPER(TRIM(Raw_Data!G374)),Lookup_Tables!$G$2:$G$24,0)),"Unknown"))</f>
        <v>West</v>
      </c>
      <c r="H374" s="11" t="n">
        <f aca="false">IF(Raw_Data!H374="",ROUND(AVERAGEIFS(Raw_Data!$H$2:$H$839,Raw_Data!$C$2:$C$839,Raw_Data!C374),2),Raw_Data!H374)</f>
        <v>36909.67</v>
      </c>
      <c r="I374" s="11" t="n">
        <f aca="false">Raw_Data!I374</f>
        <v>1189655</v>
      </c>
      <c r="J374" s="11" t="n">
        <f aca="false">IF(Raw_Data!J374&lt;0,ABS(Raw_Data!J374),Raw_Data!J374)</f>
        <v>33780</v>
      </c>
      <c r="K374" s="11" t="n">
        <f aca="false">Raw_Data!K374</f>
        <v>624</v>
      </c>
      <c r="L374" s="11" t="n">
        <f aca="false">IF(Raw_Data!L374="",ROUND(AVERAGEIFS(Raw_Data!$L$2:$L$839,Raw_Data!$C$2:$C$839,Raw_Data!C374),2),Raw_Data!L374)</f>
        <v>702743.13</v>
      </c>
      <c r="M374" s="13" t="n">
        <f aca="false">IFERROR(J374/I374,0)</f>
        <v>0.0283947867238821</v>
      </c>
      <c r="N374" s="14" t="n">
        <f aca="false">IFERROR(H374/J374,0)</f>
        <v>1.09264860864417</v>
      </c>
      <c r="O374" s="14" t="n">
        <f aca="false">IFERROR(H374/K374,0)</f>
        <v>59.1501121794872</v>
      </c>
      <c r="P374" s="15" t="n">
        <f aca="false">IFERROR(L374/H374,0)</f>
        <v>19.0395397737233</v>
      </c>
      <c r="Q374" s="13" t="n">
        <f aca="false">IFERROR(K374/J374,0)</f>
        <v>0.0184724689165187</v>
      </c>
      <c r="R374" s="11" t="str">
        <f aca="false">IF(COUNTIF($A$2:A374,A374)&gt;1,"Duplicate - Remove","Unique")</f>
        <v>Unique</v>
      </c>
      <c r="S374" s="11" t="str">
        <f aca="false">TRIM(IF(Raw_Data!G374="","Region missing; ","")&amp;IF(Raw_Data!H374="","Spend imputed; ","")&amp;IF(Raw_Data!L374="","Revenue imputed; ","")&amp;IF(Raw_Data!J374&lt;0,"Clicks corrected; ",""))</f>
        <v/>
      </c>
    </row>
    <row r="375" customFormat="false" ht="15" hidden="false" customHeight="true" outlineLevel="0" collapsed="false">
      <c r="A375" s="11" t="n">
        <f aca="false">Raw_Data!A375</f>
        <v>1465</v>
      </c>
      <c r="B375" s="11" t="str">
        <f aca="false">PROPER(TRIM(Raw_Data!B375))</f>
        <v>Summer Glow Launch</v>
      </c>
      <c r="C375" s="11" t="str">
        <f aca="false">IFERROR(INDEX(Lookup_Tables!$B$2:$B$26,MATCH(UPPER(TRIM(Raw_Data!C375)),Lookup_Tables!$C$2:$C$26,0)),"Unknown")</f>
        <v>YouTube</v>
      </c>
      <c r="D375" s="12" t="n">
        <f aca="false">IFERROR(IF(ISNUMBER(SEARCH("/",Raw_Data!D375)),DATE(VALUE(RIGHT(Raw_Data!D375,4)),VALUE(MID(Raw_Data!D375,FIND("/",Raw_Data!D375)+1,FIND("/",Raw_Data!D375,FIND("/",Raw_Data!D375)+1)-FIND("/",Raw_Data!D375)-1)),VALUE(LEFT(Raw_Data!D375,FIND("/",Raw_Data!D375)-1))),IF(ISNUMBER(VALUE(LEFT(Raw_Data!D375,4))),DATE(VALUE(LEFT(Raw_Data!D375,4)),VALUE(MID(Raw_Data!D375,6,2)),VALUE(MID(Raw_Data!D375,9,2))),DATEVALUE(Raw_Data!D375))),"")</f>
        <v>45595</v>
      </c>
      <c r="E375" s="12" t="n">
        <f aca="false">IFERROR(IF(ISNUMBER(SEARCH("/",Raw_Data!E375)),DATE(VALUE(RIGHT(Raw_Data!E375,4)),VALUE(MID(Raw_Data!E375,FIND("/",Raw_Data!E375)+1,FIND("/",Raw_Data!E375,FIND("/",Raw_Data!E375)+1)-FIND("/",Raw_Data!E375)-1)),VALUE(LEFT(Raw_Data!E375,FIND("/",Raw_Data!E375)-1))),IF(ISNUMBER(VALUE(LEFT(Raw_Data!E375,4))),DATE(VALUE(LEFT(Raw_Data!E375,4)),VALUE(MID(Raw_Data!E375,6,2)),VALUE(MID(Raw_Data!E375,9,2))),DATEVALUE(Raw_Data!E375))),"")</f>
        <v>45605</v>
      </c>
      <c r="F375" s="11" t="str">
        <f aca="false">Raw_Data!F375</f>
        <v>Female 25-34</v>
      </c>
      <c r="G375" s="11" t="str">
        <f aca="false">IF(TRIM(Raw_Data!G375)="","Unspecified",IFERROR(INDEX(Lookup_Tables!$F$2:$F$24,MATCH(UPPER(TRIM(Raw_Data!G375)),Lookup_Tables!$G$2:$G$24,0)),"Unknown"))</f>
        <v>West</v>
      </c>
      <c r="H375" s="11" t="n">
        <f aca="false">IF(Raw_Data!H375="",ROUND(AVERAGEIFS(Raw_Data!$H$2:$H$839,Raw_Data!$C$2:$C$839,Raw_Data!C375),2),Raw_Data!H375)</f>
        <v>51314.36</v>
      </c>
      <c r="I375" s="11" t="n">
        <f aca="false">Raw_Data!I375</f>
        <v>1596642</v>
      </c>
      <c r="J375" s="11" t="n">
        <f aca="false">IF(Raw_Data!J375&lt;0,ABS(Raw_Data!J375),Raw_Data!J375)</f>
        <v>28755</v>
      </c>
      <c r="K375" s="11" t="n">
        <f aca="false">Raw_Data!K375</f>
        <v>1437</v>
      </c>
      <c r="L375" s="11" t="n">
        <f aca="false">IF(Raw_Data!L375="",ROUND(AVERAGEIFS(Raw_Data!$L$2:$L$839,Raw_Data!$C$2:$C$839,Raw_Data!C375),2),Raw_Data!L375)</f>
        <v>710150.77</v>
      </c>
      <c r="M375" s="13" t="n">
        <f aca="false">IFERROR(J375/I375,0)</f>
        <v>0.0180096728007907</v>
      </c>
      <c r="N375" s="14" t="n">
        <f aca="false">IFERROR(H375/J375,0)</f>
        <v>1.78453695009564</v>
      </c>
      <c r="O375" s="14" t="n">
        <f aca="false">IFERROR(H375/K375,0)</f>
        <v>35.7093667362561</v>
      </c>
      <c r="P375" s="15" t="n">
        <f aca="false">IFERROR(L375/H375,0)</f>
        <v>13.8392210289673</v>
      </c>
      <c r="Q375" s="13" t="n">
        <f aca="false">IFERROR(K375/J375,0)</f>
        <v>0.0499739175795514</v>
      </c>
      <c r="R375" s="11" t="str">
        <f aca="false">IF(COUNTIF($A$2:A375,A375)&gt;1,"Duplicate - Remove","Unique")</f>
        <v>Unique</v>
      </c>
      <c r="S375" s="11" t="str">
        <f aca="false">TRIM(IF(Raw_Data!G375="","Region missing; ","")&amp;IF(Raw_Data!H375="","Spend imputed; ","")&amp;IF(Raw_Data!L375="","Revenue imputed; ","")&amp;IF(Raw_Data!J375&lt;0,"Clicks corrected; ",""))</f>
        <v/>
      </c>
    </row>
    <row r="376" customFormat="false" ht="15" hidden="false" customHeight="true" outlineLevel="0" collapsed="false">
      <c r="A376" s="11" t="n">
        <f aca="false">Raw_Data!A376</f>
        <v>1567</v>
      </c>
      <c r="B376" s="11" t="str">
        <f aca="false">PROPER(TRIM(Raw_Data!B376))</f>
        <v>Wedding Season Special</v>
      </c>
      <c r="C376" s="11" t="str">
        <f aca="false">IFERROR(INDEX(Lookup_Tables!$B$2:$B$26,MATCH(UPPER(TRIM(Raw_Data!C376)),Lookup_Tables!$C$2:$C$26,0)),"Unknown")</f>
        <v>Facebook</v>
      </c>
      <c r="D376" s="12" t="n">
        <f aca="false">IFERROR(IF(ISNUMBER(SEARCH("/",Raw_Data!D376)),DATE(VALUE(RIGHT(Raw_Data!D376,4)),VALUE(MID(Raw_Data!D376,FIND("/",Raw_Data!D376)+1,FIND("/",Raw_Data!D376,FIND("/",Raw_Data!D376)+1)-FIND("/",Raw_Data!D376)-1)),VALUE(LEFT(Raw_Data!D376,FIND("/",Raw_Data!D376)-1))),IF(ISNUMBER(VALUE(LEFT(Raw_Data!D376,4))),DATE(VALUE(LEFT(Raw_Data!D376,4)),VALUE(MID(Raw_Data!D376,6,2)),VALUE(MID(Raw_Data!D376,9,2))),DATEVALUE(Raw_Data!D376))),"")</f>
        <v>45610</v>
      </c>
      <c r="E376" s="12" t="n">
        <f aca="false">IFERROR(IF(ISNUMBER(SEARCH("/",Raw_Data!E376)),DATE(VALUE(RIGHT(Raw_Data!E376,4)),VALUE(MID(Raw_Data!E376,FIND("/",Raw_Data!E376)+1,FIND("/",Raw_Data!E376,FIND("/",Raw_Data!E376)+1)-FIND("/",Raw_Data!E376)-1)),VALUE(LEFT(Raw_Data!E376,FIND("/",Raw_Data!E376)-1))),IF(ISNUMBER(VALUE(LEFT(Raw_Data!E376,4))),DATE(VALUE(LEFT(Raw_Data!E376,4)),VALUE(MID(Raw_Data!E376,6,2)),VALUE(MID(Raw_Data!E376,9,2))),DATEVALUE(Raw_Data!E376))),"")</f>
        <v>45630</v>
      </c>
      <c r="F376" s="11" t="str">
        <f aca="false">Raw_Data!F376</f>
        <v>Female 45+</v>
      </c>
      <c r="G376" s="11" t="str">
        <f aca="false">IF(TRIM(Raw_Data!G376)="","Unspecified",IFERROR(INDEX(Lookup_Tables!$F$2:$F$24,MATCH(UPPER(TRIM(Raw_Data!G376)),Lookup_Tables!$G$2:$G$24,0)),"Unknown"))</f>
        <v>Central</v>
      </c>
      <c r="H376" s="11" t="n">
        <f aca="false">IF(Raw_Data!H376="",ROUND(AVERAGEIFS(Raw_Data!$H$2:$H$839,Raw_Data!$C$2:$C$839,Raw_Data!C376),2),Raw_Data!H376)</f>
        <v>9451.63</v>
      </c>
      <c r="I376" s="11" t="n">
        <f aca="false">Raw_Data!I376</f>
        <v>357283</v>
      </c>
      <c r="J376" s="11" t="n">
        <f aca="false">IF(Raw_Data!J376&lt;0,ABS(Raw_Data!J376),Raw_Data!J376)</f>
        <v>10805</v>
      </c>
      <c r="K376" s="11" t="n">
        <f aca="false">Raw_Data!K376</f>
        <v>502</v>
      </c>
      <c r="L376" s="11" t="n">
        <f aca="false">IF(Raw_Data!L376="",ROUND(AVERAGEIFS(Raw_Data!$L$2:$L$839,Raw_Data!$C$2:$C$839,Raw_Data!C376),2),Raw_Data!L376)</f>
        <v>397665.24</v>
      </c>
      <c r="M376" s="13" t="n">
        <f aca="false">IFERROR(J376/I376,0)</f>
        <v>0.0302421329870159</v>
      </c>
      <c r="N376" s="14" t="n">
        <f aca="false">IFERROR(H376/J376,0)</f>
        <v>0.874745950948635</v>
      </c>
      <c r="O376" s="14" t="n">
        <f aca="false">IFERROR(H376/K376,0)</f>
        <v>18.8279482071713</v>
      </c>
      <c r="P376" s="15" t="n">
        <f aca="false">IFERROR(L376/H376,0)</f>
        <v>42.073720617502</v>
      </c>
      <c r="Q376" s="13" t="n">
        <f aca="false">IFERROR(K376/J376,0)</f>
        <v>0.0464599722350764</v>
      </c>
      <c r="R376" s="11" t="str">
        <f aca="false">IF(COUNTIF($A$2:A376,A376)&gt;1,"Duplicate - Remove","Unique")</f>
        <v>Unique</v>
      </c>
      <c r="S376" s="11" t="str">
        <f aca="false">TRIM(IF(Raw_Data!G376="","Region missing; ","")&amp;IF(Raw_Data!H376="","Spend imputed; ","")&amp;IF(Raw_Data!L376="","Revenue imputed; ","")&amp;IF(Raw_Data!J376&lt;0,"Clicks corrected; ",""))</f>
        <v/>
      </c>
    </row>
    <row r="377" customFormat="false" ht="15" hidden="false" customHeight="true" outlineLevel="0" collapsed="false">
      <c r="A377" s="11" t="n">
        <f aca="false">Raw_Data!A377</f>
        <v>1770</v>
      </c>
      <c r="B377" s="11" t="str">
        <f aca="false">PROPER(TRIM(Raw_Data!B377))</f>
        <v>Festive Gift Bundle</v>
      </c>
      <c r="C377" s="11" t="str">
        <f aca="false">IFERROR(INDEX(Lookup_Tables!$B$2:$B$26,MATCH(UPPER(TRIM(Raw_Data!C377)),Lookup_Tables!$C$2:$C$26,0)),"Unknown")</f>
        <v>Instagram</v>
      </c>
      <c r="D377" s="12" t="n">
        <f aca="false">IFERROR(IF(ISNUMBER(SEARCH("/",Raw_Data!D377)),DATE(VALUE(RIGHT(Raw_Data!D377,4)),VALUE(MID(Raw_Data!D377,FIND("/",Raw_Data!D377)+1,FIND("/",Raw_Data!D377,FIND("/",Raw_Data!D377)+1)-FIND("/",Raw_Data!D377)-1)),VALUE(LEFT(Raw_Data!D377,FIND("/",Raw_Data!D377)-1))),IF(ISNUMBER(VALUE(LEFT(Raw_Data!D377,4))),DATE(VALUE(LEFT(Raw_Data!D377,4)),VALUE(MID(Raw_Data!D377,6,2)),VALUE(MID(Raw_Data!D377,9,2))),DATEVALUE(Raw_Data!D377))),"")</f>
        <v>45585</v>
      </c>
      <c r="E377" s="12" t="n">
        <f aca="false">IFERROR(IF(ISNUMBER(SEARCH("/",Raw_Data!E377)),DATE(VALUE(RIGHT(Raw_Data!E377,4)),VALUE(MID(Raw_Data!E377,FIND("/",Raw_Data!E377)+1,FIND("/",Raw_Data!E377,FIND("/",Raw_Data!E377)+1)-FIND("/",Raw_Data!E377)-1)),VALUE(LEFT(Raw_Data!E377,FIND("/",Raw_Data!E377)-1))),IF(ISNUMBER(VALUE(LEFT(Raw_Data!E377,4))),DATE(VALUE(LEFT(Raw_Data!E377,4)),VALUE(MID(Raw_Data!E377,6,2)),VALUE(MID(Raw_Data!E377,9,2))),DATEVALUE(Raw_Data!E377))),"")</f>
        <v>45615</v>
      </c>
      <c r="F377" s="11" t="str">
        <f aca="false">Raw_Data!F377</f>
        <v>Male 35-44</v>
      </c>
      <c r="G377" s="11" t="str">
        <f aca="false">IF(TRIM(Raw_Data!G377)="","Unspecified",IFERROR(INDEX(Lookup_Tables!$F$2:$F$24,MATCH(UPPER(TRIM(Raw_Data!G377)),Lookup_Tables!$G$2:$G$24,0)),"Unknown"))</f>
        <v>South</v>
      </c>
      <c r="H377" s="11" t="n">
        <f aca="false">IF(Raw_Data!H377="",ROUND(AVERAGEIFS(Raw_Data!$H$2:$H$839,Raw_Data!$C$2:$C$839,Raw_Data!C377),2),Raw_Data!H377)</f>
        <v>32045.07</v>
      </c>
      <c r="I377" s="11" t="n">
        <f aca="false">Raw_Data!I377</f>
        <v>845143</v>
      </c>
      <c r="J377" s="11" t="n">
        <f aca="false">IF(Raw_Data!J377&lt;0,ABS(Raw_Data!J377),Raw_Data!J377)</f>
        <v>22232</v>
      </c>
      <c r="K377" s="11" t="n">
        <f aca="false">Raw_Data!K377</f>
        <v>1332</v>
      </c>
      <c r="L377" s="11" t="n">
        <f aca="false">IF(Raw_Data!L377="",ROUND(AVERAGEIFS(Raw_Data!$L$2:$L$839,Raw_Data!$C$2:$C$839,Raw_Data!C377),2),Raw_Data!L377)</f>
        <v>779254.64</v>
      </c>
      <c r="M377" s="13" t="n">
        <f aca="false">IFERROR(J377/I377,0)</f>
        <v>0.0263056074534132</v>
      </c>
      <c r="N377" s="14" t="n">
        <f aca="false">IFERROR(H377/J377,0)</f>
        <v>1.44139393666787</v>
      </c>
      <c r="O377" s="14" t="n">
        <f aca="false">IFERROR(H377/K377,0)</f>
        <v>24.0578603603604</v>
      </c>
      <c r="P377" s="15" t="n">
        <f aca="false">IFERROR(L377/H377,0)</f>
        <v>24.3174578804166</v>
      </c>
      <c r="Q377" s="13" t="n">
        <f aca="false">IFERROR(K377/J377,0)</f>
        <v>0.0599136379992803</v>
      </c>
      <c r="R377" s="11" t="str">
        <f aca="false">IF(COUNTIF($A$2:A377,A377)&gt;1,"Duplicate - Remove","Unique")</f>
        <v>Unique</v>
      </c>
      <c r="S377" s="11" t="str">
        <f aca="false">TRIM(IF(Raw_Data!G377="","Region missing; ","")&amp;IF(Raw_Data!H377="","Spend imputed; ","")&amp;IF(Raw_Data!L377="","Revenue imputed; ","")&amp;IF(Raw_Data!J377&lt;0,"Clicks corrected; ",""))</f>
        <v/>
      </c>
    </row>
    <row r="378" customFormat="false" ht="15" hidden="false" customHeight="true" outlineLevel="0" collapsed="false">
      <c r="A378" s="11" t="n">
        <f aca="false">Raw_Data!A378</f>
        <v>1527</v>
      </c>
      <c r="B378" s="11" t="str">
        <f aca="false">PROPER(TRIM(Raw_Data!B378))</f>
        <v>Men'S Grooming Drive</v>
      </c>
      <c r="C378" s="11" t="str">
        <f aca="false">IFERROR(INDEX(Lookup_Tables!$B$2:$B$26,MATCH(UPPER(TRIM(Raw_Data!C378)),Lookup_Tables!$C$2:$C$26,0)),"Unknown")</f>
        <v>Email</v>
      </c>
      <c r="D378" s="12" t="n">
        <f aca="false">IFERROR(IF(ISNUMBER(SEARCH("/",Raw_Data!D378)),DATE(VALUE(RIGHT(Raw_Data!D378,4)),VALUE(MID(Raw_Data!D378,FIND("/",Raw_Data!D378)+1,FIND("/",Raw_Data!D378,FIND("/",Raw_Data!D378)+1)-FIND("/",Raw_Data!D378)-1)),VALUE(LEFT(Raw_Data!D378,FIND("/",Raw_Data!D378)-1))),IF(ISNUMBER(VALUE(LEFT(Raw_Data!D378,4))),DATE(VALUE(LEFT(Raw_Data!D378,4)),VALUE(MID(Raw_Data!D378,6,2)),VALUE(MID(Raw_Data!D378,9,2))),DATEVALUE(Raw_Data!D378))),"")</f>
        <v>45376</v>
      </c>
      <c r="E378" s="12" t="n">
        <f aca="false">IFERROR(IF(ISNUMBER(SEARCH("/",Raw_Data!E378)),DATE(VALUE(RIGHT(Raw_Data!E378,4)),VALUE(MID(Raw_Data!E378,FIND("/",Raw_Data!E378)+1,FIND("/",Raw_Data!E378,FIND("/",Raw_Data!E378)+1)-FIND("/",Raw_Data!E378)-1)),VALUE(LEFT(Raw_Data!E378,FIND("/",Raw_Data!E378)-1))),IF(ISNUMBER(VALUE(LEFT(Raw_Data!E378,4))),DATE(VALUE(LEFT(Raw_Data!E378,4)),VALUE(MID(Raw_Data!E378,6,2)),VALUE(MID(Raw_Data!E378,9,2))),DATEVALUE(Raw_Data!E378))),"")</f>
        <v>45406</v>
      </c>
      <c r="F378" s="11" t="str">
        <f aca="false">Raw_Data!F378</f>
        <v>Male 25-34</v>
      </c>
      <c r="G378" s="11" t="str">
        <f aca="false">IF(TRIM(Raw_Data!G378)="","Unspecified",IFERROR(INDEX(Lookup_Tables!$F$2:$F$24,MATCH(UPPER(TRIM(Raw_Data!G378)),Lookup_Tables!$G$2:$G$24,0)),"Unknown"))</f>
        <v>East</v>
      </c>
      <c r="H378" s="11" t="n">
        <f aca="false">IF(Raw_Data!H378="",ROUND(AVERAGEIFS(Raw_Data!$H$2:$H$839,Raw_Data!$C$2:$C$839,Raw_Data!C378),2),Raw_Data!H378)</f>
        <v>7676.33</v>
      </c>
      <c r="I378" s="11" t="n">
        <f aca="false">Raw_Data!I378</f>
        <v>208763</v>
      </c>
      <c r="J378" s="11" t="n">
        <f aca="false">IF(Raw_Data!J378&lt;0,ABS(Raw_Data!J378),Raw_Data!J378)</f>
        <v>6573</v>
      </c>
      <c r="K378" s="11" t="n">
        <f aca="false">Raw_Data!K378</f>
        <v>260</v>
      </c>
      <c r="L378" s="11" t="n">
        <f aca="false">IF(Raw_Data!L378="",ROUND(AVERAGEIFS(Raw_Data!$L$2:$L$839,Raw_Data!$C$2:$C$839,Raw_Data!C378),2),Raw_Data!L378)</f>
        <v>372648.88</v>
      </c>
      <c r="M378" s="13" t="n">
        <f aca="false">IFERROR(J378/I378,0)</f>
        <v>0.0314854643782663</v>
      </c>
      <c r="N378" s="14" t="n">
        <f aca="false">IFERROR(H378/J378,0)</f>
        <v>1.1678579035448</v>
      </c>
      <c r="O378" s="14" t="n">
        <f aca="false">IFERROR(H378/K378,0)</f>
        <v>29.5243461538462</v>
      </c>
      <c r="P378" s="15" t="n">
        <f aca="false">IFERROR(L378/H378,0)</f>
        <v>48.545187609183</v>
      </c>
      <c r="Q378" s="13" t="n">
        <f aca="false">IFERROR(K378/J378,0)</f>
        <v>0.0395557584055987</v>
      </c>
      <c r="R378" s="11" t="str">
        <f aca="false">IF(COUNTIF($A$2:A378,A378)&gt;1,"Duplicate - Remove","Unique")</f>
        <v>Unique</v>
      </c>
      <c r="S378" s="11" t="str">
        <f aca="false">TRIM(IF(Raw_Data!G378="","Region missing; ","")&amp;IF(Raw_Data!H378="","Spend imputed; ","")&amp;IF(Raw_Data!L378="","Revenue imputed; ","")&amp;IF(Raw_Data!J378&lt;0,"Clicks corrected; ",""))</f>
        <v/>
      </c>
    </row>
    <row r="379" customFormat="false" ht="15" hidden="false" customHeight="true" outlineLevel="0" collapsed="false">
      <c r="A379" s="11" t="n">
        <f aca="false">Raw_Data!A379</f>
        <v>1701</v>
      </c>
      <c r="B379" s="11" t="str">
        <f aca="false">PROPER(TRIM(Raw_Data!B379))</f>
        <v>Baby Care Trust Campaign</v>
      </c>
      <c r="C379" s="11" t="str">
        <f aca="false">IFERROR(INDEX(Lookup_Tables!$B$2:$B$26,MATCH(UPPER(TRIM(Raw_Data!C379)),Lookup_Tables!$C$2:$C$26,0)),"Unknown")</f>
        <v>Facebook</v>
      </c>
      <c r="D379" s="12" t="n">
        <f aca="false">IFERROR(IF(ISNUMBER(SEARCH("/",Raw_Data!D379)),DATE(VALUE(RIGHT(Raw_Data!D379,4)),VALUE(MID(Raw_Data!D379,FIND("/",Raw_Data!D379)+1,FIND("/",Raw_Data!D379,FIND("/",Raw_Data!D379)+1)-FIND("/",Raw_Data!D379)-1)),VALUE(LEFT(Raw_Data!D379,FIND("/",Raw_Data!D379)-1))),IF(ISNUMBER(VALUE(LEFT(Raw_Data!D379,4))),DATE(VALUE(LEFT(Raw_Data!D379,4)),VALUE(MID(Raw_Data!D379,6,2)),VALUE(MID(Raw_Data!D379,9,2))),DATEVALUE(Raw_Data!D379))),"")</f>
        <v>45607</v>
      </c>
      <c r="E379" s="12" t="n">
        <f aca="false">IFERROR(IF(ISNUMBER(SEARCH("/",Raw_Data!E379)),DATE(VALUE(RIGHT(Raw_Data!E379,4)),VALUE(MID(Raw_Data!E379,FIND("/",Raw_Data!E379)+1,FIND("/",Raw_Data!E379,FIND("/",Raw_Data!E379)+1)-FIND("/",Raw_Data!E379)-1)),VALUE(LEFT(Raw_Data!E379,FIND("/",Raw_Data!E379)-1))),IF(ISNUMBER(VALUE(LEFT(Raw_Data!E379,4))),DATE(VALUE(LEFT(Raw_Data!E379,4)),VALUE(MID(Raw_Data!E379,6,2)),VALUE(MID(Raw_Data!E379,9,2))),DATEVALUE(Raw_Data!E379))),"")</f>
        <v>45624</v>
      </c>
      <c r="F379" s="11" t="str">
        <f aca="false">Raw_Data!F379</f>
        <v>Male 25-34</v>
      </c>
      <c r="G379" s="11" t="str">
        <f aca="false">IF(TRIM(Raw_Data!G379)="","Unspecified",IFERROR(INDEX(Lookup_Tables!$F$2:$F$24,MATCH(UPPER(TRIM(Raw_Data!G379)),Lookup_Tables!$G$2:$G$24,0)),"Unknown"))</f>
        <v>West</v>
      </c>
      <c r="H379" s="11" t="n">
        <f aca="false">IF(Raw_Data!H379="",ROUND(AVERAGEIFS(Raw_Data!$H$2:$H$839,Raw_Data!$C$2:$C$839,Raw_Data!C379),2),Raw_Data!H379)</f>
        <v>46050.61</v>
      </c>
      <c r="I379" s="11" t="n">
        <f aca="false">Raw_Data!I379</f>
        <v>964379</v>
      </c>
      <c r="J379" s="11" t="n">
        <f aca="false">IF(Raw_Data!J379&lt;0,ABS(Raw_Data!J379),Raw_Data!J379)</f>
        <v>19014</v>
      </c>
      <c r="K379" s="11" t="n">
        <f aca="false">Raw_Data!K379</f>
        <v>522</v>
      </c>
      <c r="L379" s="11" t="n">
        <f aca="false">IF(Raw_Data!L379="",ROUND(AVERAGEIFS(Raw_Data!$L$2:$L$839,Raw_Data!$C$2:$C$839,Raw_Data!C379),2),Raw_Data!L379)</f>
        <v>924561.23</v>
      </c>
      <c r="M379" s="13" t="n">
        <f aca="false">IFERROR(J379/I379,0)</f>
        <v>0.0197163148513188</v>
      </c>
      <c r="N379" s="14" t="n">
        <f aca="false">IFERROR(H379/J379,0)</f>
        <v>2.42193173451141</v>
      </c>
      <c r="O379" s="14" t="n">
        <f aca="false">IFERROR(H379/K379,0)</f>
        <v>88.2195593869732</v>
      </c>
      <c r="P379" s="15" t="n">
        <f aca="false">IFERROR(L379/H379,0)</f>
        <v>20.0770680344951</v>
      </c>
      <c r="Q379" s="13" t="n">
        <f aca="false">IFERROR(K379/J379,0)</f>
        <v>0.0274534553486904</v>
      </c>
      <c r="R379" s="11" t="str">
        <f aca="false">IF(COUNTIF($A$2:A379,A379)&gt;1,"Duplicate - Remove","Unique")</f>
        <v>Unique</v>
      </c>
      <c r="S379" s="11" t="str">
        <f aca="false">TRIM(IF(Raw_Data!G379="","Region missing; ","")&amp;IF(Raw_Data!H379="","Spend imputed; ","")&amp;IF(Raw_Data!L379="","Revenue imputed; ","")&amp;IF(Raw_Data!J379&lt;0,"Clicks corrected; ",""))</f>
        <v/>
      </c>
    </row>
    <row r="380" customFormat="false" ht="15" hidden="false" customHeight="true" outlineLevel="0" collapsed="false">
      <c r="A380" s="11" t="n">
        <f aca="false">Raw_Data!A380</f>
        <v>1395</v>
      </c>
      <c r="B380" s="11" t="str">
        <f aca="false">PROPER(TRIM(Raw_Data!B380))</f>
        <v>Sunscreen Season Campaign</v>
      </c>
      <c r="C380" s="11" t="str">
        <f aca="false">IFERROR(INDEX(Lookup_Tables!$B$2:$B$26,MATCH(UPPER(TRIM(Raw_Data!C380)),Lookup_Tables!$C$2:$C$26,0)),"Unknown")</f>
        <v>Facebook</v>
      </c>
      <c r="D380" s="12" t="n">
        <f aca="false">IFERROR(IF(ISNUMBER(SEARCH("/",Raw_Data!D380)),DATE(VALUE(RIGHT(Raw_Data!D380,4)),VALUE(MID(Raw_Data!D380,FIND("/",Raw_Data!D380)+1,FIND("/",Raw_Data!D380,FIND("/",Raw_Data!D380)+1)-FIND("/",Raw_Data!D380)-1)),VALUE(LEFT(Raw_Data!D380,FIND("/",Raw_Data!D380)-1))),IF(ISNUMBER(VALUE(LEFT(Raw_Data!D380,4))),DATE(VALUE(LEFT(Raw_Data!D380,4)),VALUE(MID(Raw_Data!D380,6,2)),VALUE(MID(Raw_Data!D380,9,2))),DATEVALUE(Raw_Data!D380))),"")</f>
        <v>45358</v>
      </c>
      <c r="E380" s="12" t="n">
        <f aca="false">IFERROR(IF(ISNUMBER(SEARCH("/",Raw_Data!E380)),DATE(VALUE(RIGHT(Raw_Data!E380,4)),VALUE(MID(Raw_Data!E380,FIND("/",Raw_Data!E380)+1,FIND("/",Raw_Data!E380,FIND("/",Raw_Data!E380)+1)-FIND("/",Raw_Data!E380)-1)),VALUE(LEFT(Raw_Data!E380,FIND("/",Raw_Data!E380)-1))),IF(ISNUMBER(VALUE(LEFT(Raw_Data!E380,4))),DATE(VALUE(LEFT(Raw_Data!E380,4)),VALUE(MID(Raw_Data!E380,6,2)),VALUE(MID(Raw_Data!E380,9,2))),DATEVALUE(Raw_Data!E380))),"")</f>
        <v>45378</v>
      </c>
      <c r="F380" s="11" t="str">
        <f aca="false">Raw_Data!F380</f>
        <v>Female 45+</v>
      </c>
      <c r="G380" s="11" t="str">
        <f aca="false">IF(TRIM(Raw_Data!G380)="","Unspecified",IFERROR(INDEX(Lookup_Tables!$F$2:$F$24,MATCH(UPPER(TRIM(Raw_Data!G380)),Lookup_Tables!$G$2:$G$24,0)),"Unknown"))</f>
        <v>West</v>
      </c>
      <c r="H380" s="11" t="n">
        <f aca="false">IF(Raw_Data!H380="",ROUND(AVERAGEIFS(Raw_Data!$H$2:$H$839,Raw_Data!$C$2:$C$839,Raw_Data!C380),2),Raw_Data!H380)</f>
        <v>25631.22</v>
      </c>
      <c r="I380" s="11" t="n">
        <f aca="false">Raw_Data!I380</f>
        <v>621104</v>
      </c>
      <c r="J380" s="11" t="n">
        <f aca="false">IF(Raw_Data!J380&lt;0,ABS(Raw_Data!J380),Raw_Data!J380)</f>
        <v>12911</v>
      </c>
      <c r="K380" s="11" t="n">
        <f aca="false">Raw_Data!K380</f>
        <v>660</v>
      </c>
      <c r="L380" s="11" t="n">
        <f aca="false">IF(Raw_Data!L380="",ROUND(AVERAGEIFS(Raw_Data!$L$2:$L$839,Raw_Data!$C$2:$C$839,Raw_Data!C380),2),Raw_Data!L380)</f>
        <v>727630.36</v>
      </c>
      <c r="M380" s="13" t="n">
        <f aca="false">IFERROR(J380/I380,0)</f>
        <v>0.0207871789587573</v>
      </c>
      <c r="N380" s="14" t="n">
        <f aca="false">IFERROR(H380/J380,0)</f>
        <v>1.98522345286965</v>
      </c>
      <c r="O380" s="14" t="n">
        <f aca="false">IFERROR(H380/K380,0)</f>
        <v>38.8351818181818</v>
      </c>
      <c r="P380" s="15" t="n">
        <f aca="false">IFERROR(L380/H380,0)</f>
        <v>28.3884403473576</v>
      </c>
      <c r="Q380" s="13" t="n">
        <f aca="false">IFERROR(K380/J380,0)</f>
        <v>0.0511192006815893</v>
      </c>
      <c r="R380" s="11" t="str">
        <f aca="false">IF(COUNTIF($A$2:A380,A380)&gt;1,"Duplicate - Remove","Unique")</f>
        <v>Unique</v>
      </c>
      <c r="S380" s="11" t="str">
        <f aca="false">TRIM(IF(Raw_Data!G380="","Region missing; ","")&amp;IF(Raw_Data!H380="","Spend imputed; ","")&amp;IF(Raw_Data!L380="","Revenue imputed; ","")&amp;IF(Raw_Data!J380&lt;0,"Clicks corrected; ",""))</f>
        <v/>
      </c>
    </row>
    <row r="381" customFormat="false" ht="15" hidden="false" customHeight="true" outlineLevel="0" collapsed="false">
      <c r="A381" s="11" t="n">
        <f aca="false">Raw_Data!A381</f>
        <v>1053</v>
      </c>
      <c r="B381" s="11" t="str">
        <f aca="false">PROPER(TRIM(Raw_Data!B381))</f>
        <v>Summer Glow Launch</v>
      </c>
      <c r="C381" s="11" t="str">
        <f aca="false">IFERROR(INDEX(Lookup_Tables!$B$2:$B$26,MATCH(UPPER(TRIM(Raw_Data!C381)),Lookup_Tables!$C$2:$C$26,0)),"Unknown")</f>
        <v>Google Ads</v>
      </c>
      <c r="D381" s="12" t="n">
        <f aca="false">IFERROR(IF(ISNUMBER(SEARCH("/",Raw_Data!D381)),DATE(VALUE(RIGHT(Raw_Data!D381,4)),VALUE(MID(Raw_Data!D381,FIND("/",Raw_Data!D381)+1,FIND("/",Raw_Data!D381,FIND("/",Raw_Data!D381)+1)-FIND("/",Raw_Data!D381)-1)),VALUE(LEFT(Raw_Data!D381,FIND("/",Raw_Data!D381)-1))),IF(ISNUMBER(VALUE(LEFT(Raw_Data!D381,4))),DATE(VALUE(LEFT(Raw_Data!D381,4)),VALUE(MID(Raw_Data!D381,6,2)),VALUE(MID(Raw_Data!D381,9,2))),DATEVALUE(Raw_Data!D381))),"")</f>
        <v>45381</v>
      </c>
      <c r="E381" s="12" t="n">
        <f aca="false">IFERROR(IF(ISNUMBER(SEARCH("/",Raw_Data!E381)),DATE(VALUE(RIGHT(Raw_Data!E381,4)),VALUE(MID(Raw_Data!E381,FIND("/",Raw_Data!E381)+1,FIND("/",Raw_Data!E381,FIND("/",Raw_Data!E381)+1)-FIND("/",Raw_Data!E381)-1)),VALUE(LEFT(Raw_Data!E381,FIND("/",Raw_Data!E381)-1))),IF(ISNUMBER(VALUE(LEFT(Raw_Data!E381,4))),DATE(VALUE(LEFT(Raw_Data!E381,4)),VALUE(MID(Raw_Data!E381,6,2)),VALUE(MID(Raw_Data!E381,9,2))),DATEVALUE(Raw_Data!E381))),"")</f>
        <v>45392</v>
      </c>
      <c r="F381" s="11" t="str">
        <f aca="false">Raw_Data!F381</f>
        <v>Female 45+</v>
      </c>
      <c r="G381" s="11" t="str">
        <f aca="false">IF(TRIM(Raw_Data!G381)="","Unspecified",IFERROR(INDEX(Lookup_Tables!$F$2:$F$24,MATCH(UPPER(TRIM(Raw_Data!G381)),Lookup_Tables!$G$2:$G$24,0)),"Unknown"))</f>
        <v>North</v>
      </c>
      <c r="H381" s="11" t="n">
        <f aca="false">IF(Raw_Data!H381="",ROUND(AVERAGEIFS(Raw_Data!$H$2:$H$839,Raw_Data!$C$2:$C$839,Raw_Data!C381),2),Raw_Data!H381)</f>
        <v>65055.9</v>
      </c>
      <c r="I381" s="11" t="n">
        <f aca="false">Raw_Data!I381</f>
        <v>2401311</v>
      </c>
      <c r="J381" s="11" t="n">
        <f aca="false">IF(Raw_Data!J381&lt;0,ABS(Raw_Data!J381),Raw_Data!J381)</f>
        <v>38362</v>
      </c>
      <c r="K381" s="11" t="n">
        <f aca="false">Raw_Data!K381</f>
        <v>1731</v>
      </c>
      <c r="L381" s="11" t="n">
        <f aca="false">IF(Raw_Data!L381="",ROUND(AVERAGEIFS(Raw_Data!$L$2:$L$839,Raw_Data!$C$2:$C$839,Raw_Data!C381),2),Raw_Data!L381)</f>
        <v>1289880.02</v>
      </c>
      <c r="M381" s="13" t="n">
        <f aca="false">IFERROR(J381/I381,0)</f>
        <v>0.0159754400825216</v>
      </c>
      <c r="N381" s="14" t="n">
        <f aca="false">IFERROR(H381/J381,0)</f>
        <v>1.69584223971639</v>
      </c>
      <c r="O381" s="14" t="n">
        <f aca="false">IFERROR(H381/K381,0)</f>
        <v>37.582842287695</v>
      </c>
      <c r="P381" s="15" t="n">
        <f aca="false">IFERROR(L381/H381,0)</f>
        <v>19.827256559359</v>
      </c>
      <c r="Q381" s="13" t="n">
        <f aca="false">IFERROR(K381/J381,0)</f>
        <v>0.0451227777488139</v>
      </c>
      <c r="R381" s="11" t="str">
        <f aca="false">IF(COUNTIF($A$2:A381,A381)&gt;1,"Duplicate - Remove","Unique")</f>
        <v>Unique</v>
      </c>
      <c r="S381" s="11" t="str">
        <f aca="false">TRIM(IF(Raw_Data!G381="","Region missing; ","")&amp;IF(Raw_Data!H381="","Spend imputed; ","")&amp;IF(Raw_Data!L381="","Revenue imputed; ","")&amp;IF(Raw_Data!J381&lt;0,"Clicks corrected; ",""))</f>
        <v/>
      </c>
    </row>
    <row r="382" customFormat="false" ht="15" hidden="false" customHeight="true" outlineLevel="0" collapsed="false">
      <c r="A382" s="11" t="n">
        <f aca="false">Raw_Data!A382</f>
        <v>1522</v>
      </c>
      <c r="B382" s="11" t="str">
        <f aca="false">PROPER(TRIM(Raw_Data!B382))</f>
        <v>Summer Glow Launch</v>
      </c>
      <c r="C382" s="11" t="str">
        <f aca="false">IFERROR(INDEX(Lookup_Tables!$B$2:$B$26,MATCH(UPPER(TRIM(Raw_Data!C382)),Lookup_Tables!$C$2:$C$26,0)),"Unknown")</f>
        <v>Instagram</v>
      </c>
      <c r="D382" s="12" t="n">
        <f aca="false">IFERROR(IF(ISNUMBER(SEARCH("/",Raw_Data!D382)),DATE(VALUE(RIGHT(Raw_Data!D382,4)),VALUE(MID(Raw_Data!D382,FIND("/",Raw_Data!D382)+1,FIND("/",Raw_Data!D382,FIND("/",Raw_Data!D382)+1)-FIND("/",Raw_Data!D382)-1)),VALUE(LEFT(Raw_Data!D382,FIND("/",Raw_Data!D382)-1))),IF(ISNUMBER(VALUE(LEFT(Raw_Data!D382,4))),DATE(VALUE(LEFT(Raw_Data!D382,4)),VALUE(MID(Raw_Data!D382,6,2)),VALUE(MID(Raw_Data!D382,9,2))),DATEVALUE(Raw_Data!D382))),"")</f>
        <v>45584</v>
      </c>
      <c r="E382" s="12" t="n">
        <f aca="false">IFERROR(IF(ISNUMBER(SEARCH("/",Raw_Data!E382)),DATE(VALUE(RIGHT(Raw_Data!E382,4)),VALUE(MID(Raw_Data!E382,FIND("/",Raw_Data!E382)+1,FIND("/",Raw_Data!E382,FIND("/",Raw_Data!E382)+1)-FIND("/",Raw_Data!E382)-1)),VALUE(LEFT(Raw_Data!E382,FIND("/",Raw_Data!E382)-1))),IF(ISNUMBER(VALUE(LEFT(Raw_Data!E382,4))),DATE(VALUE(LEFT(Raw_Data!E382,4)),VALUE(MID(Raw_Data!E382,6,2)),VALUE(MID(Raw_Data!E382,9,2))),DATEVALUE(Raw_Data!E382))),"")</f>
        <v>45601</v>
      </c>
      <c r="F382" s="11" t="str">
        <f aca="false">Raw_Data!F382</f>
        <v>Female 25-34</v>
      </c>
      <c r="G382" s="11" t="str">
        <f aca="false">IF(TRIM(Raw_Data!G382)="","Unspecified",IFERROR(INDEX(Lookup_Tables!$F$2:$F$24,MATCH(UPPER(TRIM(Raw_Data!G382)),Lookup_Tables!$G$2:$G$24,0)),"Unknown"))</f>
        <v>North</v>
      </c>
      <c r="H382" s="11" t="n">
        <f aca="false">IF(Raw_Data!H382="",ROUND(AVERAGEIFS(Raw_Data!$H$2:$H$839,Raw_Data!$C$2:$C$839,Raw_Data!C382),2),Raw_Data!H382)</f>
        <v>46601.66</v>
      </c>
      <c r="I382" s="11" t="n">
        <f aca="false">Raw_Data!I382</f>
        <v>851118</v>
      </c>
      <c r="J382" s="11" t="n">
        <f aca="false">IF(Raw_Data!J382&lt;0,ABS(Raw_Data!J382),Raw_Data!J382)</f>
        <v>15840</v>
      </c>
      <c r="K382" s="11" t="n">
        <f aca="false">Raw_Data!K382</f>
        <v>858</v>
      </c>
      <c r="L382" s="11" t="n">
        <f aca="false">IF(Raw_Data!L382="",ROUND(AVERAGEIFS(Raw_Data!$L$2:$L$839,Raw_Data!$C$2:$C$839,Raw_Data!C382),2),Raw_Data!L382)</f>
        <v>745838.77</v>
      </c>
      <c r="M382" s="13" t="n">
        <f aca="false">IFERROR(J382/I382,0)</f>
        <v>0.0186108154215984</v>
      </c>
      <c r="N382" s="14" t="n">
        <f aca="false">IFERROR(H382/J382,0)</f>
        <v>2.94202398989899</v>
      </c>
      <c r="O382" s="14" t="n">
        <f aca="false">IFERROR(H382/K382,0)</f>
        <v>54.3142890442891</v>
      </c>
      <c r="P382" s="15" t="n">
        <f aca="false">IFERROR(L382/H382,0)</f>
        <v>16.0045537004476</v>
      </c>
      <c r="Q382" s="13" t="n">
        <f aca="false">IFERROR(K382/J382,0)</f>
        <v>0.0541666666666667</v>
      </c>
      <c r="R382" s="11" t="str">
        <f aca="false">IF(COUNTIF($A$2:A382,A382)&gt;1,"Duplicate - Remove","Unique")</f>
        <v>Unique</v>
      </c>
      <c r="S382" s="11" t="str">
        <f aca="false">TRIM(IF(Raw_Data!G382="","Region missing; ","")&amp;IF(Raw_Data!H382="","Spend imputed; ","")&amp;IF(Raw_Data!L382="","Revenue imputed; ","")&amp;IF(Raw_Data!J382&lt;0,"Clicks corrected; ",""))</f>
        <v/>
      </c>
    </row>
    <row r="383" customFormat="false" ht="15" hidden="false" customHeight="true" outlineLevel="0" collapsed="false">
      <c r="A383" s="11" t="n">
        <f aca="false">Raw_Data!A383</f>
        <v>1616</v>
      </c>
      <c r="B383" s="11" t="str">
        <f aca="false">PROPER(TRIM(Raw_Data!B383))</f>
        <v>Ayurvedic Range Launch</v>
      </c>
      <c r="C383" s="11" t="str">
        <f aca="false">IFERROR(INDEX(Lookup_Tables!$B$2:$B$26,MATCH(UPPER(TRIM(Raw_Data!C383)),Lookup_Tables!$C$2:$C$26,0)),"Unknown")</f>
        <v>Facebook</v>
      </c>
      <c r="D383" s="12" t="n">
        <f aca="false">IFERROR(IF(ISNUMBER(SEARCH("/",Raw_Data!D383)),DATE(VALUE(RIGHT(Raw_Data!D383,4)),VALUE(MID(Raw_Data!D383,FIND("/",Raw_Data!D383)+1,FIND("/",Raw_Data!D383,FIND("/",Raw_Data!D383)+1)-FIND("/",Raw_Data!D383)-1)),VALUE(LEFT(Raw_Data!D383,FIND("/",Raw_Data!D383)-1))),IF(ISNUMBER(VALUE(LEFT(Raw_Data!D383,4))),DATE(VALUE(LEFT(Raw_Data!D383,4)),VALUE(MID(Raw_Data!D383,6,2)),VALUE(MID(Raw_Data!D383,9,2))),DATEVALUE(Raw_Data!D383))),"")</f>
        <v>45469</v>
      </c>
      <c r="E383" s="12" t="n">
        <f aca="false">IFERROR(IF(ISNUMBER(SEARCH("/",Raw_Data!E383)),DATE(VALUE(RIGHT(Raw_Data!E383,4)),VALUE(MID(Raw_Data!E383,FIND("/",Raw_Data!E383)+1,FIND("/",Raw_Data!E383,FIND("/",Raw_Data!E383)+1)-FIND("/",Raw_Data!E383)-1)),VALUE(LEFT(Raw_Data!E383,FIND("/",Raw_Data!E383)-1))),IF(ISNUMBER(VALUE(LEFT(Raw_Data!E383,4))),DATE(VALUE(LEFT(Raw_Data!E383,4)),VALUE(MID(Raw_Data!E383,6,2)),VALUE(MID(Raw_Data!E383,9,2))),DATEVALUE(Raw_Data!E383))),"")</f>
        <v>45488</v>
      </c>
      <c r="F383" s="11" t="str">
        <f aca="false">Raw_Data!F383</f>
        <v>Female 35-44</v>
      </c>
      <c r="G383" s="11" t="str">
        <f aca="false">IF(TRIM(Raw_Data!G383)="","Unspecified",IFERROR(INDEX(Lookup_Tables!$F$2:$F$24,MATCH(UPPER(TRIM(Raw_Data!G383)),Lookup_Tables!$G$2:$G$24,0)),"Unknown"))</f>
        <v>North</v>
      </c>
      <c r="H383" s="11" t="n">
        <f aca="false">IF(Raw_Data!H383="",ROUND(AVERAGEIFS(Raw_Data!$H$2:$H$839,Raw_Data!$C$2:$C$839,Raw_Data!C383),2),Raw_Data!H383)</f>
        <v>13275.05</v>
      </c>
      <c r="I383" s="11" t="n">
        <f aca="false">Raw_Data!I383</f>
        <v>199405</v>
      </c>
      <c r="J383" s="11" t="n">
        <f aca="false">IF(Raw_Data!J383&lt;0,ABS(Raw_Data!J383),Raw_Data!J383)</f>
        <v>1879</v>
      </c>
      <c r="K383" s="11" t="n">
        <f aca="false">Raw_Data!K383</f>
        <v>134</v>
      </c>
      <c r="L383" s="11" t="n">
        <f aca="false">IF(Raw_Data!L383="",ROUND(AVERAGEIFS(Raw_Data!$L$2:$L$839,Raw_Data!$C$2:$C$839,Raw_Data!C383),2),Raw_Data!L383)</f>
        <v>105439.16</v>
      </c>
      <c r="M383" s="13" t="n">
        <f aca="false">IFERROR(J383/I383,0)</f>
        <v>0.00942303352473609</v>
      </c>
      <c r="N383" s="14" t="n">
        <f aca="false">IFERROR(H383/J383,0)</f>
        <v>7.0649547631719</v>
      </c>
      <c r="O383" s="14" t="n">
        <f aca="false">IFERROR(H383/K383,0)</f>
        <v>99.0675373134328</v>
      </c>
      <c r="P383" s="15" t="n">
        <f aca="false">IFERROR(L383/H383,0)</f>
        <v>7.94265633651097</v>
      </c>
      <c r="Q383" s="13" t="n">
        <f aca="false">IFERROR(K383/J383,0)</f>
        <v>0.0713145290047898</v>
      </c>
      <c r="R383" s="11" t="str">
        <f aca="false">IF(COUNTIF($A$2:A383,A383)&gt;1,"Duplicate - Remove","Unique")</f>
        <v>Unique</v>
      </c>
      <c r="S383" s="11" t="str">
        <f aca="false">TRIM(IF(Raw_Data!G383="","Region missing; ","")&amp;IF(Raw_Data!H383="","Spend imputed; ","")&amp;IF(Raw_Data!L383="","Revenue imputed; ","")&amp;IF(Raw_Data!J383&lt;0,"Clicks corrected; ",""))</f>
        <v/>
      </c>
    </row>
    <row r="384" customFormat="false" ht="15" hidden="false" customHeight="true" outlineLevel="0" collapsed="false">
      <c r="A384" s="11" t="n">
        <f aca="false">Raw_Data!A384</f>
        <v>1766</v>
      </c>
      <c r="B384" s="11" t="str">
        <f aca="false">PROPER(TRIM(Raw_Data!B384))</f>
        <v>Clearance Sale Push</v>
      </c>
      <c r="C384" s="11" t="str">
        <f aca="false">IFERROR(INDEX(Lookup_Tables!$B$2:$B$26,MATCH(UPPER(TRIM(Raw_Data!C384)),Lookup_Tables!$C$2:$C$26,0)),"Unknown")</f>
        <v>Instagram</v>
      </c>
      <c r="D384" s="12" t="n">
        <f aca="false">IFERROR(IF(ISNUMBER(SEARCH("/",Raw_Data!D384)),DATE(VALUE(RIGHT(Raw_Data!D384,4)),VALUE(MID(Raw_Data!D384,FIND("/",Raw_Data!D384)+1,FIND("/",Raw_Data!D384,FIND("/",Raw_Data!D384)+1)-FIND("/",Raw_Data!D384)-1)),VALUE(LEFT(Raw_Data!D384,FIND("/",Raw_Data!D384)-1))),IF(ISNUMBER(VALUE(LEFT(Raw_Data!D384,4))),DATE(VALUE(LEFT(Raw_Data!D384,4)),VALUE(MID(Raw_Data!D384,6,2)),VALUE(MID(Raw_Data!D384,9,2))),DATEVALUE(Raw_Data!D384))),"")</f>
        <v>45515</v>
      </c>
      <c r="E384" s="12" t="n">
        <f aca="false">IFERROR(IF(ISNUMBER(SEARCH("/",Raw_Data!E384)),DATE(VALUE(RIGHT(Raw_Data!E384,4)),VALUE(MID(Raw_Data!E384,FIND("/",Raw_Data!E384)+1,FIND("/",Raw_Data!E384,FIND("/",Raw_Data!E384)+1)-FIND("/",Raw_Data!E384)-1)),VALUE(LEFT(Raw_Data!E384,FIND("/",Raw_Data!E384)-1))),IF(ISNUMBER(VALUE(LEFT(Raw_Data!E384,4))),DATE(VALUE(LEFT(Raw_Data!E384,4)),VALUE(MID(Raw_Data!E384,6,2)),VALUE(MID(Raw_Data!E384,9,2))),DATEVALUE(Raw_Data!E384))),"")</f>
        <v>45543</v>
      </c>
      <c r="F384" s="11" t="str">
        <f aca="false">Raw_Data!F384</f>
        <v>Male 45+</v>
      </c>
      <c r="G384" s="11" t="str">
        <f aca="false">IF(TRIM(Raw_Data!G384)="","Unspecified",IFERROR(INDEX(Lookup_Tables!$F$2:$F$24,MATCH(UPPER(TRIM(Raw_Data!G384)),Lookup_Tables!$G$2:$G$24,0)),"Unknown"))</f>
        <v>East</v>
      </c>
      <c r="H384" s="11" t="n">
        <f aca="false">IF(Raw_Data!H384="",ROUND(AVERAGEIFS(Raw_Data!$H$2:$H$839,Raw_Data!$C$2:$C$839,Raw_Data!C384),2),Raw_Data!H384)</f>
        <v>55277.78</v>
      </c>
      <c r="I384" s="11" t="n">
        <f aca="false">Raw_Data!I384</f>
        <v>952796</v>
      </c>
      <c r="J384" s="11" t="n">
        <f aca="false">IF(Raw_Data!J384&lt;0,ABS(Raw_Data!J384),Raw_Data!J384)</f>
        <v>12050</v>
      </c>
      <c r="K384" s="11" t="n">
        <f aca="false">Raw_Data!K384</f>
        <v>313</v>
      </c>
      <c r="L384" s="11" t="n">
        <f aca="false">IF(Raw_Data!L384="",ROUND(AVERAGEIFS(Raw_Data!$L$2:$L$839,Raw_Data!$C$2:$C$839,Raw_Data!C384),2),Raw_Data!L384)</f>
        <v>275929.03</v>
      </c>
      <c r="M384" s="13" t="n">
        <f aca="false">IFERROR(J384/I384,0)</f>
        <v>0.0126469884424368</v>
      </c>
      <c r="N384" s="14" t="n">
        <f aca="false">IFERROR(H384/J384,0)</f>
        <v>4.58736763485477</v>
      </c>
      <c r="O384" s="14" t="n">
        <f aca="false">IFERROR(H384/K384,0)</f>
        <v>176.606325878594</v>
      </c>
      <c r="P384" s="15" t="n">
        <f aca="false">IFERROR(L384/H384,0)</f>
        <v>4.99168074405304</v>
      </c>
      <c r="Q384" s="13" t="n">
        <f aca="false">IFERROR(K384/J384,0)</f>
        <v>0.0259751037344398</v>
      </c>
      <c r="R384" s="11" t="str">
        <f aca="false">IF(COUNTIF($A$2:A384,A384)&gt;1,"Duplicate - Remove","Unique")</f>
        <v>Unique</v>
      </c>
      <c r="S384" s="11" t="str">
        <f aca="false">TRIM(IF(Raw_Data!G384="","Region missing; ","")&amp;IF(Raw_Data!H384="","Spend imputed; ","")&amp;IF(Raw_Data!L384="","Revenue imputed; ","")&amp;IF(Raw_Data!J384&lt;0,"Clicks corrected; ",""))</f>
        <v/>
      </c>
    </row>
    <row r="385" customFormat="false" ht="15" hidden="false" customHeight="true" outlineLevel="0" collapsed="false">
      <c r="A385" s="11" t="n">
        <f aca="false">Raw_Data!A385</f>
        <v>1677</v>
      </c>
      <c r="B385" s="11" t="str">
        <f aca="false">PROPER(TRIM(Raw_Data!B385))</f>
        <v>Influencer Collab - Skincare</v>
      </c>
      <c r="C385" s="11" t="str">
        <f aca="false">IFERROR(INDEX(Lookup_Tables!$B$2:$B$26,MATCH(UPPER(TRIM(Raw_Data!C385)),Lookup_Tables!$C$2:$C$26,0)),"Unknown")</f>
        <v>Email</v>
      </c>
      <c r="D385" s="12" t="n">
        <f aca="false">IFERROR(IF(ISNUMBER(SEARCH("/",Raw_Data!D385)),DATE(VALUE(RIGHT(Raw_Data!D385,4)),VALUE(MID(Raw_Data!D385,FIND("/",Raw_Data!D385)+1,FIND("/",Raw_Data!D385,FIND("/",Raw_Data!D385)+1)-FIND("/",Raw_Data!D385)-1)),VALUE(LEFT(Raw_Data!D385,FIND("/",Raw_Data!D385)-1))),IF(ISNUMBER(VALUE(LEFT(Raw_Data!D385,4))),DATE(VALUE(LEFT(Raw_Data!D385,4)),VALUE(MID(Raw_Data!D385,6,2)),VALUE(MID(Raw_Data!D385,9,2))),DATEVALUE(Raw_Data!D385))),"")</f>
        <v>45454</v>
      </c>
      <c r="E385" s="12" t="n">
        <f aca="false">IFERROR(IF(ISNUMBER(SEARCH("/",Raw_Data!E385)),DATE(VALUE(RIGHT(Raw_Data!E385,4)),VALUE(MID(Raw_Data!E385,FIND("/",Raw_Data!E385)+1,FIND("/",Raw_Data!E385,FIND("/",Raw_Data!E385)+1)-FIND("/",Raw_Data!E385)-1)),VALUE(LEFT(Raw_Data!E385,FIND("/",Raw_Data!E385)-1))),IF(ISNUMBER(VALUE(LEFT(Raw_Data!E385,4))),DATE(VALUE(LEFT(Raw_Data!E385,4)),VALUE(MID(Raw_Data!E385,6,2)),VALUE(MID(Raw_Data!E385,9,2))),DATEVALUE(Raw_Data!E385))),"")</f>
        <v>45468</v>
      </c>
      <c r="F385" s="11" t="str">
        <f aca="false">Raw_Data!F385</f>
        <v>Male 18-24</v>
      </c>
      <c r="G385" s="11" t="str">
        <f aca="false">IF(TRIM(Raw_Data!G385)="","Unspecified",IFERROR(INDEX(Lookup_Tables!$F$2:$F$24,MATCH(UPPER(TRIM(Raw_Data!G385)),Lookup_Tables!$G$2:$G$24,0)),"Unknown"))</f>
        <v>North</v>
      </c>
      <c r="H385" s="11" t="n">
        <f aca="false">IF(Raw_Data!H385="",ROUND(AVERAGEIFS(Raw_Data!$H$2:$H$839,Raw_Data!$C$2:$C$839,Raw_Data!C385),2),Raw_Data!H385)</f>
        <v>7399.2</v>
      </c>
      <c r="I385" s="11" t="n">
        <f aca="false">Raw_Data!I385</f>
        <v>127716</v>
      </c>
      <c r="J385" s="11" t="n">
        <f aca="false">IF(Raw_Data!J385&lt;0,ABS(Raw_Data!J385),Raw_Data!J385)</f>
        <v>2194</v>
      </c>
      <c r="K385" s="11" t="n">
        <f aca="false">Raw_Data!K385</f>
        <v>117</v>
      </c>
      <c r="L385" s="11" t="n">
        <f aca="false">IF(Raw_Data!L385="",ROUND(AVERAGEIFS(Raw_Data!$L$2:$L$839,Raw_Data!$C$2:$C$839,Raw_Data!C385),2),Raw_Data!L385)</f>
        <v>149436.93</v>
      </c>
      <c r="M385" s="13" t="n">
        <f aca="false">IFERROR(J385/I385,0)</f>
        <v>0.0171787403301074</v>
      </c>
      <c r="N385" s="14" t="n">
        <f aca="false">IFERROR(H385/J385,0)</f>
        <v>3.37247037374658</v>
      </c>
      <c r="O385" s="14" t="n">
        <f aca="false">IFERROR(H385/K385,0)</f>
        <v>63.2410256410256</v>
      </c>
      <c r="P385" s="15" t="n">
        <f aca="false">IFERROR(L385/H385,0)</f>
        <v>20.1963631203373</v>
      </c>
      <c r="Q385" s="13" t="n">
        <f aca="false">IFERROR(K385/J385,0)</f>
        <v>0.0533272561531449</v>
      </c>
      <c r="R385" s="11" t="str">
        <f aca="false">IF(COUNTIF($A$2:A385,A385)&gt;1,"Duplicate - Remove","Unique")</f>
        <v>Unique</v>
      </c>
      <c r="S385" s="11" t="str">
        <f aca="false">TRIM(IF(Raw_Data!G385="","Region missing; ","")&amp;IF(Raw_Data!H385="","Spend imputed; ","")&amp;IF(Raw_Data!L385="","Revenue imputed; ","")&amp;IF(Raw_Data!J385&lt;0,"Clicks corrected; ",""))</f>
        <v/>
      </c>
    </row>
    <row r="386" customFormat="false" ht="15" hidden="false" customHeight="true" outlineLevel="0" collapsed="false">
      <c r="A386" s="11" t="n">
        <f aca="false">Raw_Data!A386</f>
        <v>1644</v>
      </c>
      <c r="B386" s="11" t="str">
        <f aca="false">PROPER(TRIM(Raw_Data!B386))</f>
        <v>Summer Glow Launch</v>
      </c>
      <c r="C386" s="11" t="str">
        <f aca="false">IFERROR(INDEX(Lookup_Tables!$B$2:$B$26,MATCH(UPPER(TRIM(Raw_Data!C386)),Lookup_Tables!$C$2:$C$26,0)),"Unknown")</f>
        <v>YouTube</v>
      </c>
      <c r="D386" s="12" t="n">
        <f aca="false">IFERROR(IF(ISNUMBER(SEARCH("/",Raw_Data!D386)),DATE(VALUE(RIGHT(Raw_Data!D386,4)),VALUE(MID(Raw_Data!D386,FIND("/",Raw_Data!D386)+1,FIND("/",Raw_Data!D386,FIND("/",Raw_Data!D386)+1)-FIND("/",Raw_Data!D386)-1)),VALUE(LEFT(Raw_Data!D386,FIND("/",Raw_Data!D386)-1))),IF(ISNUMBER(VALUE(LEFT(Raw_Data!D386,4))),DATE(VALUE(LEFT(Raw_Data!D386,4)),VALUE(MID(Raw_Data!D386,6,2)),VALUE(MID(Raw_Data!D386,9,2))),DATEVALUE(Raw_Data!D386))),"")</f>
        <v>45551</v>
      </c>
      <c r="E386" s="12" t="n">
        <f aca="false">IFERROR(IF(ISNUMBER(SEARCH("/",Raw_Data!E386)),DATE(VALUE(RIGHT(Raw_Data!E386,4)),VALUE(MID(Raw_Data!E386,FIND("/",Raw_Data!E386)+1,FIND("/",Raw_Data!E386,FIND("/",Raw_Data!E386)+1)-FIND("/",Raw_Data!E386)-1)),VALUE(LEFT(Raw_Data!E386,FIND("/",Raw_Data!E386)-1))),IF(ISNUMBER(VALUE(LEFT(Raw_Data!E386,4))),DATE(VALUE(LEFT(Raw_Data!E386,4)),VALUE(MID(Raw_Data!E386,6,2)),VALUE(MID(Raw_Data!E386,9,2))),DATEVALUE(Raw_Data!E386))),"")</f>
        <v>45571</v>
      </c>
      <c r="F386" s="11" t="str">
        <f aca="false">Raw_Data!F386</f>
        <v>Male 35-44</v>
      </c>
      <c r="G386" s="11" t="str">
        <f aca="false">IF(TRIM(Raw_Data!G386)="","Unspecified",IFERROR(INDEX(Lookup_Tables!$F$2:$F$24,MATCH(UPPER(TRIM(Raw_Data!G386)),Lookup_Tables!$G$2:$G$24,0)),"Unknown"))</f>
        <v>East</v>
      </c>
      <c r="H386" s="11" t="n">
        <f aca="false">IF(Raw_Data!H386="",ROUND(AVERAGEIFS(Raw_Data!$H$2:$H$839,Raw_Data!$C$2:$C$839,Raw_Data!C386),2),Raw_Data!H386)</f>
        <v>36281.68</v>
      </c>
      <c r="I386" s="11" t="n">
        <f aca="false">Raw_Data!I386</f>
        <v>1129520</v>
      </c>
      <c r="J386" s="11" t="n">
        <f aca="false">IF(Raw_Data!J386&lt;0,ABS(Raw_Data!J386),Raw_Data!J386)</f>
        <v>14600</v>
      </c>
      <c r="K386" s="11" t="n">
        <f aca="false">Raw_Data!K386</f>
        <v>689</v>
      </c>
      <c r="L386" s="11" t="n">
        <f aca="false">IF(Raw_Data!L386="",ROUND(AVERAGEIFS(Raw_Data!$L$2:$L$839,Raw_Data!$C$2:$C$839,Raw_Data!C386),2),Raw_Data!L386)</f>
        <v>581968.2</v>
      </c>
      <c r="M386" s="13" t="n">
        <f aca="false">IFERROR(J386/I386,0)</f>
        <v>0.0129258446065585</v>
      </c>
      <c r="N386" s="14" t="n">
        <f aca="false">IFERROR(H386/J386,0)</f>
        <v>2.48504657534247</v>
      </c>
      <c r="O386" s="14" t="n">
        <f aca="false">IFERROR(H386/K386,0)</f>
        <v>52.6584615384615</v>
      </c>
      <c r="P386" s="15" t="n">
        <f aca="false">IFERROR(L386/H386,0)</f>
        <v>16.040277076475</v>
      </c>
      <c r="Q386" s="13" t="n">
        <f aca="false">IFERROR(K386/J386,0)</f>
        <v>0.0471917808219178</v>
      </c>
      <c r="R386" s="11" t="str">
        <f aca="false">IF(COUNTIF($A$2:A386,A386)&gt;1,"Duplicate - Remove","Unique")</f>
        <v>Unique</v>
      </c>
      <c r="S386" s="11" t="str">
        <f aca="false">TRIM(IF(Raw_Data!G386="","Region missing; ","")&amp;IF(Raw_Data!H386="","Spend imputed; ","")&amp;IF(Raw_Data!L386="","Revenue imputed; ","")&amp;IF(Raw_Data!J386&lt;0,"Clicks corrected; ",""))</f>
        <v/>
      </c>
    </row>
    <row r="387" customFormat="false" ht="15" hidden="false" customHeight="true" outlineLevel="0" collapsed="false">
      <c r="A387" s="11" t="n">
        <f aca="false">Raw_Data!A387</f>
        <v>1579</v>
      </c>
      <c r="B387" s="11" t="str">
        <f aca="false">PROPER(TRIM(Raw_Data!B387))</f>
        <v>Influencer Collab - Skincare</v>
      </c>
      <c r="C387" s="11" t="str">
        <f aca="false">IFERROR(INDEX(Lookup_Tables!$B$2:$B$26,MATCH(UPPER(TRIM(Raw_Data!C387)),Lookup_Tables!$C$2:$C$26,0)),"Unknown")</f>
        <v>YouTube</v>
      </c>
      <c r="D387" s="12" t="n">
        <f aca="false">IFERROR(IF(ISNUMBER(SEARCH("/",Raw_Data!D387)),DATE(VALUE(RIGHT(Raw_Data!D387,4)),VALUE(MID(Raw_Data!D387,FIND("/",Raw_Data!D387)+1,FIND("/",Raw_Data!D387,FIND("/",Raw_Data!D387)+1)-FIND("/",Raw_Data!D387)-1)),VALUE(LEFT(Raw_Data!D387,FIND("/",Raw_Data!D387)-1))),IF(ISNUMBER(VALUE(LEFT(Raw_Data!D387,4))),DATE(VALUE(LEFT(Raw_Data!D387,4)),VALUE(MID(Raw_Data!D387,6,2)),VALUE(MID(Raw_Data!D387,9,2))),DATEVALUE(Raw_Data!D387))),"")</f>
        <v>45586</v>
      </c>
      <c r="E387" s="12" t="n">
        <f aca="false">IFERROR(IF(ISNUMBER(SEARCH("/",Raw_Data!E387)),DATE(VALUE(RIGHT(Raw_Data!E387,4)),VALUE(MID(Raw_Data!E387,FIND("/",Raw_Data!E387)+1,FIND("/",Raw_Data!E387,FIND("/",Raw_Data!E387)+1)-FIND("/",Raw_Data!E387)-1)),VALUE(LEFT(Raw_Data!E387,FIND("/",Raw_Data!E387)-1))),IF(ISNUMBER(VALUE(LEFT(Raw_Data!E387,4))),DATE(VALUE(LEFT(Raw_Data!E387,4)),VALUE(MID(Raw_Data!E387,6,2)),VALUE(MID(Raw_Data!E387,9,2))),DATEVALUE(Raw_Data!E387))),"")</f>
        <v>45606</v>
      </c>
      <c r="F387" s="11" t="str">
        <f aca="false">Raw_Data!F387</f>
        <v>Female 35-44</v>
      </c>
      <c r="G387" s="11" t="str">
        <f aca="false">IF(TRIM(Raw_Data!G387)="","Unspecified",IFERROR(INDEX(Lookup_Tables!$F$2:$F$24,MATCH(UPPER(TRIM(Raw_Data!G387)),Lookup_Tables!$G$2:$G$24,0)),"Unknown"))</f>
        <v>North</v>
      </c>
      <c r="H387" s="11" t="n">
        <f aca="false">IF(Raw_Data!H387="",ROUND(AVERAGEIFS(Raw_Data!$H$2:$H$839,Raw_Data!$C$2:$C$839,Raw_Data!C387),2),Raw_Data!H387)</f>
        <v>81108.09</v>
      </c>
      <c r="I387" s="11" t="n">
        <f aca="false">Raw_Data!I387</f>
        <v>1618317</v>
      </c>
      <c r="J387" s="11" t="n">
        <f aca="false">IF(Raw_Data!J387&lt;0,ABS(Raw_Data!J387),Raw_Data!J387)</f>
        <v>16826</v>
      </c>
      <c r="K387" s="11" t="n">
        <f aca="false">Raw_Data!K387</f>
        <v>703</v>
      </c>
      <c r="L387" s="11" t="n">
        <f aca="false">IF(Raw_Data!L387="",ROUND(AVERAGEIFS(Raw_Data!$L$2:$L$839,Raw_Data!$C$2:$C$839,Raw_Data!C387),2),Raw_Data!L387)</f>
        <v>416047.96</v>
      </c>
      <c r="M387" s="13" t="n">
        <f aca="false">IFERROR(J387/I387,0)</f>
        <v>0.0103972213107815</v>
      </c>
      <c r="N387" s="14" t="n">
        <f aca="false">IFERROR(H387/J387,0)</f>
        <v>4.82040235350053</v>
      </c>
      <c r="O387" s="14" t="n">
        <f aca="false">IFERROR(H387/K387,0)</f>
        <v>115.374238975818</v>
      </c>
      <c r="P387" s="15" t="n">
        <f aca="false">IFERROR(L387/H387,0)</f>
        <v>5.12954946910968</v>
      </c>
      <c r="Q387" s="13" t="n">
        <f aca="false">IFERROR(K387/J387,0)</f>
        <v>0.041780577677404</v>
      </c>
      <c r="R387" s="11" t="str">
        <f aca="false">IF(COUNTIF($A$2:A387,A387)&gt;1,"Duplicate - Remove","Unique")</f>
        <v>Unique</v>
      </c>
      <c r="S387" s="11" t="str">
        <f aca="false">TRIM(IF(Raw_Data!G387="","Region missing; ","")&amp;IF(Raw_Data!H387="","Spend imputed; ","")&amp;IF(Raw_Data!L387="","Revenue imputed; ","")&amp;IF(Raw_Data!J387&lt;0,"Clicks corrected; ",""))</f>
        <v/>
      </c>
    </row>
    <row r="388" customFormat="false" ht="15" hidden="false" customHeight="true" outlineLevel="0" collapsed="false">
      <c r="A388" s="11" t="n">
        <f aca="false">Raw_Data!A388</f>
        <v>1120</v>
      </c>
      <c r="B388" s="11" t="str">
        <f aca="false">PROPER(TRIM(Raw_Data!B388))</f>
        <v>Hair Care Revamp</v>
      </c>
      <c r="C388" s="11" t="str">
        <f aca="false">IFERROR(INDEX(Lookup_Tables!$B$2:$B$26,MATCH(UPPER(TRIM(Raw_Data!C388)),Lookup_Tables!$C$2:$C$26,0)),"Unknown")</f>
        <v>Instagram</v>
      </c>
      <c r="D388" s="12" t="n">
        <f aca="false">IFERROR(IF(ISNUMBER(SEARCH("/",Raw_Data!D388)),DATE(VALUE(RIGHT(Raw_Data!D388,4)),VALUE(MID(Raw_Data!D388,FIND("/",Raw_Data!D388)+1,FIND("/",Raw_Data!D388,FIND("/",Raw_Data!D388)+1)-FIND("/",Raw_Data!D388)-1)),VALUE(LEFT(Raw_Data!D388,FIND("/",Raw_Data!D388)-1))),IF(ISNUMBER(VALUE(LEFT(Raw_Data!D388,4))),DATE(VALUE(LEFT(Raw_Data!D388,4)),VALUE(MID(Raw_Data!D388,6,2)),VALUE(MID(Raw_Data!D388,9,2))),DATEVALUE(Raw_Data!D388))),"")</f>
        <v>45549</v>
      </c>
      <c r="E388" s="12" t="n">
        <f aca="false">IFERROR(IF(ISNUMBER(SEARCH("/",Raw_Data!E388)),DATE(VALUE(RIGHT(Raw_Data!E388,4)),VALUE(MID(Raw_Data!E388,FIND("/",Raw_Data!E388)+1,FIND("/",Raw_Data!E388,FIND("/",Raw_Data!E388)+1)-FIND("/",Raw_Data!E388)-1)),VALUE(LEFT(Raw_Data!E388,FIND("/",Raw_Data!E388)-1))),IF(ISNUMBER(VALUE(LEFT(Raw_Data!E388,4))),DATE(VALUE(LEFT(Raw_Data!E388,4)),VALUE(MID(Raw_Data!E388,6,2)),VALUE(MID(Raw_Data!E388,9,2))),DATEVALUE(Raw_Data!E388))),"")</f>
        <v>45576</v>
      </c>
      <c r="F388" s="11" t="str">
        <f aca="false">Raw_Data!F388</f>
        <v>Female 18-24</v>
      </c>
      <c r="G388" s="11" t="str">
        <f aca="false">IF(TRIM(Raw_Data!G388)="","Unspecified",IFERROR(INDEX(Lookup_Tables!$F$2:$F$24,MATCH(UPPER(TRIM(Raw_Data!G388)),Lookup_Tables!$G$2:$G$24,0)),"Unknown"))</f>
        <v>East</v>
      </c>
      <c r="H388" s="11" t="n">
        <f aca="false">IF(Raw_Data!H388="",ROUND(AVERAGEIFS(Raw_Data!$H$2:$H$839,Raw_Data!$C$2:$C$839,Raw_Data!C388),2),Raw_Data!H388)</f>
        <v>30389.81</v>
      </c>
      <c r="I388" s="11" t="n">
        <f aca="false">Raw_Data!I388</f>
        <v>1169788</v>
      </c>
      <c r="J388" s="11" t="n">
        <f aca="false">IF(Raw_Data!J388&lt;0,ABS(Raw_Data!J388),Raw_Data!J388)</f>
        <v>12140</v>
      </c>
      <c r="K388" s="11" t="n">
        <f aca="false">Raw_Data!K388</f>
        <v>901</v>
      </c>
      <c r="L388" s="11" t="n">
        <f aca="false">IF(Raw_Data!L388="",ROUND(AVERAGEIFS(Raw_Data!$L$2:$L$839,Raw_Data!$C$2:$C$839,Raw_Data!C388),2),Raw_Data!L388)</f>
        <v>1000433.31</v>
      </c>
      <c r="M388" s="13" t="n">
        <f aca="false">IFERROR(J388/I388,0)</f>
        <v>0.0103779488249153</v>
      </c>
      <c r="N388" s="14" t="n">
        <f aca="false">IFERROR(H388/J388,0)</f>
        <v>2.50327924217463</v>
      </c>
      <c r="O388" s="14" t="n">
        <f aca="false">IFERROR(H388/K388,0)</f>
        <v>33.7289789123197</v>
      </c>
      <c r="P388" s="15" t="n">
        <f aca="false">IFERROR(L388/H388,0)</f>
        <v>32.9200251663304</v>
      </c>
      <c r="Q388" s="13" t="n">
        <f aca="false">IFERROR(K388/J388,0)</f>
        <v>0.0742174629324547</v>
      </c>
      <c r="R388" s="11" t="str">
        <f aca="false">IF(COUNTIF($A$2:A388,A388)&gt;1,"Duplicate - Remove","Unique")</f>
        <v>Unique</v>
      </c>
      <c r="S388" s="11" t="str">
        <f aca="false">TRIM(IF(Raw_Data!G388="","Region missing; ","")&amp;IF(Raw_Data!H388="","Spend imputed; ","")&amp;IF(Raw_Data!L388="","Revenue imputed; ","")&amp;IF(Raw_Data!J388&lt;0,"Clicks corrected; ",""))</f>
        <v/>
      </c>
    </row>
    <row r="389" customFormat="false" ht="15" hidden="false" customHeight="true" outlineLevel="0" collapsed="false">
      <c r="A389" s="11" t="n">
        <f aca="false">Raw_Data!A389</f>
        <v>1440</v>
      </c>
      <c r="B389" s="11" t="str">
        <f aca="false">PROPER(TRIM(Raw_Data!B389))</f>
        <v>Ayurvedic Range Launch</v>
      </c>
      <c r="C389" s="11" t="str">
        <f aca="false">IFERROR(INDEX(Lookup_Tables!$B$2:$B$26,MATCH(UPPER(TRIM(Raw_Data!C389)),Lookup_Tables!$C$2:$C$26,0)),"Unknown")</f>
        <v>Google Ads</v>
      </c>
      <c r="D389" s="12" t="n">
        <f aca="false">IFERROR(IF(ISNUMBER(SEARCH("/",Raw_Data!D389)),DATE(VALUE(RIGHT(Raw_Data!D389,4)),VALUE(MID(Raw_Data!D389,FIND("/",Raw_Data!D389)+1,FIND("/",Raw_Data!D389,FIND("/",Raw_Data!D389)+1)-FIND("/",Raw_Data!D389)-1)),VALUE(LEFT(Raw_Data!D389,FIND("/",Raw_Data!D389)-1))),IF(ISNUMBER(VALUE(LEFT(Raw_Data!D389,4))),DATE(VALUE(LEFT(Raw_Data!D389,4)),VALUE(MID(Raw_Data!D389,6,2)),VALUE(MID(Raw_Data!D389,9,2))),DATEVALUE(Raw_Data!D389))),"")</f>
        <v>45538</v>
      </c>
      <c r="E389" s="12" t="n">
        <f aca="false">IFERROR(IF(ISNUMBER(SEARCH("/",Raw_Data!E389)),DATE(VALUE(RIGHT(Raw_Data!E389,4)),VALUE(MID(Raw_Data!E389,FIND("/",Raw_Data!E389)+1,FIND("/",Raw_Data!E389,FIND("/",Raw_Data!E389)+1)-FIND("/",Raw_Data!E389)-1)),VALUE(LEFT(Raw_Data!E389,FIND("/",Raw_Data!E389)-1))),IF(ISNUMBER(VALUE(LEFT(Raw_Data!E389,4))),DATE(VALUE(LEFT(Raw_Data!E389,4)),VALUE(MID(Raw_Data!E389,6,2)),VALUE(MID(Raw_Data!E389,9,2))),DATEVALUE(Raw_Data!E389))),"")</f>
        <v>45545</v>
      </c>
      <c r="F389" s="11" t="str">
        <f aca="false">Raw_Data!F389</f>
        <v>Male 35-44</v>
      </c>
      <c r="G389" s="11" t="str">
        <f aca="false">IF(TRIM(Raw_Data!G389)="","Unspecified",IFERROR(INDEX(Lookup_Tables!$F$2:$F$24,MATCH(UPPER(TRIM(Raw_Data!G389)),Lookup_Tables!$G$2:$G$24,0)),"Unknown"))</f>
        <v>South</v>
      </c>
      <c r="H389" s="11" t="n">
        <f aca="false">IF(Raw_Data!H389="",ROUND(AVERAGEIFS(Raw_Data!$H$2:$H$839,Raw_Data!$C$2:$C$839,Raw_Data!C389),2),Raw_Data!H389)</f>
        <v>11235.42</v>
      </c>
      <c r="I389" s="11" t="n">
        <f aca="false">Raw_Data!I389</f>
        <v>424727</v>
      </c>
      <c r="J389" s="11" t="n">
        <f aca="false">IF(Raw_Data!J389&lt;0,ABS(Raw_Data!J389),Raw_Data!J389)</f>
        <v>7843</v>
      </c>
      <c r="K389" s="11" t="n">
        <f aca="false">Raw_Data!K389</f>
        <v>358</v>
      </c>
      <c r="L389" s="11" t="n">
        <f aca="false">IF(Raw_Data!L389="",ROUND(AVERAGEIFS(Raw_Data!$L$2:$L$839,Raw_Data!$C$2:$C$839,Raw_Data!C389),2),Raw_Data!L389)</f>
        <v>510375.61</v>
      </c>
      <c r="M389" s="13" t="n">
        <f aca="false">IFERROR(J389/I389,0)</f>
        <v>0.0184659793231888</v>
      </c>
      <c r="N389" s="14" t="n">
        <f aca="false">IFERROR(H389/J389,0)</f>
        <v>1.43254111946959</v>
      </c>
      <c r="O389" s="14" t="n">
        <f aca="false">IFERROR(H389/K389,0)</f>
        <v>31.3838547486034</v>
      </c>
      <c r="P389" s="15" t="n">
        <f aca="false">IFERROR(L389/H389,0)</f>
        <v>45.4255924567128</v>
      </c>
      <c r="Q389" s="13" t="n">
        <f aca="false">IFERROR(K389/J389,0)</f>
        <v>0.045645798801479</v>
      </c>
      <c r="R389" s="11" t="str">
        <f aca="false">IF(COUNTIF($A$2:A389,A389)&gt;1,"Duplicate - Remove","Unique")</f>
        <v>Unique</v>
      </c>
      <c r="S389" s="11" t="str">
        <f aca="false">TRIM(IF(Raw_Data!G389="","Region missing; ","")&amp;IF(Raw_Data!H389="","Spend imputed; ","")&amp;IF(Raw_Data!L389="","Revenue imputed; ","")&amp;IF(Raw_Data!J389&lt;0,"Clicks corrected; ",""))</f>
        <v/>
      </c>
    </row>
    <row r="390" customFormat="false" ht="15" hidden="false" customHeight="true" outlineLevel="0" collapsed="false">
      <c r="A390" s="11" t="n">
        <f aca="false">Raw_Data!A390</f>
        <v>1475</v>
      </c>
      <c r="B390" s="11" t="str">
        <f aca="false">PROPER(TRIM(Raw_Data!B390))</f>
        <v>Anti-Ageing Serum Push</v>
      </c>
      <c r="C390" s="11" t="str">
        <f aca="false">IFERROR(INDEX(Lookup_Tables!$B$2:$B$26,MATCH(UPPER(TRIM(Raw_Data!C390)),Lookup_Tables!$C$2:$C$26,0)),"Unknown")</f>
        <v>YouTube</v>
      </c>
      <c r="D390" s="12" t="n">
        <f aca="false">IFERROR(IF(ISNUMBER(SEARCH("/",Raw_Data!D390)),DATE(VALUE(RIGHT(Raw_Data!D390,4)),VALUE(MID(Raw_Data!D390,FIND("/",Raw_Data!D390)+1,FIND("/",Raw_Data!D390,FIND("/",Raw_Data!D390)+1)-FIND("/",Raw_Data!D390)-1)),VALUE(LEFT(Raw_Data!D390,FIND("/",Raw_Data!D390)-1))),IF(ISNUMBER(VALUE(LEFT(Raw_Data!D390,4))),DATE(VALUE(LEFT(Raw_Data!D390,4)),VALUE(MID(Raw_Data!D390,6,2)),VALUE(MID(Raw_Data!D390,9,2))),DATEVALUE(Raw_Data!D390))),"")</f>
        <v>45417</v>
      </c>
      <c r="E390" s="12" t="n">
        <f aca="false">IFERROR(IF(ISNUMBER(SEARCH("/",Raw_Data!E390)),DATE(VALUE(RIGHT(Raw_Data!E390,4)),VALUE(MID(Raw_Data!E390,FIND("/",Raw_Data!E390)+1,FIND("/",Raw_Data!E390,FIND("/",Raw_Data!E390)+1)-FIND("/",Raw_Data!E390)-1)),VALUE(LEFT(Raw_Data!E390,FIND("/",Raw_Data!E390)-1))),IF(ISNUMBER(VALUE(LEFT(Raw_Data!E390,4))),DATE(VALUE(LEFT(Raw_Data!E390,4)),VALUE(MID(Raw_Data!E390,6,2)),VALUE(MID(Raw_Data!E390,9,2))),DATEVALUE(Raw_Data!E390))),"")</f>
        <v>45445</v>
      </c>
      <c r="F390" s="11" t="str">
        <f aca="false">Raw_Data!F390</f>
        <v>Male 35-44</v>
      </c>
      <c r="G390" s="11" t="str">
        <f aca="false">IF(TRIM(Raw_Data!G390)="","Unspecified",IFERROR(INDEX(Lookup_Tables!$F$2:$F$24,MATCH(UPPER(TRIM(Raw_Data!G390)),Lookup_Tables!$G$2:$G$24,0)),"Unknown"))</f>
        <v>North</v>
      </c>
      <c r="H390" s="11" t="n">
        <f aca="false">IF(Raw_Data!H390="",ROUND(AVERAGEIFS(Raw_Data!$H$2:$H$839,Raw_Data!$C$2:$C$839,Raw_Data!C390),2),Raw_Data!H390)</f>
        <v>86315.13</v>
      </c>
      <c r="I390" s="11" t="n">
        <f aca="false">Raw_Data!I390</f>
        <v>3071444</v>
      </c>
      <c r="J390" s="11" t="n">
        <f aca="false">IF(Raw_Data!J390&lt;0,ABS(Raw_Data!J390),Raw_Data!J390)</f>
        <v>96473</v>
      </c>
      <c r="K390" s="11" t="n">
        <f aca="false">Raw_Data!K390</f>
        <v>4531</v>
      </c>
      <c r="L390" s="11" t="n">
        <f aca="false">IF(Raw_Data!L390="",ROUND(AVERAGEIFS(Raw_Data!$L$2:$L$839,Raw_Data!$C$2:$C$839,Raw_Data!C390),2),Raw_Data!L390)</f>
        <v>5588221.55</v>
      </c>
      <c r="M390" s="13" t="n">
        <f aca="false">IFERROR(J390/I390,0)</f>
        <v>0.0314096561747504</v>
      </c>
      <c r="N390" s="14" t="n">
        <f aca="false">IFERROR(H390/J390,0)</f>
        <v>0.894707638406601</v>
      </c>
      <c r="O390" s="14" t="n">
        <f aca="false">IFERROR(H390/K390,0)</f>
        <v>19.0499073052306</v>
      </c>
      <c r="P390" s="15" t="n">
        <f aca="false">IFERROR(L390/H390,0)</f>
        <v>64.7420857733748</v>
      </c>
      <c r="Q390" s="13" t="n">
        <f aca="false">IFERROR(K390/J390,0)</f>
        <v>0.0469665087641102</v>
      </c>
      <c r="R390" s="11" t="str">
        <f aca="false">IF(COUNTIF($A$2:A390,A390)&gt;1,"Duplicate - Remove","Unique")</f>
        <v>Unique</v>
      </c>
      <c r="S390" s="11" t="str">
        <f aca="false">TRIM(IF(Raw_Data!G390="","Region missing; ","")&amp;IF(Raw_Data!H390="","Spend imputed; ","")&amp;IF(Raw_Data!L390="","Revenue imputed; ","")&amp;IF(Raw_Data!J390&lt;0,"Clicks corrected; ",""))</f>
        <v/>
      </c>
    </row>
    <row r="391" customFormat="false" ht="15" hidden="false" customHeight="true" outlineLevel="0" collapsed="false">
      <c r="A391" s="11" t="n">
        <f aca="false">Raw_Data!A391</f>
        <v>1494</v>
      </c>
      <c r="B391" s="11" t="str">
        <f aca="false">PROPER(TRIM(Raw_Data!B391))</f>
        <v>Summer Glow Launch</v>
      </c>
      <c r="C391" s="11" t="str">
        <f aca="false">IFERROR(INDEX(Lookup_Tables!$B$2:$B$26,MATCH(UPPER(TRIM(Raw_Data!C391)),Lookup_Tables!$C$2:$C$26,0)),"Unknown")</f>
        <v>YouTube</v>
      </c>
      <c r="D391" s="12" t="n">
        <f aca="false">IFERROR(IF(ISNUMBER(SEARCH("/",Raw_Data!D391)),DATE(VALUE(RIGHT(Raw_Data!D391,4)),VALUE(MID(Raw_Data!D391,FIND("/",Raw_Data!D391)+1,FIND("/",Raw_Data!D391,FIND("/",Raw_Data!D391)+1)-FIND("/",Raw_Data!D391)-1)),VALUE(LEFT(Raw_Data!D391,FIND("/",Raw_Data!D391)-1))),IF(ISNUMBER(VALUE(LEFT(Raw_Data!D391,4))),DATE(VALUE(LEFT(Raw_Data!D391,4)),VALUE(MID(Raw_Data!D391,6,2)),VALUE(MID(Raw_Data!D391,9,2))),DATEVALUE(Raw_Data!D391))),"")</f>
        <v>45364</v>
      </c>
      <c r="E391" s="12" t="n">
        <f aca="false">IFERROR(IF(ISNUMBER(SEARCH("/",Raw_Data!E391)),DATE(VALUE(RIGHT(Raw_Data!E391,4)),VALUE(MID(Raw_Data!E391,FIND("/",Raw_Data!E391)+1,FIND("/",Raw_Data!E391,FIND("/",Raw_Data!E391)+1)-FIND("/",Raw_Data!E391)-1)),VALUE(LEFT(Raw_Data!E391,FIND("/",Raw_Data!E391)-1))),IF(ISNUMBER(VALUE(LEFT(Raw_Data!E391,4))),DATE(VALUE(LEFT(Raw_Data!E391,4)),VALUE(MID(Raw_Data!E391,6,2)),VALUE(MID(Raw_Data!E391,9,2))),DATEVALUE(Raw_Data!E391))),"")</f>
        <v>45369</v>
      </c>
      <c r="F391" s="11" t="str">
        <f aca="false">Raw_Data!F391</f>
        <v>Female 45+</v>
      </c>
      <c r="G391" s="11" t="str">
        <f aca="false">IF(TRIM(Raw_Data!G391)="","Unspecified",IFERROR(INDEX(Lookup_Tables!$F$2:$F$24,MATCH(UPPER(TRIM(Raw_Data!G391)),Lookup_Tables!$G$2:$G$24,0)),"Unknown"))</f>
        <v>East</v>
      </c>
      <c r="H391" s="11" t="n">
        <f aca="false">IF(Raw_Data!H391="",ROUND(AVERAGEIFS(Raw_Data!$H$2:$H$839,Raw_Data!$C$2:$C$839,Raw_Data!C391),2),Raw_Data!H391)</f>
        <v>16800.07</v>
      </c>
      <c r="I391" s="11" t="n">
        <f aca="false">Raw_Data!I391</f>
        <v>431398</v>
      </c>
      <c r="J391" s="11" t="n">
        <f aca="false">IF(Raw_Data!J391&lt;0,ABS(Raw_Data!J391),Raw_Data!J391)</f>
        <v>4064</v>
      </c>
      <c r="K391" s="11" t="n">
        <f aca="false">Raw_Data!K391</f>
        <v>227</v>
      </c>
      <c r="L391" s="11" t="n">
        <f aca="false">IF(Raw_Data!L391="",ROUND(AVERAGEIFS(Raw_Data!$L$2:$L$839,Raw_Data!$C$2:$C$839,Raw_Data!C391),2),Raw_Data!L391)</f>
        <v>153799.85</v>
      </c>
      <c r="M391" s="13" t="n">
        <f aca="false">IFERROR(J391/I391,0)</f>
        <v>0.00942053509752016</v>
      </c>
      <c r="N391" s="14" t="n">
        <f aca="false">IFERROR(H391/J391,0)</f>
        <v>4.13387549212598</v>
      </c>
      <c r="O391" s="14" t="n">
        <f aca="false">IFERROR(H391/K391,0)</f>
        <v>74.0091189427313</v>
      </c>
      <c r="P391" s="15" t="n">
        <f aca="false">IFERROR(L391/H391,0)</f>
        <v>9.15471483154535</v>
      </c>
      <c r="Q391" s="13" t="n">
        <f aca="false">IFERROR(K391/J391,0)</f>
        <v>0.0558562992125984</v>
      </c>
      <c r="R391" s="11" t="str">
        <f aca="false">IF(COUNTIF($A$2:A391,A391)&gt;1,"Duplicate - Remove","Unique")</f>
        <v>Unique</v>
      </c>
      <c r="S391" s="11" t="str">
        <f aca="false">TRIM(IF(Raw_Data!G391="","Region missing; ","")&amp;IF(Raw_Data!H391="","Spend imputed; ","")&amp;IF(Raw_Data!L391="","Revenue imputed; ","")&amp;IF(Raw_Data!J391&lt;0,"Clicks corrected; ",""))</f>
        <v/>
      </c>
    </row>
    <row r="392" customFormat="false" ht="15" hidden="false" customHeight="true" outlineLevel="0" collapsed="false">
      <c r="A392" s="11" t="n">
        <f aca="false">Raw_Data!A392</f>
        <v>1070</v>
      </c>
      <c r="B392" s="11" t="str">
        <f aca="false">PROPER(TRIM(Raw_Data!B392))</f>
        <v>Sunscreen Season Campaign</v>
      </c>
      <c r="C392" s="11" t="str">
        <f aca="false">IFERROR(INDEX(Lookup_Tables!$B$2:$B$26,MATCH(UPPER(TRIM(Raw_Data!C392)),Lookup_Tables!$C$2:$C$26,0)),"Unknown")</f>
        <v>YouTube</v>
      </c>
      <c r="D392" s="12" t="n">
        <f aca="false">IFERROR(IF(ISNUMBER(SEARCH("/",Raw_Data!D392)),DATE(VALUE(RIGHT(Raw_Data!D392,4)),VALUE(MID(Raw_Data!D392,FIND("/",Raw_Data!D392)+1,FIND("/",Raw_Data!D392,FIND("/",Raw_Data!D392)+1)-FIND("/",Raw_Data!D392)-1)),VALUE(LEFT(Raw_Data!D392,FIND("/",Raw_Data!D392)-1))),IF(ISNUMBER(VALUE(LEFT(Raw_Data!D392,4))),DATE(VALUE(LEFT(Raw_Data!D392,4)),VALUE(MID(Raw_Data!D392,6,2)),VALUE(MID(Raw_Data!D392,9,2))),DATEVALUE(Raw_Data!D392))),"")</f>
        <v>45369</v>
      </c>
      <c r="E392" s="12" t="n">
        <f aca="false">IFERROR(IF(ISNUMBER(SEARCH("/",Raw_Data!E392)),DATE(VALUE(RIGHT(Raw_Data!E392,4)),VALUE(MID(Raw_Data!E392,FIND("/",Raw_Data!E392)+1,FIND("/",Raw_Data!E392,FIND("/",Raw_Data!E392)+1)-FIND("/",Raw_Data!E392)-1)),VALUE(LEFT(Raw_Data!E392,FIND("/",Raw_Data!E392)-1))),IF(ISNUMBER(VALUE(LEFT(Raw_Data!E392,4))),DATE(VALUE(LEFT(Raw_Data!E392,4)),VALUE(MID(Raw_Data!E392,6,2)),VALUE(MID(Raw_Data!E392,9,2))),DATEVALUE(Raw_Data!E392))),"")</f>
        <v>45388</v>
      </c>
      <c r="F392" s="11" t="str">
        <f aca="false">Raw_Data!F392</f>
        <v>Male 35-44</v>
      </c>
      <c r="G392" s="11" t="str">
        <f aca="false">IF(TRIM(Raw_Data!G392)="","Unspecified",IFERROR(INDEX(Lookup_Tables!$F$2:$F$24,MATCH(UPPER(TRIM(Raw_Data!G392)),Lookup_Tables!$G$2:$G$24,0)),"Unknown"))</f>
        <v>Central</v>
      </c>
      <c r="H392" s="11" t="n">
        <f aca="false">IF(Raw_Data!H392="",ROUND(AVERAGEIFS(Raw_Data!$H$2:$H$839,Raw_Data!$C$2:$C$839,Raw_Data!C392),2),Raw_Data!H392)</f>
        <v>50169.08</v>
      </c>
      <c r="I392" s="11" t="n">
        <f aca="false">Raw_Data!I392</f>
        <v>1544436</v>
      </c>
      <c r="J392" s="11" t="n">
        <f aca="false">IF(Raw_Data!J392&lt;0,ABS(Raw_Data!J392),Raw_Data!J392)</f>
        <v>44618</v>
      </c>
      <c r="K392" s="11" t="n">
        <f aca="false">Raw_Data!K392</f>
        <v>2293</v>
      </c>
      <c r="L392" s="11" t="n">
        <f aca="false">IF(Raw_Data!L392="",ROUND(AVERAGEIFS(Raw_Data!$L$2:$L$839,Raw_Data!$C$2:$C$839,Raw_Data!C392),2),Raw_Data!L392)</f>
        <v>1972705.1</v>
      </c>
      <c r="M392" s="13" t="n">
        <f aca="false">IFERROR(J392/I392,0)</f>
        <v>0.0288895104750213</v>
      </c>
      <c r="N392" s="14" t="n">
        <f aca="false">IFERROR(H392/J392,0)</f>
        <v>1.12441346541754</v>
      </c>
      <c r="O392" s="14" t="n">
        <f aca="false">IFERROR(H392/K392,0)</f>
        <v>21.8792324465765</v>
      </c>
      <c r="P392" s="15" t="n">
        <f aca="false">IFERROR(L392/H392,0)</f>
        <v>39.3211336544342</v>
      </c>
      <c r="Q392" s="13" t="n">
        <f aca="false">IFERROR(K392/J392,0)</f>
        <v>0.0513918149625712</v>
      </c>
      <c r="R392" s="11" t="str">
        <f aca="false">IF(COUNTIF($A$2:A392,A392)&gt;1,"Duplicate - Remove","Unique")</f>
        <v>Unique</v>
      </c>
      <c r="S392" s="11" t="str">
        <f aca="false">TRIM(IF(Raw_Data!G392="","Region missing; ","")&amp;IF(Raw_Data!H392="","Spend imputed; ","")&amp;IF(Raw_Data!L392="","Revenue imputed; ","")&amp;IF(Raw_Data!J392&lt;0,"Clicks corrected; ",""))</f>
        <v/>
      </c>
    </row>
    <row r="393" customFormat="false" ht="15" hidden="false" customHeight="true" outlineLevel="0" collapsed="false">
      <c r="A393" s="11" t="n">
        <f aca="false">Raw_Data!A393</f>
        <v>1403</v>
      </c>
      <c r="B393" s="11" t="str">
        <f aca="false">PROPER(TRIM(Raw_Data!B393))</f>
        <v>Influencer Collab - Skincare</v>
      </c>
      <c r="C393" s="11" t="str">
        <f aca="false">IFERROR(INDEX(Lookup_Tables!$B$2:$B$26,MATCH(UPPER(TRIM(Raw_Data!C393)),Lookup_Tables!$C$2:$C$26,0)),"Unknown")</f>
        <v>Facebook</v>
      </c>
      <c r="D393" s="12" t="n">
        <f aca="false">IFERROR(IF(ISNUMBER(SEARCH("/",Raw_Data!D393)),DATE(VALUE(RIGHT(Raw_Data!D393,4)),VALUE(MID(Raw_Data!D393,FIND("/",Raw_Data!D393)+1,FIND("/",Raw_Data!D393,FIND("/",Raw_Data!D393)+1)-FIND("/",Raw_Data!D393)-1)),VALUE(LEFT(Raw_Data!D393,FIND("/",Raw_Data!D393)-1))),IF(ISNUMBER(VALUE(LEFT(Raw_Data!D393,4))),DATE(VALUE(LEFT(Raw_Data!D393,4)),VALUE(MID(Raw_Data!D393,6,2)),VALUE(MID(Raw_Data!D393,9,2))),DATEVALUE(Raw_Data!D393))),"")</f>
        <v>45429</v>
      </c>
      <c r="E393" s="12" t="n">
        <f aca="false">IFERROR(IF(ISNUMBER(SEARCH("/",Raw_Data!E393)),DATE(VALUE(RIGHT(Raw_Data!E393,4)),VALUE(MID(Raw_Data!E393,FIND("/",Raw_Data!E393)+1,FIND("/",Raw_Data!E393,FIND("/",Raw_Data!E393)+1)-FIND("/",Raw_Data!E393)-1)),VALUE(LEFT(Raw_Data!E393,FIND("/",Raw_Data!E393)-1))),IF(ISNUMBER(VALUE(LEFT(Raw_Data!E393,4))),DATE(VALUE(LEFT(Raw_Data!E393,4)),VALUE(MID(Raw_Data!E393,6,2)),VALUE(MID(Raw_Data!E393,9,2))),DATEVALUE(Raw_Data!E393))),"")</f>
        <v>45435</v>
      </c>
      <c r="F393" s="11" t="str">
        <f aca="false">Raw_Data!F393</f>
        <v>Female 25-34</v>
      </c>
      <c r="G393" s="11" t="str">
        <f aca="false">IF(TRIM(Raw_Data!G393)="","Unspecified",IFERROR(INDEX(Lookup_Tables!$F$2:$F$24,MATCH(UPPER(TRIM(Raw_Data!G393)),Lookup_Tables!$G$2:$G$24,0)),"Unknown"))</f>
        <v>Central</v>
      </c>
      <c r="H393" s="11" t="n">
        <f aca="false">IF(Raw_Data!H393="",ROUND(AVERAGEIFS(Raw_Data!$H$2:$H$839,Raw_Data!$C$2:$C$839,Raw_Data!C393),2),Raw_Data!H393)</f>
        <v>26452.24</v>
      </c>
      <c r="I393" s="11" t="n">
        <f aca="false">Raw_Data!I393</f>
        <v>665985</v>
      </c>
      <c r="J393" s="11" t="n">
        <f aca="false">IF(Raw_Data!J393&lt;0,ABS(Raw_Data!J393),Raw_Data!J393)</f>
        <v>13003</v>
      </c>
      <c r="K393" s="11" t="n">
        <f aca="false">Raw_Data!K393</f>
        <v>500</v>
      </c>
      <c r="L393" s="11" t="n">
        <f aca="false">IF(Raw_Data!L393="",ROUND(AVERAGEIFS(Raw_Data!$L$2:$L$839,Raw_Data!$C$2:$C$839,Raw_Data!C393),2),Raw_Data!L393)</f>
        <v>344461.83</v>
      </c>
      <c r="M393" s="13" t="n">
        <f aca="false">IFERROR(J393/I393,0)</f>
        <v>0.0195244637641989</v>
      </c>
      <c r="N393" s="14" t="n">
        <f aca="false">IFERROR(H393/J393,0)</f>
        <v>2.03431823425363</v>
      </c>
      <c r="O393" s="14" t="n">
        <f aca="false">IFERROR(H393/K393,0)</f>
        <v>52.90448</v>
      </c>
      <c r="P393" s="15" t="n">
        <f aca="false">IFERROR(L393/H393,0)</f>
        <v>13.022028758245</v>
      </c>
      <c r="Q393" s="13" t="n">
        <f aca="false">IFERROR(K393/J393,0)</f>
        <v>0.0384526647696685</v>
      </c>
      <c r="R393" s="11" t="str">
        <f aca="false">IF(COUNTIF($A$2:A393,A393)&gt;1,"Duplicate - Remove","Unique")</f>
        <v>Unique</v>
      </c>
      <c r="S393" s="11" t="str">
        <f aca="false">TRIM(IF(Raw_Data!G393="","Region missing; ","")&amp;IF(Raw_Data!H393="","Spend imputed; ","")&amp;IF(Raw_Data!L393="","Revenue imputed; ","")&amp;IF(Raw_Data!J393&lt;0,"Clicks corrected; ",""))</f>
        <v/>
      </c>
    </row>
    <row r="394" customFormat="false" ht="15" hidden="false" customHeight="true" outlineLevel="0" collapsed="false">
      <c r="A394" s="11" t="n">
        <f aca="false">Raw_Data!A394</f>
        <v>1626</v>
      </c>
      <c r="B394" s="11" t="str">
        <f aca="false">PROPER(TRIM(Raw_Data!B394))</f>
        <v>Men'S Grooming Drive</v>
      </c>
      <c r="C394" s="11" t="str">
        <f aca="false">IFERROR(INDEX(Lookup_Tables!$B$2:$B$26,MATCH(UPPER(TRIM(Raw_Data!C394)),Lookup_Tables!$C$2:$C$26,0)),"Unknown")</f>
        <v>Facebook</v>
      </c>
      <c r="D394" s="12" t="n">
        <f aca="false">IFERROR(IF(ISNUMBER(SEARCH("/",Raw_Data!D394)),DATE(VALUE(RIGHT(Raw_Data!D394,4)),VALUE(MID(Raw_Data!D394,FIND("/",Raw_Data!D394)+1,FIND("/",Raw_Data!D394,FIND("/",Raw_Data!D394)+1)-FIND("/",Raw_Data!D394)-1)),VALUE(LEFT(Raw_Data!D394,FIND("/",Raw_Data!D394)-1))),IF(ISNUMBER(VALUE(LEFT(Raw_Data!D394,4))),DATE(VALUE(LEFT(Raw_Data!D394,4)),VALUE(MID(Raw_Data!D394,6,2)),VALUE(MID(Raw_Data!D394,9,2))),DATEVALUE(Raw_Data!D394))),"")</f>
        <v>45384</v>
      </c>
      <c r="E394" s="12" t="n">
        <f aca="false">IFERROR(IF(ISNUMBER(SEARCH("/",Raw_Data!E394)),DATE(VALUE(RIGHT(Raw_Data!E394,4)),VALUE(MID(Raw_Data!E394,FIND("/",Raw_Data!E394)+1,FIND("/",Raw_Data!E394,FIND("/",Raw_Data!E394)+1)-FIND("/",Raw_Data!E394)-1)),VALUE(LEFT(Raw_Data!E394,FIND("/",Raw_Data!E394)-1))),IF(ISNUMBER(VALUE(LEFT(Raw_Data!E394,4))),DATE(VALUE(LEFT(Raw_Data!E394,4)),VALUE(MID(Raw_Data!E394,6,2)),VALUE(MID(Raw_Data!E394,9,2))),DATEVALUE(Raw_Data!E394))),"")</f>
        <v>45410</v>
      </c>
      <c r="F394" s="11" t="str">
        <f aca="false">Raw_Data!F394</f>
        <v>Female 45+</v>
      </c>
      <c r="G394" s="11" t="str">
        <f aca="false">IF(TRIM(Raw_Data!G394)="","Unspecified",IFERROR(INDEX(Lookup_Tables!$F$2:$F$24,MATCH(UPPER(TRIM(Raw_Data!G394)),Lookup_Tables!$G$2:$G$24,0)),"Unknown"))</f>
        <v>East</v>
      </c>
      <c r="H394" s="11" t="n">
        <f aca="false">IF(Raw_Data!H394="",ROUND(AVERAGEIFS(Raw_Data!$H$2:$H$839,Raw_Data!$C$2:$C$839,Raw_Data!C394),2),Raw_Data!H394)</f>
        <v>17997.89</v>
      </c>
      <c r="I394" s="11" t="n">
        <f aca="false">Raw_Data!I394</f>
        <v>453179</v>
      </c>
      <c r="J394" s="11" t="n">
        <f aca="false">IF(Raw_Data!J394&lt;0,ABS(Raw_Data!J394),Raw_Data!J394)</f>
        <v>2520</v>
      </c>
      <c r="K394" s="11" t="n">
        <f aca="false">Raw_Data!K394</f>
        <v>98</v>
      </c>
      <c r="L394" s="11" t="n">
        <f aca="false">IF(Raw_Data!L394="",ROUND(AVERAGEIFS(Raw_Data!$L$2:$L$839,Raw_Data!$C$2:$C$839,Raw_Data!C394),2),Raw_Data!L394)</f>
        <v>52739.88</v>
      </c>
      <c r="M394" s="13" t="n">
        <f aca="false">IFERROR(J394/I394,0)</f>
        <v>0.00556071662632205</v>
      </c>
      <c r="N394" s="14" t="n">
        <f aca="false">IFERROR(H394/J394,0)</f>
        <v>7.14201984126984</v>
      </c>
      <c r="O394" s="14" t="n">
        <f aca="false">IFERROR(H394/K394,0)</f>
        <v>183.65193877551</v>
      </c>
      <c r="P394" s="15" t="n">
        <f aca="false">IFERROR(L394/H394,0)</f>
        <v>2.93033683392887</v>
      </c>
      <c r="Q394" s="13" t="n">
        <f aca="false">IFERROR(K394/J394,0)</f>
        <v>0.0388888888888889</v>
      </c>
      <c r="R394" s="11" t="str">
        <f aca="false">IF(COUNTIF($A$2:A394,A394)&gt;1,"Duplicate - Remove","Unique")</f>
        <v>Unique</v>
      </c>
      <c r="S394" s="11" t="str">
        <f aca="false">TRIM(IF(Raw_Data!G394="","Region missing; ","")&amp;IF(Raw_Data!H394="","Spend imputed; ","")&amp;IF(Raw_Data!L394="","Revenue imputed; ","")&amp;IF(Raw_Data!J394&lt;0,"Clicks corrected; ",""))</f>
        <v/>
      </c>
    </row>
    <row r="395" customFormat="false" ht="15" hidden="false" customHeight="true" outlineLevel="0" collapsed="false">
      <c r="A395" s="11" t="n">
        <f aca="false">Raw_Data!A395</f>
        <v>1428</v>
      </c>
      <c r="B395" s="11" t="str">
        <f aca="false">PROPER(TRIM(Raw_Data!B395))</f>
        <v>Men'S Grooming Drive</v>
      </c>
      <c r="C395" s="11" t="str">
        <f aca="false">IFERROR(INDEX(Lookup_Tables!$B$2:$B$26,MATCH(UPPER(TRIM(Raw_Data!C395)),Lookup_Tables!$C$2:$C$26,0)),"Unknown")</f>
        <v>YouTube</v>
      </c>
      <c r="D395" s="12" t="n">
        <f aca="false">IFERROR(IF(ISNUMBER(SEARCH("/",Raw_Data!D395)),DATE(VALUE(RIGHT(Raw_Data!D395,4)),VALUE(MID(Raw_Data!D395,FIND("/",Raw_Data!D395)+1,FIND("/",Raw_Data!D395,FIND("/",Raw_Data!D395)+1)-FIND("/",Raw_Data!D395)-1)),VALUE(LEFT(Raw_Data!D395,FIND("/",Raw_Data!D395)-1))),IF(ISNUMBER(VALUE(LEFT(Raw_Data!D395,4))),DATE(VALUE(LEFT(Raw_Data!D395,4)),VALUE(MID(Raw_Data!D395,6,2)),VALUE(MID(Raw_Data!D395,9,2))),DATEVALUE(Raw_Data!D395))),"")</f>
        <v>45498</v>
      </c>
      <c r="E395" s="12" t="n">
        <f aca="false">IFERROR(IF(ISNUMBER(SEARCH("/",Raw_Data!E395)),DATE(VALUE(RIGHT(Raw_Data!E395,4)),VALUE(MID(Raw_Data!E395,FIND("/",Raw_Data!E395)+1,FIND("/",Raw_Data!E395,FIND("/",Raw_Data!E395)+1)-FIND("/",Raw_Data!E395)-1)),VALUE(LEFT(Raw_Data!E395,FIND("/",Raw_Data!E395)-1))),IF(ISNUMBER(VALUE(LEFT(Raw_Data!E395,4))),DATE(VALUE(LEFT(Raw_Data!E395,4)),VALUE(MID(Raw_Data!E395,6,2)),VALUE(MID(Raw_Data!E395,9,2))),DATEVALUE(Raw_Data!E395))),"")</f>
        <v>45527</v>
      </c>
      <c r="F395" s="11" t="str">
        <f aca="false">Raw_Data!F395</f>
        <v>Female 45+</v>
      </c>
      <c r="G395" s="11" t="str">
        <f aca="false">IF(TRIM(Raw_Data!G395)="","Unspecified",IFERROR(INDEX(Lookup_Tables!$F$2:$F$24,MATCH(UPPER(TRIM(Raw_Data!G395)),Lookup_Tables!$G$2:$G$24,0)),"Unknown"))</f>
        <v>East</v>
      </c>
      <c r="H395" s="11" t="n">
        <f aca="false">IF(Raw_Data!H395="",ROUND(AVERAGEIFS(Raw_Data!$H$2:$H$839,Raw_Data!$C$2:$C$839,Raw_Data!C395),2),Raw_Data!H395)</f>
        <v>55320.3</v>
      </c>
      <c r="I395" s="11" t="n">
        <f aca="false">Raw_Data!I395</f>
        <v>1280774</v>
      </c>
      <c r="J395" s="11" t="n">
        <f aca="false">IF(Raw_Data!J395&lt;0,ABS(Raw_Data!J395),Raw_Data!J395)</f>
        <v>7296</v>
      </c>
      <c r="K395" s="11" t="n">
        <f aca="false">Raw_Data!K395</f>
        <v>474</v>
      </c>
      <c r="L395" s="11" t="n">
        <f aca="false">IF(Raw_Data!L395="",ROUND(AVERAGEIFS(Raw_Data!$L$2:$L$839,Raw_Data!$C$2:$C$839,Raw_Data!C395),2),Raw_Data!L395)</f>
        <v>799689.7</v>
      </c>
      <c r="M395" s="13" t="n">
        <f aca="false">IFERROR(J395/I395,0)</f>
        <v>0.00569655536417822</v>
      </c>
      <c r="N395" s="14" t="n">
        <f aca="false">IFERROR(H395/J395,0)</f>
        <v>7.58227796052632</v>
      </c>
      <c r="O395" s="14" t="n">
        <f aca="false">IFERROR(H395/K395,0)</f>
        <v>116.709493670886</v>
      </c>
      <c r="P395" s="15" t="n">
        <f aca="false">IFERROR(L395/H395,0)</f>
        <v>14.4556284040397</v>
      </c>
      <c r="Q395" s="13" t="n">
        <f aca="false">IFERROR(K395/J395,0)</f>
        <v>0.0649671052631579</v>
      </c>
      <c r="R395" s="11" t="str">
        <f aca="false">IF(COUNTIF($A$2:A395,A395)&gt;1,"Duplicate - Remove","Unique")</f>
        <v>Unique</v>
      </c>
      <c r="S395" s="11" t="str">
        <f aca="false">TRIM(IF(Raw_Data!G395="","Region missing; ","")&amp;IF(Raw_Data!H395="","Spend imputed; ","")&amp;IF(Raw_Data!L395="","Revenue imputed; ","")&amp;IF(Raw_Data!J395&lt;0,"Clicks corrected; ",""))</f>
        <v/>
      </c>
    </row>
    <row r="396" customFormat="false" ht="15" hidden="false" customHeight="true" outlineLevel="0" collapsed="false">
      <c r="A396" s="11" t="n">
        <f aca="false">Raw_Data!A396</f>
        <v>1548</v>
      </c>
      <c r="B396" s="11" t="str">
        <f aca="false">PROPER(TRIM(Raw_Data!B396))</f>
        <v>Ayurvedic Range Launch</v>
      </c>
      <c r="C396" s="11" t="str">
        <f aca="false">IFERROR(INDEX(Lookup_Tables!$B$2:$B$26,MATCH(UPPER(TRIM(Raw_Data!C396)),Lookup_Tables!$C$2:$C$26,0)),"Unknown")</f>
        <v>YouTube</v>
      </c>
      <c r="D396" s="12" t="n">
        <f aca="false">IFERROR(IF(ISNUMBER(SEARCH("/",Raw_Data!D396)),DATE(VALUE(RIGHT(Raw_Data!D396,4)),VALUE(MID(Raw_Data!D396,FIND("/",Raw_Data!D396)+1,FIND("/",Raw_Data!D396,FIND("/",Raw_Data!D396)+1)-FIND("/",Raw_Data!D396)-1)),VALUE(LEFT(Raw_Data!D396,FIND("/",Raw_Data!D396)-1))),IF(ISNUMBER(VALUE(LEFT(Raw_Data!D396,4))),DATE(VALUE(LEFT(Raw_Data!D396,4)),VALUE(MID(Raw_Data!D396,6,2)),VALUE(MID(Raw_Data!D396,9,2))),DATEVALUE(Raw_Data!D396))),"")</f>
        <v>45335</v>
      </c>
      <c r="E396" s="12" t="n">
        <f aca="false">IFERROR(IF(ISNUMBER(SEARCH("/",Raw_Data!E396)),DATE(VALUE(RIGHT(Raw_Data!E396,4)),VALUE(MID(Raw_Data!E396,FIND("/",Raw_Data!E396)+1,FIND("/",Raw_Data!E396,FIND("/",Raw_Data!E396)+1)-FIND("/",Raw_Data!E396)-1)),VALUE(LEFT(Raw_Data!E396,FIND("/",Raw_Data!E396)-1))),IF(ISNUMBER(VALUE(LEFT(Raw_Data!E396,4))),DATE(VALUE(LEFT(Raw_Data!E396,4)),VALUE(MID(Raw_Data!E396,6,2)),VALUE(MID(Raw_Data!E396,9,2))),DATEVALUE(Raw_Data!E396))),"")</f>
        <v>45349</v>
      </c>
      <c r="F396" s="11" t="str">
        <f aca="false">Raw_Data!F396</f>
        <v>Male 25-34</v>
      </c>
      <c r="G396" s="11" t="str">
        <f aca="false">IF(TRIM(Raw_Data!G396)="","Unspecified",IFERROR(INDEX(Lookup_Tables!$F$2:$F$24,MATCH(UPPER(TRIM(Raw_Data!G396)),Lookup_Tables!$G$2:$G$24,0)),"Unknown"))</f>
        <v>West</v>
      </c>
      <c r="H396" s="11" t="n">
        <f aca="false">IF(Raw_Data!H396="",ROUND(AVERAGEIFS(Raw_Data!$H$2:$H$839,Raw_Data!$C$2:$C$839,Raw_Data!C396),2),Raw_Data!H396)</f>
        <v>84533.9</v>
      </c>
      <c r="I396" s="11" t="n">
        <f aca="false">Raw_Data!I396</f>
        <v>2242587</v>
      </c>
      <c r="J396" s="11" t="n">
        <f aca="false">IF(Raw_Data!J396&lt;0,ABS(Raw_Data!J396),Raw_Data!J396)</f>
        <v>23549</v>
      </c>
      <c r="K396" s="11" t="n">
        <f aca="false">Raw_Data!K396</f>
        <v>1525</v>
      </c>
      <c r="L396" s="11" t="n">
        <f aca="false">IF(Raw_Data!L396="",ROUND(AVERAGEIFS(Raw_Data!$L$2:$L$839,Raw_Data!$C$2:$C$839,Raw_Data!C396),2),Raw_Data!L396)</f>
        <v>2377606</v>
      </c>
      <c r="M396" s="13" t="n">
        <f aca="false">IFERROR(J396/I396,0)</f>
        <v>0.0105008189202916</v>
      </c>
      <c r="N396" s="14" t="n">
        <f aca="false">IFERROR(H396/J396,0)</f>
        <v>3.58970232281626</v>
      </c>
      <c r="O396" s="14" t="n">
        <f aca="false">IFERROR(H396/K396,0)</f>
        <v>55.4320655737705</v>
      </c>
      <c r="P396" s="15" t="n">
        <f aca="false">IFERROR(L396/H396,0)</f>
        <v>28.1260654009811</v>
      </c>
      <c r="Q396" s="13" t="n">
        <f aca="false">IFERROR(K396/J396,0)</f>
        <v>0.0647585884750945</v>
      </c>
      <c r="R396" s="11" t="str">
        <f aca="false">IF(COUNTIF($A$2:A396,A396)&gt;1,"Duplicate - Remove","Unique")</f>
        <v>Unique</v>
      </c>
      <c r="S396" s="11" t="str">
        <f aca="false">TRIM(IF(Raw_Data!G396="","Region missing; ","")&amp;IF(Raw_Data!H396="","Spend imputed; ","")&amp;IF(Raw_Data!L396="","Revenue imputed; ","")&amp;IF(Raw_Data!J396&lt;0,"Clicks corrected; ",""))</f>
        <v/>
      </c>
    </row>
    <row r="397" customFormat="false" ht="15" hidden="false" customHeight="true" outlineLevel="0" collapsed="false">
      <c r="A397" s="11" t="n">
        <f aca="false">Raw_Data!A397</f>
        <v>1610</v>
      </c>
      <c r="B397" s="11" t="str">
        <f aca="false">PROPER(TRIM(Raw_Data!B397))</f>
        <v>Herbal Range Awareness</v>
      </c>
      <c r="C397" s="11" t="str">
        <f aca="false">IFERROR(INDEX(Lookup_Tables!$B$2:$B$26,MATCH(UPPER(TRIM(Raw_Data!C397)),Lookup_Tables!$C$2:$C$26,0)),"Unknown")</f>
        <v>Instagram</v>
      </c>
      <c r="D397" s="12" t="n">
        <f aca="false">IFERROR(IF(ISNUMBER(SEARCH("/",Raw_Data!D397)),DATE(VALUE(RIGHT(Raw_Data!D397,4)),VALUE(MID(Raw_Data!D397,FIND("/",Raw_Data!D397)+1,FIND("/",Raw_Data!D397,FIND("/",Raw_Data!D397)+1)-FIND("/",Raw_Data!D397)-1)),VALUE(LEFT(Raw_Data!D397,FIND("/",Raw_Data!D397)-1))),IF(ISNUMBER(VALUE(LEFT(Raw_Data!D397,4))),DATE(VALUE(LEFT(Raw_Data!D397,4)),VALUE(MID(Raw_Data!D397,6,2)),VALUE(MID(Raw_Data!D397,9,2))),DATEVALUE(Raw_Data!D397))),"")</f>
        <v>45527</v>
      </c>
      <c r="E397" s="12" t="n">
        <f aca="false">IFERROR(IF(ISNUMBER(SEARCH("/",Raw_Data!E397)),DATE(VALUE(RIGHT(Raw_Data!E397,4)),VALUE(MID(Raw_Data!E397,FIND("/",Raw_Data!E397)+1,FIND("/",Raw_Data!E397,FIND("/",Raw_Data!E397)+1)-FIND("/",Raw_Data!E397)-1)),VALUE(LEFT(Raw_Data!E397,FIND("/",Raw_Data!E397)-1))),IF(ISNUMBER(VALUE(LEFT(Raw_Data!E397,4))),DATE(VALUE(LEFT(Raw_Data!E397,4)),VALUE(MID(Raw_Data!E397,6,2)),VALUE(MID(Raw_Data!E397,9,2))),DATEVALUE(Raw_Data!E397))),"")</f>
        <v>45534</v>
      </c>
      <c r="F397" s="11" t="str">
        <f aca="false">Raw_Data!F397</f>
        <v>Male 35-44</v>
      </c>
      <c r="G397" s="11" t="str">
        <f aca="false">IF(TRIM(Raw_Data!G397)="","Unspecified",IFERROR(INDEX(Lookup_Tables!$F$2:$F$24,MATCH(UPPER(TRIM(Raw_Data!G397)),Lookup_Tables!$G$2:$G$24,0)),"Unknown"))</f>
        <v>South</v>
      </c>
      <c r="H397" s="11" t="n">
        <f aca="false">IF(Raw_Data!H397="",ROUND(AVERAGEIFS(Raw_Data!$H$2:$H$839,Raw_Data!$C$2:$C$839,Raw_Data!C397),2),Raw_Data!H397)</f>
        <v>57048.34</v>
      </c>
      <c r="I397" s="11" t="n">
        <f aca="false">Raw_Data!I397</f>
        <v>1294686</v>
      </c>
      <c r="J397" s="11" t="n">
        <f aca="false">IF(Raw_Data!J397&lt;0,ABS(Raw_Data!J397),Raw_Data!J397)</f>
        <v>32919</v>
      </c>
      <c r="K397" s="11" t="n">
        <f aca="false">Raw_Data!K397</f>
        <v>2501</v>
      </c>
      <c r="L397" s="11" t="n">
        <f aca="false">IF(Raw_Data!L397="",ROUND(AVERAGEIFS(Raw_Data!$L$2:$L$839,Raw_Data!$C$2:$C$839,Raw_Data!C397),2),Raw_Data!L397)</f>
        <v>4010727.56</v>
      </c>
      <c r="M397" s="13" t="n">
        <f aca="false">IFERROR(J397/I397,0)</f>
        <v>0.0254262423475654</v>
      </c>
      <c r="N397" s="14" t="n">
        <f aca="false">IFERROR(H397/J397,0)</f>
        <v>1.73299128163067</v>
      </c>
      <c r="O397" s="14" t="n">
        <f aca="false">IFERROR(H397/K397,0)</f>
        <v>22.8102119152339</v>
      </c>
      <c r="P397" s="15" t="n">
        <f aca="false">IFERROR(L397/H397,0)</f>
        <v>70.304018662068</v>
      </c>
      <c r="Q397" s="13" t="n">
        <f aca="false">IFERROR(K397/J397,0)</f>
        <v>0.0759743613110969</v>
      </c>
      <c r="R397" s="11" t="str">
        <f aca="false">IF(COUNTIF($A$2:A397,A397)&gt;1,"Duplicate - Remove","Unique")</f>
        <v>Unique</v>
      </c>
      <c r="S397" s="11" t="str">
        <f aca="false">TRIM(IF(Raw_Data!G397="","Region missing; ","")&amp;IF(Raw_Data!H397="","Spend imputed; ","")&amp;IF(Raw_Data!L397="","Revenue imputed; ","")&amp;IF(Raw_Data!J397&lt;0,"Clicks corrected; ",""))</f>
        <v/>
      </c>
    </row>
    <row r="398" customFormat="false" ht="15" hidden="false" customHeight="true" outlineLevel="0" collapsed="false">
      <c r="A398" s="11" t="n">
        <f aca="false">Raw_Data!A398</f>
        <v>1483</v>
      </c>
      <c r="B398" s="11" t="str">
        <f aca="false">PROPER(TRIM(Raw_Data!B398))</f>
        <v>Herbal Range Awareness</v>
      </c>
      <c r="C398" s="11" t="str">
        <f aca="false">IFERROR(INDEX(Lookup_Tables!$B$2:$B$26,MATCH(UPPER(TRIM(Raw_Data!C398)),Lookup_Tables!$C$2:$C$26,0)),"Unknown")</f>
        <v>Facebook</v>
      </c>
      <c r="D398" s="12" t="n">
        <f aca="false">IFERROR(IF(ISNUMBER(SEARCH("/",Raw_Data!D398)),DATE(VALUE(RIGHT(Raw_Data!D398,4)),VALUE(MID(Raw_Data!D398,FIND("/",Raw_Data!D398)+1,FIND("/",Raw_Data!D398,FIND("/",Raw_Data!D398)+1)-FIND("/",Raw_Data!D398)-1)),VALUE(LEFT(Raw_Data!D398,FIND("/",Raw_Data!D398)-1))),IF(ISNUMBER(VALUE(LEFT(Raw_Data!D398,4))),DATE(VALUE(LEFT(Raw_Data!D398,4)),VALUE(MID(Raw_Data!D398,6,2)),VALUE(MID(Raw_Data!D398,9,2))),DATEVALUE(Raw_Data!D398))),"")</f>
        <v>45478</v>
      </c>
      <c r="E398" s="12" t="n">
        <f aca="false">IFERROR(IF(ISNUMBER(SEARCH("/",Raw_Data!E398)),DATE(VALUE(RIGHT(Raw_Data!E398,4)),VALUE(MID(Raw_Data!E398,FIND("/",Raw_Data!E398)+1,FIND("/",Raw_Data!E398,FIND("/",Raw_Data!E398)+1)-FIND("/",Raw_Data!E398)-1)),VALUE(LEFT(Raw_Data!E398,FIND("/",Raw_Data!E398)-1))),IF(ISNUMBER(VALUE(LEFT(Raw_Data!E398,4))),DATE(VALUE(LEFT(Raw_Data!E398,4)),VALUE(MID(Raw_Data!E398,6,2)),VALUE(MID(Raw_Data!E398,9,2))),DATEVALUE(Raw_Data!E398))),"")</f>
        <v>45491</v>
      </c>
      <c r="F398" s="11" t="str">
        <f aca="false">Raw_Data!F398</f>
        <v>Male 25-34</v>
      </c>
      <c r="G398" s="11" t="str">
        <f aca="false">IF(TRIM(Raw_Data!G398)="","Unspecified",IFERROR(INDEX(Lookup_Tables!$F$2:$F$24,MATCH(UPPER(TRIM(Raw_Data!G398)),Lookup_Tables!$G$2:$G$24,0)),"Unknown"))</f>
        <v>West</v>
      </c>
      <c r="H398" s="11" t="n">
        <f aca="false">IF(Raw_Data!H398="",ROUND(AVERAGEIFS(Raw_Data!$H$2:$H$839,Raw_Data!$C$2:$C$839,Raw_Data!C398),2),Raw_Data!H398)</f>
        <v>37309.77</v>
      </c>
      <c r="I398" s="11" t="n">
        <f aca="false">Raw_Data!I398</f>
        <v>790005</v>
      </c>
      <c r="J398" s="11" t="n">
        <f aca="false">IF(Raw_Data!J398&lt;0,ABS(Raw_Data!J398),Raw_Data!J398)</f>
        <v>25164</v>
      </c>
      <c r="K398" s="11" t="n">
        <f aca="false">Raw_Data!K398</f>
        <v>571</v>
      </c>
      <c r="L398" s="11" t="n">
        <f aca="false">IF(Raw_Data!L398="",ROUND(AVERAGEIFS(Raw_Data!$L$2:$L$839,Raw_Data!$C$2:$C$839,Raw_Data!C398),2),Raw_Data!L398)</f>
        <v>200293.72</v>
      </c>
      <c r="M398" s="13" t="n">
        <f aca="false">IFERROR(J398/I398,0)</f>
        <v>0.0318529629559307</v>
      </c>
      <c r="N398" s="14" t="n">
        <f aca="false">IFERROR(H398/J398,0)</f>
        <v>1.48266452074392</v>
      </c>
      <c r="O398" s="14" t="n">
        <f aca="false">IFERROR(H398/K398,0)</f>
        <v>65.3411033274956</v>
      </c>
      <c r="P398" s="15" t="n">
        <f aca="false">IFERROR(L398/H398,0)</f>
        <v>5.36839867948797</v>
      </c>
      <c r="Q398" s="13" t="n">
        <f aca="false">IFERROR(K398/J398,0)</f>
        <v>0.022691146081704</v>
      </c>
      <c r="R398" s="11" t="str">
        <f aca="false">IF(COUNTIF($A$2:A398,A398)&gt;1,"Duplicate - Remove","Unique")</f>
        <v>Unique</v>
      </c>
      <c r="S398" s="11" t="str">
        <f aca="false">TRIM(IF(Raw_Data!G398="","Region missing; ","")&amp;IF(Raw_Data!H398="","Spend imputed; ","")&amp;IF(Raw_Data!L398="","Revenue imputed; ","")&amp;IF(Raw_Data!J398&lt;0,"Clicks corrected; ",""))</f>
        <v/>
      </c>
    </row>
    <row r="399" customFormat="false" ht="15" hidden="false" customHeight="true" outlineLevel="0" collapsed="false">
      <c r="A399" s="11" t="n">
        <f aca="false">Raw_Data!A399</f>
        <v>1754</v>
      </c>
      <c r="B399" s="11" t="str">
        <f aca="false">PROPER(TRIM(Raw_Data!B399))</f>
        <v>New Year Wellness</v>
      </c>
      <c r="C399" s="11" t="str">
        <f aca="false">IFERROR(INDEX(Lookup_Tables!$B$2:$B$26,MATCH(UPPER(TRIM(Raw_Data!C399)),Lookup_Tables!$C$2:$C$26,0)),"Unknown")</f>
        <v>Email</v>
      </c>
      <c r="D399" s="12" t="n">
        <f aca="false">IFERROR(IF(ISNUMBER(SEARCH("/",Raw_Data!D399)),DATE(VALUE(RIGHT(Raw_Data!D399,4)),VALUE(MID(Raw_Data!D399,FIND("/",Raw_Data!D399)+1,FIND("/",Raw_Data!D399,FIND("/",Raw_Data!D399)+1)-FIND("/",Raw_Data!D399)-1)),VALUE(LEFT(Raw_Data!D399,FIND("/",Raw_Data!D399)-1))),IF(ISNUMBER(VALUE(LEFT(Raw_Data!D399,4))),DATE(VALUE(LEFT(Raw_Data!D399,4)),VALUE(MID(Raw_Data!D399,6,2)),VALUE(MID(Raw_Data!D399,9,2))),DATEVALUE(Raw_Data!D399))),"")</f>
        <v>45306</v>
      </c>
      <c r="E399" s="12" t="n">
        <f aca="false">IFERROR(IF(ISNUMBER(SEARCH("/",Raw_Data!E399)),DATE(VALUE(RIGHT(Raw_Data!E399,4)),VALUE(MID(Raw_Data!E399,FIND("/",Raw_Data!E399)+1,FIND("/",Raw_Data!E399,FIND("/",Raw_Data!E399)+1)-FIND("/",Raw_Data!E399)-1)),VALUE(LEFT(Raw_Data!E399,FIND("/",Raw_Data!E399)-1))),IF(ISNUMBER(VALUE(LEFT(Raw_Data!E399,4))),DATE(VALUE(LEFT(Raw_Data!E399,4)),VALUE(MID(Raw_Data!E399,6,2)),VALUE(MID(Raw_Data!E399,9,2))),DATEVALUE(Raw_Data!E399))),"")</f>
        <v>45317</v>
      </c>
      <c r="F399" s="11" t="str">
        <f aca="false">Raw_Data!F399</f>
        <v>Female 45+</v>
      </c>
      <c r="G399" s="11" t="str">
        <f aca="false">IF(TRIM(Raw_Data!G399)="","Unspecified",IFERROR(INDEX(Lookup_Tables!$F$2:$F$24,MATCH(UPPER(TRIM(Raw_Data!G399)),Lookup_Tables!$G$2:$G$24,0)),"Unknown"))</f>
        <v>West</v>
      </c>
      <c r="H399" s="11" t="n">
        <f aca="false">IF(Raw_Data!H399="",ROUND(AVERAGEIFS(Raw_Data!$H$2:$H$839,Raw_Data!$C$2:$C$839,Raw_Data!C399),2),Raw_Data!H399)</f>
        <v>6085.47</v>
      </c>
      <c r="I399" s="11" t="n">
        <f aca="false">Raw_Data!I399</f>
        <v>148132</v>
      </c>
      <c r="J399" s="11" t="n">
        <f aca="false">IF(Raw_Data!J399&lt;0,ABS(Raw_Data!J399),Raw_Data!J399)</f>
        <v>2739</v>
      </c>
      <c r="K399" s="11" t="n">
        <f aca="false">Raw_Data!K399</f>
        <v>187</v>
      </c>
      <c r="L399" s="11" t="n">
        <f aca="false">IF(Raw_Data!L399="",ROUND(AVERAGEIFS(Raw_Data!$L$2:$L$839,Raw_Data!$C$2:$C$839,Raw_Data!C399),2),Raw_Data!L399)</f>
        <v>126383.11</v>
      </c>
      <c r="M399" s="13" t="n">
        <f aca="false">IFERROR(J399/I399,0)</f>
        <v>0.0184902654389328</v>
      </c>
      <c r="N399" s="14" t="n">
        <f aca="false">IFERROR(H399/J399,0)</f>
        <v>2.22178532311062</v>
      </c>
      <c r="O399" s="14" t="n">
        <f aca="false">IFERROR(H399/K399,0)</f>
        <v>32.5426203208556</v>
      </c>
      <c r="P399" s="15" t="n">
        <f aca="false">IFERROR(L399/H399,0)</f>
        <v>20.7680113450563</v>
      </c>
      <c r="Q399" s="13" t="n">
        <f aca="false">IFERROR(K399/J399,0)</f>
        <v>0.0682730923694779</v>
      </c>
      <c r="R399" s="11" t="str">
        <f aca="false">IF(COUNTIF($A$2:A399,A399)&gt;1,"Duplicate - Remove","Unique")</f>
        <v>Unique</v>
      </c>
      <c r="S399" s="11" t="str">
        <f aca="false">TRIM(IF(Raw_Data!G399="","Region missing; ","")&amp;IF(Raw_Data!H399="","Spend imputed; ","")&amp;IF(Raw_Data!L399="","Revenue imputed; ","")&amp;IF(Raw_Data!J399&lt;0,"Clicks corrected; ",""))</f>
        <v/>
      </c>
    </row>
    <row r="400" customFormat="false" ht="15" hidden="false" customHeight="true" outlineLevel="0" collapsed="false">
      <c r="A400" s="11" t="n">
        <f aca="false">Raw_Data!A400</f>
        <v>1176</v>
      </c>
      <c r="B400" s="11" t="str">
        <f aca="false">PROPER(TRIM(Raw_Data!B400))</f>
        <v>Anti-Ageing Serum Push</v>
      </c>
      <c r="C400" s="11" t="str">
        <f aca="false">IFERROR(INDEX(Lookup_Tables!$B$2:$B$26,MATCH(UPPER(TRIM(Raw_Data!C400)),Lookup_Tables!$C$2:$C$26,0)),"Unknown")</f>
        <v>Instagram</v>
      </c>
      <c r="D400" s="12" t="n">
        <f aca="false">IFERROR(IF(ISNUMBER(SEARCH("/",Raw_Data!D400)),DATE(VALUE(RIGHT(Raw_Data!D400,4)),VALUE(MID(Raw_Data!D400,FIND("/",Raw_Data!D400)+1,FIND("/",Raw_Data!D400,FIND("/",Raw_Data!D400)+1)-FIND("/",Raw_Data!D400)-1)),VALUE(LEFT(Raw_Data!D400,FIND("/",Raw_Data!D400)-1))),IF(ISNUMBER(VALUE(LEFT(Raw_Data!D400,4))),DATE(VALUE(LEFT(Raw_Data!D400,4)),VALUE(MID(Raw_Data!D400,6,2)),VALUE(MID(Raw_Data!D400,9,2))),DATEVALUE(Raw_Data!D400))),"")</f>
        <v>45611</v>
      </c>
      <c r="E400" s="12" t="n">
        <f aca="false">IFERROR(IF(ISNUMBER(SEARCH("/",Raw_Data!E400)),DATE(VALUE(RIGHT(Raw_Data!E400,4)),VALUE(MID(Raw_Data!E400,FIND("/",Raw_Data!E400)+1,FIND("/",Raw_Data!E400,FIND("/",Raw_Data!E400)+1)-FIND("/",Raw_Data!E400)-1)),VALUE(LEFT(Raw_Data!E400,FIND("/",Raw_Data!E400)-1))),IF(ISNUMBER(VALUE(LEFT(Raw_Data!E400,4))),DATE(VALUE(LEFT(Raw_Data!E400,4)),VALUE(MID(Raw_Data!E400,6,2)),VALUE(MID(Raw_Data!E400,9,2))),DATEVALUE(Raw_Data!E400))),"")</f>
        <v>45634</v>
      </c>
      <c r="F400" s="11" t="str">
        <f aca="false">Raw_Data!F400</f>
        <v>Female 18-24</v>
      </c>
      <c r="G400" s="11" t="str">
        <f aca="false">IF(TRIM(Raw_Data!G400)="","Unspecified",IFERROR(INDEX(Lookup_Tables!$F$2:$F$24,MATCH(UPPER(TRIM(Raw_Data!G400)),Lookup_Tables!$G$2:$G$24,0)),"Unknown"))</f>
        <v>East</v>
      </c>
      <c r="H400" s="11" t="n">
        <f aca="false">IF(Raw_Data!H400="",ROUND(AVERAGEIFS(Raw_Data!$H$2:$H$839,Raw_Data!$C$2:$C$839,Raw_Data!C400),2),Raw_Data!H400)</f>
        <v>48647.65</v>
      </c>
      <c r="I400" s="11" t="n">
        <f aca="false">Raw_Data!I400</f>
        <v>866559</v>
      </c>
      <c r="J400" s="11" t="n">
        <f aca="false">IF(Raw_Data!J400&lt;0,ABS(Raw_Data!J400),Raw_Data!J400)</f>
        <v>8223</v>
      </c>
      <c r="K400" s="11" t="n">
        <f aca="false">Raw_Data!K400</f>
        <v>408</v>
      </c>
      <c r="L400" s="11" t="n">
        <f aca="false">IF(Raw_Data!L400="",ROUND(AVERAGEIFS(Raw_Data!$L$2:$L$839,Raw_Data!$C$2:$C$839,Raw_Data!C400),2),Raw_Data!L400)</f>
        <v>487511.76</v>
      </c>
      <c r="M400" s="13" t="n">
        <f aca="false">IFERROR(J400/I400,0)</f>
        <v>0.00948925578062198</v>
      </c>
      <c r="N400" s="14" t="n">
        <f aca="false">IFERROR(H400/J400,0)</f>
        <v>5.91604645506506</v>
      </c>
      <c r="O400" s="14" t="n">
        <f aca="false">IFERROR(H400/K400,0)</f>
        <v>119.23443627451</v>
      </c>
      <c r="P400" s="15" t="n">
        <f aca="false">IFERROR(L400/H400,0)</f>
        <v>10.0212807812916</v>
      </c>
      <c r="Q400" s="13" t="n">
        <f aca="false">IFERROR(K400/J400,0)</f>
        <v>0.0496169281284203</v>
      </c>
      <c r="R400" s="11" t="str">
        <f aca="false">IF(COUNTIF($A$2:A400,A400)&gt;1,"Duplicate - Remove","Unique")</f>
        <v>Unique</v>
      </c>
      <c r="S400" s="11" t="str">
        <f aca="false">TRIM(IF(Raw_Data!G400="","Region missing; ","")&amp;IF(Raw_Data!H400="","Spend imputed; ","")&amp;IF(Raw_Data!L400="","Revenue imputed; ","")&amp;IF(Raw_Data!J400&lt;0,"Clicks corrected; ",""))</f>
        <v/>
      </c>
    </row>
    <row r="401" customFormat="false" ht="15" hidden="false" customHeight="true" outlineLevel="0" collapsed="false">
      <c r="A401" s="11" t="n">
        <f aca="false">Raw_Data!A401</f>
        <v>1100</v>
      </c>
      <c r="B401" s="11" t="str">
        <f aca="false">PROPER(TRIM(Raw_Data!B401))</f>
        <v>Ayurvedic Range Launch</v>
      </c>
      <c r="C401" s="11" t="str">
        <f aca="false">IFERROR(INDEX(Lookup_Tables!$B$2:$B$26,MATCH(UPPER(TRIM(Raw_Data!C401)),Lookup_Tables!$C$2:$C$26,0)),"Unknown")</f>
        <v>YouTube</v>
      </c>
      <c r="D401" s="12" t="n">
        <f aca="false">IFERROR(IF(ISNUMBER(SEARCH("/",Raw_Data!D401)),DATE(VALUE(RIGHT(Raw_Data!D401,4)),VALUE(MID(Raw_Data!D401,FIND("/",Raw_Data!D401)+1,FIND("/",Raw_Data!D401,FIND("/",Raw_Data!D401)+1)-FIND("/",Raw_Data!D401)-1)),VALUE(LEFT(Raw_Data!D401,FIND("/",Raw_Data!D401)-1))),IF(ISNUMBER(VALUE(LEFT(Raw_Data!D401,4))),DATE(VALUE(LEFT(Raw_Data!D401,4)),VALUE(MID(Raw_Data!D401,6,2)),VALUE(MID(Raw_Data!D401,9,2))),DATEVALUE(Raw_Data!D401))),"")</f>
        <v>45434</v>
      </c>
      <c r="E401" s="12" t="n">
        <f aca="false">IFERROR(IF(ISNUMBER(SEARCH("/",Raw_Data!E401)),DATE(VALUE(RIGHT(Raw_Data!E401,4)),VALUE(MID(Raw_Data!E401,FIND("/",Raw_Data!E401)+1,FIND("/",Raw_Data!E401,FIND("/",Raw_Data!E401)+1)-FIND("/",Raw_Data!E401)-1)),VALUE(LEFT(Raw_Data!E401,FIND("/",Raw_Data!E401)-1))),IF(ISNUMBER(VALUE(LEFT(Raw_Data!E401,4))),DATE(VALUE(LEFT(Raw_Data!E401,4)),VALUE(MID(Raw_Data!E401,6,2)),VALUE(MID(Raw_Data!E401,9,2))),DATEVALUE(Raw_Data!E401))),"")</f>
        <v>45456</v>
      </c>
      <c r="F401" s="11" t="str">
        <f aca="false">Raw_Data!F401</f>
        <v>Male 18-24</v>
      </c>
      <c r="G401" s="11" t="str">
        <f aca="false">IF(TRIM(Raw_Data!G401)="","Unspecified",IFERROR(INDEX(Lookup_Tables!$F$2:$F$24,MATCH(UPPER(TRIM(Raw_Data!G401)),Lookup_Tables!$G$2:$G$24,0)),"Unknown"))</f>
        <v>East</v>
      </c>
      <c r="H401" s="11" t="n">
        <f aca="false">IF(Raw_Data!H401="",ROUND(AVERAGEIFS(Raw_Data!$H$2:$H$839,Raw_Data!$C$2:$C$839,Raw_Data!C401),2),Raw_Data!H401)</f>
        <v>31865.03</v>
      </c>
      <c r="I401" s="11" t="n">
        <f aca="false">Raw_Data!I401</f>
        <v>1253021</v>
      </c>
      <c r="J401" s="11" t="n">
        <f aca="false">IF(Raw_Data!J401&lt;0,ABS(Raw_Data!J401),Raw_Data!J401)</f>
        <v>17452</v>
      </c>
      <c r="K401" s="11" t="n">
        <f aca="false">Raw_Data!K401</f>
        <v>527</v>
      </c>
      <c r="L401" s="11" t="n">
        <f aca="false">IF(Raw_Data!L401="",ROUND(AVERAGEIFS(Raw_Data!$L$2:$L$839,Raw_Data!$C$2:$C$839,Raw_Data!C401),2),Raw_Data!L401)</f>
        <v>342841.33</v>
      </c>
      <c r="M401" s="13" t="n">
        <f aca="false">IFERROR(J401/I401,0)</f>
        <v>0.0139279389571284</v>
      </c>
      <c r="N401" s="14" t="n">
        <f aca="false">IFERROR(H401/J401,0)</f>
        <v>1.82586694934678</v>
      </c>
      <c r="O401" s="14" t="n">
        <f aca="false">IFERROR(H401/K401,0)</f>
        <v>60.4649525616698</v>
      </c>
      <c r="P401" s="15" t="n">
        <f aca="false">IFERROR(L401/H401,0)</f>
        <v>10.7591717315188</v>
      </c>
      <c r="Q401" s="13" t="n">
        <f aca="false">IFERROR(K401/J401,0)</f>
        <v>0.0301971120788448</v>
      </c>
      <c r="R401" s="11" t="str">
        <f aca="false">IF(COUNTIF($A$2:A401,A401)&gt;1,"Duplicate - Remove","Unique")</f>
        <v>Unique</v>
      </c>
      <c r="S401" s="11" t="str">
        <f aca="false">TRIM(IF(Raw_Data!G401="","Region missing; ","")&amp;IF(Raw_Data!H401="","Spend imputed; ","")&amp;IF(Raw_Data!L401="","Revenue imputed; ","")&amp;IF(Raw_Data!J401&lt;0,"Clicks corrected; ",""))</f>
        <v/>
      </c>
    </row>
    <row r="402" customFormat="false" ht="15" hidden="false" customHeight="true" outlineLevel="0" collapsed="false">
      <c r="A402" s="11" t="n">
        <f aca="false">Raw_Data!A402</f>
        <v>1467</v>
      </c>
      <c r="B402" s="11" t="str">
        <f aca="false">PROPER(TRIM(Raw_Data!B402))</f>
        <v>Hair Care Revamp</v>
      </c>
      <c r="C402" s="11" t="str">
        <f aca="false">IFERROR(INDEX(Lookup_Tables!$B$2:$B$26,MATCH(UPPER(TRIM(Raw_Data!C402)),Lookup_Tables!$C$2:$C$26,0)),"Unknown")</f>
        <v>Facebook</v>
      </c>
      <c r="D402" s="12" t="n">
        <f aca="false">IFERROR(IF(ISNUMBER(SEARCH("/",Raw_Data!D402)),DATE(VALUE(RIGHT(Raw_Data!D402,4)),VALUE(MID(Raw_Data!D402,FIND("/",Raw_Data!D402)+1,FIND("/",Raw_Data!D402,FIND("/",Raw_Data!D402)+1)-FIND("/",Raw_Data!D402)-1)),VALUE(LEFT(Raw_Data!D402,FIND("/",Raw_Data!D402)-1))),IF(ISNUMBER(VALUE(LEFT(Raw_Data!D402,4))),DATE(VALUE(LEFT(Raw_Data!D402,4)),VALUE(MID(Raw_Data!D402,6,2)),VALUE(MID(Raw_Data!D402,9,2))),DATEVALUE(Raw_Data!D402))),"")</f>
        <v>45570</v>
      </c>
      <c r="E402" s="12" t="n">
        <f aca="false">IFERROR(IF(ISNUMBER(SEARCH("/",Raw_Data!E402)),DATE(VALUE(RIGHT(Raw_Data!E402,4)),VALUE(MID(Raw_Data!E402,FIND("/",Raw_Data!E402)+1,FIND("/",Raw_Data!E402,FIND("/",Raw_Data!E402)+1)-FIND("/",Raw_Data!E402)-1)),VALUE(LEFT(Raw_Data!E402,FIND("/",Raw_Data!E402)-1))),IF(ISNUMBER(VALUE(LEFT(Raw_Data!E402,4))),DATE(VALUE(LEFT(Raw_Data!E402,4)),VALUE(MID(Raw_Data!E402,6,2)),VALUE(MID(Raw_Data!E402,9,2))),DATEVALUE(Raw_Data!E402))),"")</f>
        <v>45580</v>
      </c>
      <c r="F402" s="11" t="str">
        <f aca="false">Raw_Data!F402</f>
        <v>Male 35-44</v>
      </c>
      <c r="G402" s="11" t="str">
        <f aca="false">IF(TRIM(Raw_Data!G402)="","Unspecified",IFERROR(INDEX(Lookup_Tables!$F$2:$F$24,MATCH(UPPER(TRIM(Raw_Data!G402)),Lookup_Tables!$G$2:$G$24,0)),"Unknown"))</f>
        <v>North</v>
      </c>
      <c r="H402" s="11" t="n">
        <f aca="false">IF(Raw_Data!H402="",ROUND(AVERAGEIFS(Raw_Data!$H$2:$H$839,Raw_Data!$C$2:$C$839,Raw_Data!C402),2),Raw_Data!H402)</f>
        <v>48992.54</v>
      </c>
      <c r="I402" s="11" t="n">
        <f aca="false">Raw_Data!I402</f>
        <v>1541010</v>
      </c>
      <c r="J402" s="11" t="n">
        <f aca="false">IF(Raw_Data!J402&lt;0,ABS(Raw_Data!J402),Raw_Data!J402)</f>
        <v>19185</v>
      </c>
      <c r="K402" s="11" t="n">
        <f aca="false">Raw_Data!K402</f>
        <v>253</v>
      </c>
      <c r="L402" s="11" t="n">
        <f aca="false">IF(Raw_Data!L402="",ROUND(AVERAGEIFS(Raw_Data!$L$2:$L$839,Raw_Data!$C$2:$C$839,Raw_Data!C402),2),Raw_Data!L402)</f>
        <v>435514.75</v>
      </c>
      <c r="M402" s="13" t="n">
        <f aca="false">IFERROR(J402/I402,0)</f>
        <v>0.0124496271925555</v>
      </c>
      <c r="N402" s="14" t="n">
        <f aca="false">IFERROR(H402/J402,0)</f>
        <v>2.55368986187125</v>
      </c>
      <c r="O402" s="14" t="n">
        <f aca="false">IFERROR(H402/K402,0)</f>
        <v>193.646403162055</v>
      </c>
      <c r="P402" s="15" t="n">
        <f aca="false">IFERROR(L402/H402,0)</f>
        <v>8.88940948968966</v>
      </c>
      <c r="Q402" s="13" t="n">
        <f aca="false">IFERROR(K402/J402,0)</f>
        <v>0.0131873859786291</v>
      </c>
      <c r="R402" s="11" t="str">
        <f aca="false">IF(COUNTIF($A$2:A402,A402)&gt;1,"Duplicate - Remove","Unique")</f>
        <v>Unique</v>
      </c>
      <c r="S402" s="11" t="str">
        <f aca="false">TRIM(IF(Raw_Data!G402="","Region missing; ","")&amp;IF(Raw_Data!H402="","Spend imputed; ","")&amp;IF(Raw_Data!L402="","Revenue imputed; ","")&amp;IF(Raw_Data!J402&lt;0,"Clicks corrected; ",""))</f>
        <v/>
      </c>
    </row>
    <row r="403" customFormat="false" ht="15" hidden="false" customHeight="true" outlineLevel="0" collapsed="false">
      <c r="A403" s="11" t="n">
        <f aca="false">Raw_Data!A403</f>
        <v>1230</v>
      </c>
      <c r="B403" s="11" t="str">
        <f aca="false">PROPER(TRIM(Raw_Data!B403))</f>
        <v>Influencer Collab - Skincare</v>
      </c>
      <c r="C403" s="11" t="str">
        <f aca="false">IFERROR(INDEX(Lookup_Tables!$B$2:$B$26,MATCH(UPPER(TRIM(Raw_Data!C403)),Lookup_Tables!$C$2:$C$26,0)),"Unknown")</f>
        <v>YouTube</v>
      </c>
      <c r="D403" s="12" t="n">
        <f aca="false">IFERROR(IF(ISNUMBER(SEARCH("/",Raw_Data!D403)),DATE(VALUE(RIGHT(Raw_Data!D403,4)),VALUE(MID(Raw_Data!D403,FIND("/",Raw_Data!D403)+1,FIND("/",Raw_Data!D403,FIND("/",Raw_Data!D403)+1)-FIND("/",Raw_Data!D403)-1)),VALUE(LEFT(Raw_Data!D403,FIND("/",Raw_Data!D403)-1))),IF(ISNUMBER(VALUE(LEFT(Raw_Data!D403,4))),DATE(VALUE(LEFT(Raw_Data!D403,4)),VALUE(MID(Raw_Data!D403,6,2)),VALUE(MID(Raw_Data!D403,9,2))),DATEVALUE(Raw_Data!D403))),"")</f>
        <v>45343</v>
      </c>
      <c r="E403" s="12" t="n">
        <f aca="false">IFERROR(IF(ISNUMBER(SEARCH("/",Raw_Data!E403)),DATE(VALUE(RIGHT(Raw_Data!E403,4)),VALUE(MID(Raw_Data!E403,FIND("/",Raw_Data!E403)+1,FIND("/",Raw_Data!E403,FIND("/",Raw_Data!E403)+1)-FIND("/",Raw_Data!E403)-1)),VALUE(LEFT(Raw_Data!E403,FIND("/",Raw_Data!E403)-1))),IF(ISNUMBER(VALUE(LEFT(Raw_Data!E403,4))),DATE(VALUE(LEFT(Raw_Data!E403,4)),VALUE(MID(Raw_Data!E403,6,2)),VALUE(MID(Raw_Data!E403,9,2))),DATEVALUE(Raw_Data!E403))),"")</f>
        <v>45354</v>
      </c>
      <c r="F403" s="11" t="str">
        <f aca="false">Raw_Data!F403</f>
        <v>Female 35-44</v>
      </c>
      <c r="G403" s="11" t="str">
        <f aca="false">IF(TRIM(Raw_Data!G403)="","Unspecified",IFERROR(INDEX(Lookup_Tables!$F$2:$F$24,MATCH(UPPER(TRIM(Raw_Data!G403)),Lookup_Tables!$G$2:$G$24,0)),"Unknown"))</f>
        <v>North</v>
      </c>
      <c r="H403" s="11" t="n">
        <f aca="false">IF(Raw_Data!H403="",ROUND(AVERAGEIFS(Raw_Data!$H$2:$H$839,Raw_Data!$C$2:$C$839,Raw_Data!C403),2),Raw_Data!H403)</f>
        <v>45042.07</v>
      </c>
      <c r="I403" s="11" t="n">
        <f aca="false">Raw_Data!I403</f>
        <v>1056729</v>
      </c>
      <c r="J403" s="11" t="n">
        <f aca="false">IF(Raw_Data!J403&lt;0,ABS(Raw_Data!J403),Raw_Data!J403)</f>
        <v>22737</v>
      </c>
      <c r="K403" s="11" t="n">
        <f aca="false">Raw_Data!K403</f>
        <v>1336</v>
      </c>
      <c r="L403" s="11" t="n">
        <f aca="false">IF(Raw_Data!L403="",ROUND(AVERAGEIFS(Raw_Data!$L$2:$L$839,Raw_Data!$C$2:$C$839,Raw_Data!C403),2),Raw_Data!L403)</f>
        <v>1836793.46</v>
      </c>
      <c r="M403" s="13" t="n">
        <f aca="false">IFERROR(J403/I403,0)</f>
        <v>0.0215163963513824</v>
      </c>
      <c r="N403" s="14" t="n">
        <f aca="false">IFERROR(H403/J403,0)</f>
        <v>1.98100321062585</v>
      </c>
      <c r="O403" s="14" t="n">
        <f aca="false">IFERROR(H403/K403,0)</f>
        <v>33.714124251497</v>
      </c>
      <c r="P403" s="15" t="n">
        <f aca="false">IFERROR(L403/H403,0)</f>
        <v>40.7795081353943</v>
      </c>
      <c r="Q403" s="13" t="n">
        <f aca="false">IFERROR(K403/J403,0)</f>
        <v>0.0587588512116814</v>
      </c>
      <c r="R403" s="11" t="str">
        <f aca="false">IF(COUNTIF($A$2:A403,A403)&gt;1,"Duplicate - Remove","Unique")</f>
        <v>Unique</v>
      </c>
      <c r="S403" s="11" t="str">
        <f aca="false">TRIM(IF(Raw_Data!G403="","Region missing; ","")&amp;IF(Raw_Data!H403="","Spend imputed; ","")&amp;IF(Raw_Data!L403="","Revenue imputed; ","")&amp;IF(Raw_Data!J403&lt;0,"Clicks corrected; ",""))</f>
        <v>Clicks corrected;</v>
      </c>
    </row>
    <row r="404" customFormat="false" ht="15" hidden="false" customHeight="true" outlineLevel="0" collapsed="false">
      <c r="A404" s="11" t="n">
        <f aca="false">Raw_Data!A404</f>
        <v>1545</v>
      </c>
      <c r="B404" s="11" t="str">
        <f aca="false">PROPER(TRIM(Raw_Data!B404))</f>
        <v>Influencer Collab - Skincare</v>
      </c>
      <c r="C404" s="11" t="str">
        <f aca="false">IFERROR(INDEX(Lookup_Tables!$B$2:$B$26,MATCH(UPPER(TRIM(Raw_Data!C404)),Lookup_Tables!$C$2:$C$26,0)),"Unknown")</f>
        <v>Email</v>
      </c>
      <c r="D404" s="12" t="n">
        <f aca="false">IFERROR(IF(ISNUMBER(SEARCH("/",Raw_Data!D404)),DATE(VALUE(RIGHT(Raw_Data!D404,4)),VALUE(MID(Raw_Data!D404,FIND("/",Raw_Data!D404)+1,FIND("/",Raw_Data!D404,FIND("/",Raw_Data!D404)+1)-FIND("/",Raw_Data!D404)-1)),VALUE(LEFT(Raw_Data!D404,FIND("/",Raw_Data!D404)-1))),IF(ISNUMBER(VALUE(LEFT(Raw_Data!D404,4))),DATE(VALUE(LEFT(Raw_Data!D404,4)),VALUE(MID(Raw_Data!D404,6,2)),VALUE(MID(Raw_Data!D404,9,2))),DATEVALUE(Raw_Data!D404))),"")</f>
        <v>45530</v>
      </c>
      <c r="E404" s="12" t="n">
        <f aca="false">IFERROR(IF(ISNUMBER(SEARCH("/",Raw_Data!E404)),DATE(VALUE(RIGHT(Raw_Data!E404,4)),VALUE(MID(Raw_Data!E404,FIND("/",Raw_Data!E404)+1,FIND("/",Raw_Data!E404,FIND("/",Raw_Data!E404)+1)-FIND("/",Raw_Data!E404)-1)),VALUE(LEFT(Raw_Data!E404,FIND("/",Raw_Data!E404)-1))),IF(ISNUMBER(VALUE(LEFT(Raw_Data!E404,4))),DATE(VALUE(LEFT(Raw_Data!E404,4)),VALUE(MID(Raw_Data!E404,6,2)),VALUE(MID(Raw_Data!E404,9,2))),DATEVALUE(Raw_Data!E404))),"")</f>
        <v>45556</v>
      </c>
      <c r="F404" s="11" t="str">
        <f aca="false">Raw_Data!F404</f>
        <v>Female 35-44</v>
      </c>
      <c r="G404" s="11" t="str">
        <f aca="false">IF(TRIM(Raw_Data!G404)="","Unspecified",IFERROR(INDEX(Lookup_Tables!$F$2:$F$24,MATCH(UPPER(TRIM(Raw_Data!G404)),Lookup_Tables!$G$2:$G$24,0)),"Unknown"))</f>
        <v>North</v>
      </c>
      <c r="H404" s="11" t="n">
        <f aca="false">IF(Raw_Data!H404="",ROUND(AVERAGEIFS(Raw_Data!$H$2:$H$839,Raw_Data!$C$2:$C$839,Raw_Data!C404),2),Raw_Data!H404)</f>
        <v>4662.3</v>
      </c>
      <c r="I404" s="11" t="n">
        <f aca="false">Raw_Data!I404</f>
        <v>103710</v>
      </c>
      <c r="J404" s="11" t="n">
        <f aca="false">IF(Raw_Data!J404&lt;0,ABS(Raw_Data!J404),Raw_Data!J404)</f>
        <v>2255</v>
      </c>
      <c r="K404" s="11" t="n">
        <f aca="false">Raw_Data!K404</f>
        <v>48</v>
      </c>
      <c r="L404" s="11" t="n">
        <f aca="false">IF(Raw_Data!L404="",ROUND(AVERAGEIFS(Raw_Data!$L$2:$L$839,Raw_Data!$C$2:$C$839,Raw_Data!C404),2),Raw_Data!L404)</f>
        <v>50683.01</v>
      </c>
      <c r="M404" s="13" t="n">
        <f aca="false">IFERROR(J404/I404,0)</f>
        <v>0.0217433227268344</v>
      </c>
      <c r="N404" s="14" t="n">
        <f aca="false">IFERROR(H404/J404,0)</f>
        <v>2.06753880266075</v>
      </c>
      <c r="O404" s="14" t="n">
        <f aca="false">IFERROR(H404/K404,0)</f>
        <v>97.13125</v>
      </c>
      <c r="P404" s="15" t="n">
        <f aca="false">IFERROR(L404/H404,0)</f>
        <v>10.8708169787444</v>
      </c>
      <c r="Q404" s="13" t="n">
        <f aca="false">IFERROR(K404/J404,0)</f>
        <v>0.0212860310421286</v>
      </c>
      <c r="R404" s="11" t="str">
        <f aca="false">IF(COUNTIF($A$2:A404,A404)&gt;1,"Duplicate - Remove","Unique")</f>
        <v>Unique</v>
      </c>
      <c r="S404" s="11" t="str">
        <f aca="false">TRIM(IF(Raw_Data!G404="","Region missing; ","")&amp;IF(Raw_Data!H404="","Spend imputed; ","")&amp;IF(Raw_Data!L404="","Revenue imputed; ","")&amp;IF(Raw_Data!J404&lt;0,"Clicks corrected; ",""))</f>
        <v/>
      </c>
    </row>
    <row r="405" customFormat="false" ht="15" hidden="false" customHeight="true" outlineLevel="0" collapsed="false">
      <c r="A405" s="11" t="n">
        <f aca="false">Raw_Data!A405</f>
        <v>1775</v>
      </c>
      <c r="B405" s="11" t="str">
        <f aca="false">PROPER(TRIM(Raw_Data!B405))</f>
        <v>Clearance Sale Push</v>
      </c>
      <c r="C405" s="11" t="str">
        <f aca="false">IFERROR(INDEX(Lookup_Tables!$B$2:$B$26,MATCH(UPPER(TRIM(Raw_Data!C405)),Lookup_Tables!$C$2:$C$26,0)),"Unknown")</f>
        <v>Instagram</v>
      </c>
      <c r="D405" s="12" t="n">
        <f aca="false">IFERROR(IF(ISNUMBER(SEARCH("/",Raw_Data!D405)),DATE(VALUE(RIGHT(Raw_Data!D405,4)),VALUE(MID(Raw_Data!D405,FIND("/",Raw_Data!D405)+1,FIND("/",Raw_Data!D405,FIND("/",Raw_Data!D405)+1)-FIND("/",Raw_Data!D405)-1)),VALUE(LEFT(Raw_Data!D405,FIND("/",Raw_Data!D405)-1))),IF(ISNUMBER(VALUE(LEFT(Raw_Data!D405,4))),DATE(VALUE(LEFT(Raw_Data!D405,4)),VALUE(MID(Raw_Data!D405,6,2)),VALUE(MID(Raw_Data!D405,9,2))),DATEVALUE(Raw_Data!D405))),"")</f>
        <v>45304</v>
      </c>
      <c r="E405" s="12" t="n">
        <f aca="false">IFERROR(IF(ISNUMBER(SEARCH("/",Raw_Data!E405)),DATE(VALUE(RIGHT(Raw_Data!E405,4)),VALUE(MID(Raw_Data!E405,FIND("/",Raw_Data!E405)+1,FIND("/",Raw_Data!E405,FIND("/",Raw_Data!E405)+1)-FIND("/",Raw_Data!E405)-1)),VALUE(LEFT(Raw_Data!E405,FIND("/",Raw_Data!E405)-1))),IF(ISNUMBER(VALUE(LEFT(Raw_Data!E405,4))),DATE(VALUE(LEFT(Raw_Data!E405,4)),VALUE(MID(Raw_Data!E405,6,2)),VALUE(MID(Raw_Data!E405,9,2))),DATEVALUE(Raw_Data!E405))),"")</f>
        <v>45323</v>
      </c>
      <c r="F405" s="11" t="str">
        <f aca="false">Raw_Data!F405</f>
        <v>Male 35-44</v>
      </c>
      <c r="G405" s="11" t="str">
        <f aca="false">IF(TRIM(Raw_Data!G405)="","Unspecified",IFERROR(INDEX(Lookup_Tables!$F$2:$F$24,MATCH(UPPER(TRIM(Raw_Data!G405)),Lookup_Tables!$G$2:$G$24,0)),"Unknown"))</f>
        <v>North</v>
      </c>
      <c r="H405" s="11" t="n">
        <f aca="false">IF(Raw_Data!H405="",ROUND(AVERAGEIFS(Raw_Data!$H$2:$H$839,Raw_Data!$C$2:$C$839,Raw_Data!C405),2),Raw_Data!H405)</f>
        <v>25370.13</v>
      </c>
      <c r="I405" s="11" t="n">
        <f aca="false">Raw_Data!I405</f>
        <v>769302</v>
      </c>
      <c r="J405" s="11" t="n">
        <f aca="false">IF(Raw_Data!J405&lt;0,ABS(Raw_Data!J405),Raw_Data!J405)</f>
        <v>11853</v>
      </c>
      <c r="K405" s="11" t="n">
        <f aca="false">Raw_Data!K405</f>
        <v>389</v>
      </c>
      <c r="L405" s="11" t="n">
        <f aca="false">IF(Raw_Data!L405="",ROUND(AVERAGEIFS(Raw_Data!$L$2:$L$839,Raw_Data!$C$2:$C$839,Raw_Data!C405),2),Raw_Data!L405)</f>
        <v>343702.09</v>
      </c>
      <c r="M405" s="13" t="n">
        <f aca="false">IFERROR(J405/I405,0)</f>
        <v>0.0154074732679754</v>
      </c>
      <c r="N405" s="14" t="n">
        <f aca="false">IFERROR(H405/J405,0)</f>
        <v>2.140397367755</v>
      </c>
      <c r="O405" s="14" t="n">
        <f aca="false">IFERROR(H405/K405,0)</f>
        <v>65.2188431876607</v>
      </c>
      <c r="P405" s="15" t="n">
        <f aca="false">IFERROR(L405/H405,0)</f>
        <v>13.5475100048758</v>
      </c>
      <c r="Q405" s="13" t="n">
        <f aca="false">IFERROR(K405/J405,0)</f>
        <v>0.0328186956888551</v>
      </c>
      <c r="R405" s="11" t="str">
        <f aca="false">IF(COUNTIF($A$2:A405,A405)&gt;1,"Duplicate - Remove","Unique")</f>
        <v>Unique</v>
      </c>
      <c r="S405" s="11" t="str">
        <f aca="false">TRIM(IF(Raw_Data!G405="","Region missing; ","")&amp;IF(Raw_Data!H405="","Spend imputed; ","")&amp;IF(Raw_Data!L405="","Revenue imputed; ","")&amp;IF(Raw_Data!J405&lt;0,"Clicks corrected; ",""))</f>
        <v/>
      </c>
    </row>
    <row r="406" customFormat="false" ht="15" hidden="false" customHeight="true" outlineLevel="0" collapsed="false">
      <c r="A406" s="11" t="n">
        <f aca="false">Raw_Data!A406</f>
        <v>1284</v>
      </c>
      <c r="B406" s="11" t="str">
        <f aca="false">PROPER(TRIM(Raw_Data!B406))</f>
        <v>Clearance Sale Push</v>
      </c>
      <c r="C406" s="11" t="str">
        <f aca="false">IFERROR(INDEX(Lookup_Tables!$B$2:$B$26,MATCH(UPPER(TRIM(Raw_Data!C406)),Lookup_Tables!$C$2:$C$26,0)),"Unknown")</f>
        <v>YouTube</v>
      </c>
      <c r="D406" s="12" t="n">
        <f aca="false">IFERROR(IF(ISNUMBER(SEARCH("/",Raw_Data!D406)),DATE(VALUE(RIGHT(Raw_Data!D406,4)),VALUE(MID(Raw_Data!D406,FIND("/",Raw_Data!D406)+1,FIND("/",Raw_Data!D406,FIND("/",Raw_Data!D406)+1)-FIND("/",Raw_Data!D406)-1)),VALUE(LEFT(Raw_Data!D406,FIND("/",Raw_Data!D406)-1))),IF(ISNUMBER(VALUE(LEFT(Raw_Data!D406,4))),DATE(VALUE(LEFT(Raw_Data!D406,4)),VALUE(MID(Raw_Data!D406,6,2)),VALUE(MID(Raw_Data!D406,9,2))),DATEVALUE(Raw_Data!D406))),"")</f>
        <v>45398</v>
      </c>
      <c r="E406" s="12" t="n">
        <f aca="false">IFERROR(IF(ISNUMBER(SEARCH("/",Raw_Data!E406)),DATE(VALUE(RIGHT(Raw_Data!E406,4)),VALUE(MID(Raw_Data!E406,FIND("/",Raw_Data!E406)+1,FIND("/",Raw_Data!E406,FIND("/",Raw_Data!E406)+1)-FIND("/",Raw_Data!E406)-1)),VALUE(LEFT(Raw_Data!E406,FIND("/",Raw_Data!E406)-1))),IF(ISNUMBER(VALUE(LEFT(Raw_Data!E406,4))),DATE(VALUE(LEFT(Raw_Data!E406,4)),VALUE(MID(Raw_Data!E406,6,2)),VALUE(MID(Raw_Data!E406,9,2))),DATEVALUE(Raw_Data!E406))),"")</f>
        <v>45428</v>
      </c>
      <c r="F406" s="11" t="str">
        <f aca="false">Raw_Data!F406</f>
        <v>Female 25-34</v>
      </c>
      <c r="G406" s="11" t="str">
        <f aca="false">IF(TRIM(Raw_Data!G406)="","Unspecified",IFERROR(INDEX(Lookup_Tables!$F$2:$F$24,MATCH(UPPER(TRIM(Raw_Data!G406)),Lookup_Tables!$G$2:$G$24,0)),"Unknown"))</f>
        <v>North</v>
      </c>
      <c r="H406" s="11" t="n">
        <f aca="false">IF(Raw_Data!H406="",ROUND(AVERAGEIFS(Raw_Data!$H$2:$H$839,Raw_Data!$C$2:$C$839,Raw_Data!C406),2),Raw_Data!H406)</f>
        <v>89924.03</v>
      </c>
      <c r="I406" s="11" t="n">
        <f aca="false">Raw_Data!I406</f>
        <v>2279666</v>
      </c>
      <c r="J406" s="11" t="n">
        <f aca="false">IF(Raw_Data!J406&lt;0,ABS(Raw_Data!J406),Raw_Data!J406)</f>
        <v>34226</v>
      </c>
      <c r="K406" s="11" t="n">
        <f aca="false">Raw_Data!K406</f>
        <v>1684</v>
      </c>
      <c r="L406" s="11" t="n">
        <f aca="false">IF(Raw_Data!L406="",ROUND(AVERAGEIFS(Raw_Data!$L$2:$L$839,Raw_Data!$C$2:$C$839,Raw_Data!C406),2),Raw_Data!L406)</f>
        <v>1458147.45</v>
      </c>
      <c r="M406" s="13" t="n">
        <f aca="false">IFERROR(J406/I406,0)</f>
        <v>0.0150136028698941</v>
      </c>
      <c r="N406" s="14" t="n">
        <f aca="false">IFERROR(H406/J406,0)</f>
        <v>2.62736019400456</v>
      </c>
      <c r="O406" s="14" t="n">
        <f aca="false">IFERROR(H406/K406,0)</f>
        <v>53.399067695962</v>
      </c>
      <c r="P406" s="15" t="n">
        <f aca="false">IFERROR(L406/H406,0)</f>
        <v>16.2153258700705</v>
      </c>
      <c r="Q406" s="13" t="n">
        <f aca="false">IFERROR(K406/J406,0)</f>
        <v>0.0492023607783556</v>
      </c>
      <c r="R406" s="11" t="str">
        <f aca="false">IF(COUNTIF($A$2:A406,A406)&gt;1,"Duplicate - Remove","Unique")</f>
        <v>Unique</v>
      </c>
      <c r="S406" s="11" t="str">
        <f aca="false">TRIM(IF(Raw_Data!G406="","Region missing; ","")&amp;IF(Raw_Data!H406="","Spend imputed; ","")&amp;IF(Raw_Data!L406="","Revenue imputed; ","")&amp;IF(Raw_Data!J406&lt;0,"Clicks corrected; ",""))</f>
        <v>Revenue imputed;</v>
      </c>
    </row>
    <row r="407" customFormat="false" ht="15" hidden="false" customHeight="true" outlineLevel="0" collapsed="false">
      <c r="A407" s="11" t="n">
        <f aca="false">Raw_Data!A407</f>
        <v>1156</v>
      </c>
      <c r="B407" s="11" t="str">
        <f aca="false">PROPER(TRIM(Raw_Data!B407))</f>
        <v>New Year Wellness</v>
      </c>
      <c r="C407" s="11" t="str">
        <f aca="false">IFERROR(INDEX(Lookup_Tables!$B$2:$B$26,MATCH(UPPER(TRIM(Raw_Data!C407)),Lookup_Tables!$C$2:$C$26,0)),"Unknown")</f>
        <v>Google Ads</v>
      </c>
      <c r="D407" s="12" t="n">
        <f aca="false">IFERROR(IF(ISNUMBER(SEARCH("/",Raw_Data!D407)),DATE(VALUE(RIGHT(Raw_Data!D407,4)),VALUE(MID(Raw_Data!D407,FIND("/",Raw_Data!D407)+1,FIND("/",Raw_Data!D407,FIND("/",Raw_Data!D407)+1)-FIND("/",Raw_Data!D407)-1)),VALUE(LEFT(Raw_Data!D407,FIND("/",Raw_Data!D407)-1))),IF(ISNUMBER(VALUE(LEFT(Raw_Data!D407,4))),DATE(VALUE(LEFT(Raw_Data!D407,4)),VALUE(MID(Raw_Data!D407,6,2)),VALUE(MID(Raw_Data!D407,9,2))),DATEVALUE(Raw_Data!D407))),"")</f>
        <v>45435</v>
      </c>
      <c r="E407" s="12" t="n">
        <f aca="false">IFERROR(IF(ISNUMBER(SEARCH("/",Raw_Data!E407)),DATE(VALUE(RIGHT(Raw_Data!E407,4)),VALUE(MID(Raw_Data!E407,FIND("/",Raw_Data!E407)+1,FIND("/",Raw_Data!E407,FIND("/",Raw_Data!E407)+1)-FIND("/",Raw_Data!E407)-1)),VALUE(LEFT(Raw_Data!E407,FIND("/",Raw_Data!E407)-1))),IF(ISNUMBER(VALUE(LEFT(Raw_Data!E407,4))),DATE(VALUE(LEFT(Raw_Data!E407,4)),VALUE(MID(Raw_Data!E407,6,2)),VALUE(MID(Raw_Data!E407,9,2))),DATEVALUE(Raw_Data!E407))),"")</f>
        <v>45442</v>
      </c>
      <c r="F407" s="11" t="str">
        <f aca="false">Raw_Data!F407</f>
        <v>Female 35-44</v>
      </c>
      <c r="G407" s="11" t="str">
        <f aca="false">IF(TRIM(Raw_Data!G407)="","Unspecified",IFERROR(INDEX(Lookup_Tables!$F$2:$F$24,MATCH(UPPER(TRIM(Raw_Data!G407)),Lookup_Tables!$G$2:$G$24,0)),"Unknown"))</f>
        <v>West</v>
      </c>
      <c r="H407" s="11" t="n">
        <f aca="false">IF(Raw_Data!H407="",ROUND(AVERAGEIFS(Raw_Data!$H$2:$H$839,Raw_Data!$C$2:$C$839,Raw_Data!C407),2),Raw_Data!H407)</f>
        <v>74489.21</v>
      </c>
      <c r="I407" s="11" t="n">
        <f aca="false">Raw_Data!I407</f>
        <v>2788294</v>
      </c>
      <c r="J407" s="11" t="n">
        <f aca="false">IF(Raw_Data!J407&lt;0,ABS(Raw_Data!J407),Raw_Data!J407)</f>
        <v>57418</v>
      </c>
      <c r="K407" s="11" t="n">
        <f aca="false">Raw_Data!K407</f>
        <v>3391</v>
      </c>
      <c r="L407" s="11" t="n">
        <f aca="false">IF(Raw_Data!L407="",ROUND(AVERAGEIFS(Raw_Data!$L$2:$L$839,Raw_Data!$C$2:$C$839,Raw_Data!C407),2),Raw_Data!L407)</f>
        <v>3018374.41</v>
      </c>
      <c r="M407" s="13" t="n">
        <f aca="false">IFERROR(J407/I407,0)</f>
        <v>0.0205925200140301</v>
      </c>
      <c r="N407" s="14" t="n">
        <f aca="false">IFERROR(H407/J407,0)</f>
        <v>1.29731460517608</v>
      </c>
      <c r="O407" s="14" t="n">
        <f aca="false">IFERROR(H407/K407,0)</f>
        <v>21.9667384252433</v>
      </c>
      <c r="P407" s="15" t="n">
        <f aca="false">IFERROR(L407/H407,0)</f>
        <v>40.5209614922752</v>
      </c>
      <c r="Q407" s="13" t="n">
        <f aca="false">IFERROR(K407/J407,0)</f>
        <v>0.0590581350795918</v>
      </c>
      <c r="R407" s="11" t="str">
        <f aca="false">IF(COUNTIF($A$2:A407,A407)&gt;1,"Duplicate - Remove","Unique")</f>
        <v>Unique</v>
      </c>
      <c r="S407" s="11" t="str">
        <f aca="false">TRIM(IF(Raw_Data!G407="","Region missing; ","")&amp;IF(Raw_Data!H407="","Spend imputed; ","")&amp;IF(Raw_Data!L407="","Revenue imputed; ","")&amp;IF(Raw_Data!J407&lt;0,"Clicks corrected; ",""))</f>
        <v/>
      </c>
    </row>
    <row r="408" customFormat="false" ht="15" hidden="false" customHeight="true" outlineLevel="0" collapsed="false">
      <c r="A408" s="11" t="n">
        <f aca="false">Raw_Data!A408</f>
        <v>1124</v>
      </c>
      <c r="B408" s="11" t="str">
        <f aca="false">PROPER(TRIM(Raw_Data!B408))</f>
        <v>Clearance Sale Push</v>
      </c>
      <c r="C408" s="11" t="str">
        <f aca="false">IFERROR(INDEX(Lookup_Tables!$B$2:$B$26,MATCH(UPPER(TRIM(Raw_Data!C408)),Lookup_Tables!$C$2:$C$26,0)),"Unknown")</f>
        <v>Instagram</v>
      </c>
      <c r="D408" s="12" t="n">
        <f aca="false">IFERROR(IF(ISNUMBER(SEARCH("/",Raw_Data!D408)),DATE(VALUE(RIGHT(Raw_Data!D408,4)),VALUE(MID(Raw_Data!D408,FIND("/",Raw_Data!D408)+1,FIND("/",Raw_Data!D408,FIND("/",Raw_Data!D408)+1)-FIND("/",Raw_Data!D408)-1)),VALUE(LEFT(Raw_Data!D408,FIND("/",Raw_Data!D408)-1))),IF(ISNUMBER(VALUE(LEFT(Raw_Data!D408,4))),DATE(VALUE(LEFT(Raw_Data!D408,4)),VALUE(MID(Raw_Data!D408,6,2)),VALUE(MID(Raw_Data!D408,9,2))),DATEVALUE(Raw_Data!D408))),"")</f>
        <v>45601</v>
      </c>
      <c r="E408" s="12" t="n">
        <f aca="false">IFERROR(IF(ISNUMBER(SEARCH("/",Raw_Data!E408)),DATE(VALUE(RIGHT(Raw_Data!E408,4)),VALUE(MID(Raw_Data!E408,FIND("/",Raw_Data!E408)+1,FIND("/",Raw_Data!E408,FIND("/",Raw_Data!E408)+1)-FIND("/",Raw_Data!E408)-1)),VALUE(LEFT(Raw_Data!E408,FIND("/",Raw_Data!E408)-1))),IF(ISNUMBER(VALUE(LEFT(Raw_Data!E408,4))),DATE(VALUE(LEFT(Raw_Data!E408,4)),VALUE(MID(Raw_Data!E408,6,2)),VALUE(MID(Raw_Data!E408,9,2))),DATEVALUE(Raw_Data!E408))),"")</f>
        <v>45630</v>
      </c>
      <c r="F408" s="11" t="str">
        <f aca="false">Raw_Data!F408</f>
        <v>Male 35-44</v>
      </c>
      <c r="G408" s="11" t="str">
        <f aca="false">IF(TRIM(Raw_Data!G408)="","Unspecified",IFERROR(INDEX(Lookup_Tables!$F$2:$F$24,MATCH(UPPER(TRIM(Raw_Data!G408)),Lookup_Tables!$G$2:$G$24,0)),"Unknown"))</f>
        <v>West</v>
      </c>
      <c r="H408" s="11" t="n">
        <f aca="false">IF(Raw_Data!H408="",ROUND(AVERAGEIFS(Raw_Data!$H$2:$H$839,Raw_Data!$C$2:$C$839,Raw_Data!C408),2),Raw_Data!H408)</f>
        <v>57652.64</v>
      </c>
      <c r="I408" s="11" t="n">
        <f aca="false">Raw_Data!I408</f>
        <v>1436564</v>
      </c>
      <c r="J408" s="11" t="n">
        <f aca="false">IF(Raw_Data!J408&lt;0,ABS(Raw_Data!J408),Raw_Data!J408)</f>
        <v>40520</v>
      </c>
      <c r="K408" s="11" t="n">
        <f aca="false">Raw_Data!K408</f>
        <v>489</v>
      </c>
      <c r="L408" s="11" t="n">
        <f aca="false">IF(Raw_Data!L408="",ROUND(AVERAGEIFS(Raw_Data!$L$2:$L$839,Raw_Data!$C$2:$C$839,Raw_Data!C408),2),Raw_Data!L408)</f>
        <v>364952.53</v>
      </c>
      <c r="M408" s="13" t="n">
        <f aca="false">IFERROR(J408/I408,0)</f>
        <v>0.0282061919970151</v>
      </c>
      <c r="N408" s="14" t="n">
        <f aca="false">IFERROR(H408/J408,0)</f>
        <v>1.42281934846989</v>
      </c>
      <c r="O408" s="14" t="n">
        <f aca="false">IFERROR(H408/K408,0)</f>
        <v>117.899059304703</v>
      </c>
      <c r="P408" s="15" t="n">
        <f aca="false">IFERROR(L408/H408,0)</f>
        <v>6.3301963275229</v>
      </c>
      <c r="Q408" s="13" t="n">
        <f aca="false">IFERROR(K408/J408,0)</f>
        <v>0.0120681145113524</v>
      </c>
      <c r="R408" s="11" t="str">
        <f aca="false">IF(COUNTIF($A$2:A408,A408)&gt;1,"Duplicate - Remove","Unique")</f>
        <v>Unique</v>
      </c>
      <c r="S408" s="11" t="str">
        <f aca="false">TRIM(IF(Raw_Data!G408="","Region missing; ","")&amp;IF(Raw_Data!H408="","Spend imputed; ","")&amp;IF(Raw_Data!L408="","Revenue imputed; ","")&amp;IF(Raw_Data!J408&lt;0,"Clicks corrected; ",""))</f>
        <v/>
      </c>
    </row>
    <row r="409" customFormat="false" ht="15" hidden="false" customHeight="true" outlineLevel="0" collapsed="false">
      <c r="A409" s="11" t="n">
        <f aca="false">Raw_Data!A409</f>
        <v>1471</v>
      </c>
      <c r="B409" s="11" t="str">
        <f aca="false">PROPER(TRIM(Raw_Data!B409))</f>
        <v>Summer Glow Launch</v>
      </c>
      <c r="C409" s="11" t="str">
        <f aca="false">IFERROR(INDEX(Lookup_Tables!$B$2:$B$26,MATCH(UPPER(TRIM(Raw_Data!C409)),Lookup_Tables!$C$2:$C$26,0)),"Unknown")</f>
        <v>Facebook</v>
      </c>
      <c r="D409" s="12" t="n">
        <f aca="false">IFERROR(IF(ISNUMBER(SEARCH("/",Raw_Data!D409)),DATE(VALUE(RIGHT(Raw_Data!D409,4)),VALUE(MID(Raw_Data!D409,FIND("/",Raw_Data!D409)+1,FIND("/",Raw_Data!D409,FIND("/",Raw_Data!D409)+1)-FIND("/",Raw_Data!D409)-1)),VALUE(LEFT(Raw_Data!D409,FIND("/",Raw_Data!D409)-1))),IF(ISNUMBER(VALUE(LEFT(Raw_Data!D409,4))),DATE(VALUE(LEFT(Raw_Data!D409,4)),VALUE(MID(Raw_Data!D409,6,2)),VALUE(MID(Raw_Data!D409,9,2))),DATEVALUE(Raw_Data!D409))),"")</f>
        <v>45381</v>
      </c>
      <c r="E409" s="12" t="n">
        <f aca="false">IFERROR(IF(ISNUMBER(SEARCH("/",Raw_Data!E409)),DATE(VALUE(RIGHT(Raw_Data!E409,4)),VALUE(MID(Raw_Data!E409,FIND("/",Raw_Data!E409)+1,FIND("/",Raw_Data!E409,FIND("/",Raw_Data!E409)+1)-FIND("/",Raw_Data!E409)-1)),VALUE(LEFT(Raw_Data!E409,FIND("/",Raw_Data!E409)-1))),IF(ISNUMBER(VALUE(LEFT(Raw_Data!E409,4))),DATE(VALUE(LEFT(Raw_Data!E409,4)),VALUE(MID(Raw_Data!E409,6,2)),VALUE(MID(Raw_Data!E409,9,2))),DATEVALUE(Raw_Data!E409))),"")</f>
        <v>45402</v>
      </c>
      <c r="F409" s="11" t="str">
        <f aca="false">Raw_Data!F409</f>
        <v>Female 25-34</v>
      </c>
      <c r="G409" s="11" t="str">
        <f aca="false">IF(TRIM(Raw_Data!G409)="","Unspecified",IFERROR(INDEX(Lookup_Tables!$F$2:$F$24,MATCH(UPPER(TRIM(Raw_Data!G409)),Lookup_Tables!$G$2:$G$24,0)),"Unknown"))</f>
        <v>South</v>
      </c>
      <c r="H409" s="11" t="n">
        <f aca="false">IF(Raw_Data!H409="",ROUND(AVERAGEIFS(Raw_Data!$H$2:$H$839,Raw_Data!$C$2:$C$839,Raw_Data!C409),2),Raw_Data!H409)</f>
        <v>44522.52</v>
      </c>
      <c r="I409" s="11" t="n">
        <f aca="false">Raw_Data!I409</f>
        <v>1323239</v>
      </c>
      <c r="J409" s="11" t="n">
        <f aca="false">IF(Raw_Data!J409&lt;0,ABS(Raw_Data!J409),Raw_Data!J409)</f>
        <v>38643</v>
      </c>
      <c r="K409" s="11" t="n">
        <f aca="false">Raw_Data!K409</f>
        <v>644</v>
      </c>
      <c r="L409" s="11" t="n">
        <f aca="false">IF(Raw_Data!L409="",ROUND(AVERAGEIFS(Raw_Data!$L$2:$L$839,Raw_Data!$C$2:$C$839,Raw_Data!C409),2),Raw_Data!L409)</f>
        <v>551203.02</v>
      </c>
      <c r="M409" s="13" t="n">
        <f aca="false">IFERROR(J409/I409,0)</f>
        <v>0.0292033411953547</v>
      </c>
      <c r="N409" s="14" t="n">
        <f aca="false">IFERROR(H409/J409,0)</f>
        <v>1.15214967782004</v>
      </c>
      <c r="O409" s="14" t="n">
        <f aca="false">IFERROR(H409/K409,0)</f>
        <v>69.134347826087</v>
      </c>
      <c r="P409" s="15" t="n">
        <f aca="false">IFERROR(L409/H409,0)</f>
        <v>12.3803194428348</v>
      </c>
      <c r="Q409" s="13" t="n">
        <f aca="false">IFERROR(K409/J409,0)</f>
        <v>0.0166653727712652</v>
      </c>
      <c r="R409" s="11" t="str">
        <f aca="false">IF(COUNTIF($A$2:A409,A409)&gt;1,"Duplicate - Remove","Unique")</f>
        <v>Unique</v>
      </c>
      <c r="S409" s="11" t="str">
        <f aca="false">TRIM(IF(Raw_Data!G409="","Region missing; ","")&amp;IF(Raw_Data!H409="","Spend imputed; ","")&amp;IF(Raw_Data!L409="","Revenue imputed; ","")&amp;IF(Raw_Data!J409&lt;0,"Clicks corrected; ",""))</f>
        <v/>
      </c>
    </row>
    <row r="410" customFormat="false" ht="15" hidden="false" customHeight="true" outlineLevel="0" collapsed="false">
      <c r="A410" s="11" t="n">
        <f aca="false">Raw_Data!A410</f>
        <v>1021</v>
      </c>
      <c r="B410" s="11" t="str">
        <f aca="false">PROPER(TRIM(Raw_Data!B410))</f>
        <v>Baby Care Trust Campaign</v>
      </c>
      <c r="C410" s="11" t="str">
        <f aca="false">IFERROR(INDEX(Lookup_Tables!$B$2:$B$26,MATCH(UPPER(TRIM(Raw_Data!C410)),Lookup_Tables!$C$2:$C$26,0)),"Unknown")</f>
        <v>Google Ads</v>
      </c>
      <c r="D410" s="12" t="n">
        <f aca="false">IFERROR(IF(ISNUMBER(SEARCH("/",Raw_Data!D410)),DATE(VALUE(RIGHT(Raw_Data!D410,4)),VALUE(MID(Raw_Data!D410,FIND("/",Raw_Data!D410)+1,FIND("/",Raw_Data!D410,FIND("/",Raw_Data!D410)+1)-FIND("/",Raw_Data!D410)-1)),VALUE(LEFT(Raw_Data!D410,FIND("/",Raw_Data!D410)-1))),IF(ISNUMBER(VALUE(LEFT(Raw_Data!D410,4))),DATE(VALUE(LEFT(Raw_Data!D410,4)),VALUE(MID(Raw_Data!D410,6,2)),VALUE(MID(Raw_Data!D410,9,2))),DATEVALUE(Raw_Data!D410))),"")</f>
        <v>45515</v>
      </c>
      <c r="E410" s="12" t="n">
        <f aca="false">IFERROR(IF(ISNUMBER(SEARCH("/",Raw_Data!E410)),DATE(VALUE(RIGHT(Raw_Data!E410,4)),VALUE(MID(Raw_Data!E410,FIND("/",Raw_Data!E410)+1,FIND("/",Raw_Data!E410,FIND("/",Raw_Data!E410)+1)-FIND("/",Raw_Data!E410)-1)),VALUE(LEFT(Raw_Data!E410,FIND("/",Raw_Data!E410)-1))),IF(ISNUMBER(VALUE(LEFT(Raw_Data!E410,4))),DATE(VALUE(LEFT(Raw_Data!E410,4)),VALUE(MID(Raw_Data!E410,6,2)),VALUE(MID(Raw_Data!E410,9,2))),DATEVALUE(Raw_Data!E410))),"")</f>
        <v>45539</v>
      </c>
      <c r="F410" s="11" t="str">
        <f aca="false">Raw_Data!F410</f>
        <v>Male 35-44</v>
      </c>
      <c r="G410" s="11" t="str">
        <f aca="false">IF(TRIM(Raw_Data!G410)="","Unspecified",IFERROR(INDEX(Lookup_Tables!$F$2:$F$24,MATCH(UPPER(TRIM(Raw_Data!G410)),Lookup_Tables!$G$2:$G$24,0)),"Unknown"))</f>
        <v>North</v>
      </c>
      <c r="H410" s="11" t="n">
        <f aca="false">IF(Raw_Data!H410="",ROUND(AVERAGEIFS(Raw_Data!$H$2:$H$839,Raw_Data!$C$2:$C$839,Raw_Data!C410),2),Raw_Data!H410)</f>
        <v>18095.2</v>
      </c>
      <c r="I410" s="11" t="n">
        <f aca="false">Raw_Data!I410</f>
        <v>678345</v>
      </c>
      <c r="J410" s="11" t="n">
        <f aca="false">IF(Raw_Data!J410&lt;0,ABS(Raw_Data!J410),Raw_Data!J410)</f>
        <v>7259</v>
      </c>
      <c r="K410" s="11" t="n">
        <f aca="false">Raw_Data!K410</f>
        <v>95</v>
      </c>
      <c r="L410" s="11" t="n">
        <f aca="false">IF(Raw_Data!L410="",ROUND(AVERAGEIFS(Raw_Data!$L$2:$L$839,Raw_Data!$C$2:$C$839,Raw_Data!C410),2),Raw_Data!L410)</f>
        <v>93316.92</v>
      </c>
      <c r="M410" s="13" t="n">
        <f aca="false">IFERROR(J410/I410,0)</f>
        <v>0.0107010444537809</v>
      </c>
      <c r="N410" s="14" t="n">
        <f aca="false">IFERROR(H410/J410,0)</f>
        <v>2.49279515084722</v>
      </c>
      <c r="O410" s="14" t="n">
        <f aca="false">IFERROR(H410/K410,0)</f>
        <v>190.475789473684</v>
      </c>
      <c r="P410" s="15" t="n">
        <f aca="false">IFERROR(L410/H410,0)</f>
        <v>5.15699854104956</v>
      </c>
      <c r="Q410" s="13" t="n">
        <f aca="false">IFERROR(K410/J410,0)</f>
        <v>0.0130872020939523</v>
      </c>
      <c r="R410" s="11" t="str">
        <f aca="false">IF(COUNTIF($A$2:A410,A410)&gt;1,"Duplicate - Remove","Unique")</f>
        <v>Unique</v>
      </c>
      <c r="S410" s="11" t="str">
        <f aca="false">TRIM(IF(Raw_Data!G410="","Region missing; ","")&amp;IF(Raw_Data!H410="","Spend imputed; ","")&amp;IF(Raw_Data!L410="","Revenue imputed; ","")&amp;IF(Raw_Data!J410&lt;0,"Clicks corrected; ",""))</f>
        <v/>
      </c>
    </row>
    <row r="411" customFormat="false" ht="15" hidden="false" customHeight="true" outlineLevel="0" collapsed="false">
      <c r="A411" s="11" t="n">
        <f aca="false">Raw_Data!A411</f>
        <v>1384</v>
      </c>
      <c r="B411" s="11" t="str">
        <f aca="false">PROPER(TRIM(Raw_Data!B411))</f>
        <v>Clearance Sale Push</v>
      </c>
      <c r="C411" s="11" t="str">
        <f aca="false">IFERROR(INDEX(Lookup_Tables!$B$2:$B$26,MATCH(UPPER(TRIM(Raw_Data!C411)),Lookup_Tables!$C$2:$C$26,0)),"Unknown")</f>
        <v>Google Ads</v>
      </c>
      <c r="D411" s="12" t="n">
        <f aca="false">IFERROR(IF(ISNUMBER(SEARCH("/",Raw_Data!D411)),DATE(VALUE(RIGHT(Raw_Data!D411,4)),VALUE(MID(Raw_Data!D411,FIND("/",Raw_Data!D411)+1,FIND("/",Raw_Data!D411,FIND("/",Raw_Data!D411)+1)-FIND("/",Raw_Data!D411)-1)),VALUE(LEFT(Raw_Data!D411,FIND("/",Raw_Data!D411)-1))),IF(ISNUMBER(VALUE(LEFT(Raw_Data!D411,4))),DATE(VALUE(LEFT(Raw_Data!D411,4)),VALUE(MID(Raw_Data!D411,6,2)),VALUE(MID(Raw_Data!D411,9,2))),DATEVALUE(Raw_Data!D411))),"")</f>
        <v>45551</v>
      </c>
      <c r="E411" s="12" t="n">
        <f aca="false">IFERROR(IF(ISNUMBER(SEARCH("/",Raw_Data!E411)),DATE(VALUE(RIGHT(Raw_Data!E411,4)),VALUE(MID(Raw_Data!E411,FIND("/",Raw_Data!E411)+1,FIND("/",Raw_Data!E411,FIND("/",Raw_Data!E411)+1)-FIND("/",Raw_Data!E411)-1)),VALUE(LEFT(Raw_Data!E411,FIND("/",Raw_Data!E411)-1))),IF(ISNUMBER(VALUE(LEFT(Raw_Data!E411,4))),DATE(VALUE(LEFT(Raw_Data!E411,4)),VALUE(MID(Raw_Data!E411,6,2)),VALUE(MID(Raw_Data!E411,9,2))),DATEVALUE(Raw_Data!E411))),"")</f>
        <v>45563</v>
      </c>
      <c r="F411" s="11" t="str">
        <f aca="false">Raw_Data!F411</f>
        <v>Male 18-24</v>
      </c>
      <c r="G411" s="11" t="str">
        <f aca="false">IF(TRIM(Raw_Data!G411)="","Unspecified",IFERROR(INDEX(Lookup_Tables!$F$2:$F$24,MATCH(UPPER(TRIM(Raw_Data!G411)),Lookup_Tables!$G$2:$G$24,0)),"Unknown"))</f>
        <v>South</v>
      </c>
      <c r="H411" s="11" t="n">
        <f aca="false">IF(Raw_Data!H411="",ROUND(AVERAGEIFS(Raw_Data!$H$2:$H$839,Raw_Data!$C$2:$C$839,Raw_Data!C411),2),Raw_Data!H411)</f>
        <v>73634.91</v>
      </c>
      <c r="I411" s="11" t="n">
        <f aca="false">Raw_Data!I411</f>
        <v>1728861</v>
      </c>
      <c r="J411" s="11" t="n">
        <f aca="false">IF(Raw_Data!J411&lt;0,ABS(Raw_Data!J411),Raw_Data!J411)</f>
        <v>39872</v>
      </c>
      <c r="K411" s="11" t="n">
        <f aca="false">Raw_Data!K411</f>
        <v>2750</v>
      </c>
      <c r="L411" s="11" t="n">
        <f aca="false">IF(Raw_Data!L411="",ROUND(AVERAGEIFS(Raw_Data!$L$2:$L$839,Raw_Data!$C$2:$C$839,Raw_Data!C411),2),Raw_Data!L411)</f>
        <v>3582120.57</v>
      </c>
      <c r="M411" s="13" t="n">
        <f aca="false">IFERROR(J411/I411,0)</f>
        <v>0.0230625828218694</v>
      </c>
      <c r="N411" s="14" t="n">
        <f aca="false">IFERROR(H411/J411,0)</f>
        <v>1.84678245385233</v>
      </c>
      <c r="O411" s="14" t="n">
        <f aca="false">IFERROR(H411/K411,0)</f>
        <v>26.7763309090909</v>
      </c>
      <c r="P411" s="15" t="n">
        <f aca="false">IFERROR(L411/H411,0)</f>
        <v>48.6470421434616</v>
      </c>
      <c r="Q411" s="13" t="n">
        <f aca="false">IFERROR(K411/J411,0)</f>
        <v>0.0689707062600321</v>
      </c>
      <c r="R411" s="11" t="str">
        <f aca="false">IF(COUNTIF($A$2:A411,A411)&gt;1,"Duplicate - Remove","Unique")</f>
        <v>Unique</v>
      </c>
      <c r="S411" s="11" t="str">
        <f aca="false">TRIM(IF(Raw_Data!G411="","Region missing; ","")&amp;IF(Raw_Data!H411="","Spend imputed; ","")&amp;IF(Raw_Data!L411="","Revenue imputed; ","")&amp;IF(Raw_Data!J411&lt;0,"Clicks corrected; ",""))</f>
        <v/>
      </c>
    </row>
    <row r="412" customFormat="false" ht="15" hidden="false" customHeight="true" outlineLevel="0" collapsed="false">
      <c r="A412" s="11" t="n">
        <f aca="false">Raw_Data!A412</f>
        <v>1149</v>
      </c>
      <c r="B412" s="11" t="str">
        <f aca="false">PROPER(TRIM(Raw_Data!B412))</f>
        <v>Herbal Range Awareness</v>
      </c>
      <c r="C412" s="11" t="str">
        <f aca="false">IFERROR(INDEX(Lookup_Tables!$B$2:$B$26,MATCH(UPPER(TRIM(Raw_Data!C412)),Lookup_Tables!$C$2:$C$26,0)),"Unknown")</f>
        <v>YouTube</v>
      </c>
      <c r="D412" s="12" t="n">
        <f aca="false">IFERROR(IF(ISNUMBER(SEARCH("/",Raw_Data!D412)),DATE(VALUE(RIGHT(Raw_Data!D412,4)),VALUE(MID(Raw_Data!D412,FIND("/",Raw_Data!D412)+1,FIND("/",Raw_Data!D412,FIND("/",Raw_Data!D412)+1)-FIND("/",Raw_Data!D412)-1)),VALUE(LEFT(Raw_Data!D412,FIND("/",Raw_Data!D412)-1))),IF(ISNUMBER(VALUE(LEFT(Raw_Data!D412,4))),DATE(VALUE(LEFT(Raw_Data!D412,4)),VALUE(MID(Raw_Data!D412,6,2)),VALUE(MID(Raw_Data!D412,9,2))),DATEVALUE(Raw_Data!D412))),"")</f>
        <v>45299</v>
      </c>
      <c r="E412" s="12" t="n">
        <f aca="false">IFERROR(IF(ISNUMBER(SEARCH("/",Raw_Data!E412)),DATE(VALUE(RIGHT(Raw_Data!E412,4)),VALUE(MID(Raw_Data!E412,FIND("/",Raw_Data!E412)+1,FIND("/",Raw_Data!E412,FIND("/",Raw_Data!E412)+1)-FIND("/",Raw_Data!E412)-1)),VALUE(LEFT(Raw_Data!E412,FIND("/",Raw_Data!E412)-1))),IF(ISNUMBER(VALUE(LEFT(Raw_Data!E412,4))),DATE(VALUE(LEFT(Raw_Data!E412,4)),VALUE(MID(Raw_Data!E412,6,2)),VALUE(MID(Raw_Data!E412,9,2))),DATEVALUE(Raw_Data!E412))),"")</f>
        <v>45312</v>
      </c>
      <c r="F412" s="11" t="str">
        <f aca="false">Raw_Data!F412</f>
        <v>Female 25-34</v>
      </c>
      <c r="G412" s="11" t="str">
        <f aca="false">IF(TRIM(Raw_Data!G412)="","Unspecified",IFERROR(INDEX(Lookup_Tables!$F$2:$F$24,MATCH(UPPER(TRIM(Raw_Data!G412)),Lookup_Tables!$G$2:$G$24,0)),"Unknown"))</f>
        <v>Unspecified</v>
      </c>
      <c r="H412" s="11" t="n">
        <f aca="false">IF(Raw_Data!H412="",ROUND(AVERAGEIFS(Raw_Data!$H$2:$H$839,Raw_Data!$C$2:$C$839,Raw_Data!C412),2),Raw_Data!H412)</f>
        <v>17987.01</v>
      </c>
      <c r="I412" s="11" t="n">
        <f aca="false">Raw_Data!I412</f>
        <v>296996</v>
      </c>
      <c r="J412" s="11" t="n">
        <f aca="false">IF(Raw_Data!J412&lt;0,ABS(Raw_Data!J412),Raw_Data!J412)</f>
        <v>8517</v>
      </c>
      <c r="K412" s="11" t="n">
        <f aca="false">Raw_Data!K412</f>
        <v>387</v>
      </c>
      <c r="L412" s="11" t="n">
        <f aca="false">IF(Raw_Data!L412="",ROUND(AVERAGEIFS(Raw_Data!$L$2:$L$839,Raw_Data!$C$2:$C$839,Raw_Data!C412),2),Raw_Data!L412)</f>
        <v>488172.45</v>
      </c>
      <c r="M412" s="13" t="n">
        <f aca="false">IFERROR(J412/I412,0)</f>
        <v>0.0286771539010626</v>
      </c>
      <c r="N412" s="14" t="n">
        <f aca="false">IFERROR(H412/J412,0)</f>
        <v>2.11189503346249</v>
      </c>
      <c r="O412" s="14" t="n">
        <f aca="false">IFERROR(H412/K412,0)</f>
        <v>46.4780620155039</v>
      </c>
      <c r="P412" s="15" t="n">
        <f aca="false">IFERROR(L412/H412,0)</f>
        <v>27.1402779005516</v>
      </c>
      <c r="Q412" s="13" t="n">
        <f aca="false">IFERROR(K412/J412,0)</f>
        <v>0.0454385346953153</v>
      </c>
      <c r="R412" s="11" t="str">
        <f aca="false">IF(COUNTIF($A$2:A412,A412)&gt;1,"Duplicate - Remove","Unique")</f>
        <v>Unique</v>
      </c>
      <c r="S412" s="11" t="str">
        <f aca="false">TRIM(IF(Raw_Data!G412="","Region missing; ","")&amp;IF(Raw_Data!H412="","Spend imputed; ","")&amp;IF(Raw_Data!L412="","Revenue imputed; ","")&amp;IF(Raw_Data!J412&lt;0,"Clicks corrected; ",""))</f>
        <v>Region missing;</v>
      </c>
    </row>
    <row r="413" customFormat="false" ht="15" hidden="false" customHeight="true" outlineLevel="0" collapsed="false">
      <c r="A413" s="11" t="n">
        <f aca="false">Raw_Data!A413</f>
        <v>1136</v>
      </c>
      <c r="B413" s="11" t="str">
        <f aca="false">PROPER(TRIM(Raw_Data!B413))</f>
        <v>Back To College Offer</v>
      </c>
      <c r="C413" s="11" t="str">
        <f aca="false">IFERROR(INDEX(Lookup_Tables!$B$2:$B$26,MATCH(UPPER(TRIM(Raw_Data!C413)),Lookup_Tables!$C$2:$C$26,0)),"Unknown")</f>
        <v>Google Ads</v>
      </c>
      <c r="D413" s="12" t="n">
        <f aca="false">IFERROR(IF(ISNUMBER(SEARCH("/",Raw_Data!D413)),DATE(VALUE(RIGHT(Raw_Data!D413,4)),VALUE(MID(Raw_Data!D413,FIND("/",Raw_Data!D413)+1,FIND("/",Raw_Data!D413,FIND("/",Raw_Data!D413)+1)-FIND("/",Raw_Data!D413)-1)),VALUE(LEFT(Raw_Data!D413,FIND("/",Raw_Data!D413)-1))),IF(ISNUMBER(VALUE(LEFT(Raw_Data!D413,4))),DATE(VALUE(LEFT(Raw_Data!D413,4)),VALUE(MID(Raw_Data!D413,6,2)),VALUE(MID(Raw_Data!D413,9,2))),DATEVALUE(Raw_Data!D413))),"")</f>
        <v>45452</v>
      </c>
      <c r="E413" s="12" t="n">
        <f aca="false">IFERROR(IF(ISNUMBER(SEARCH("/",Raw_Data!E413)),DATE(VALUE(RIGHT(Raw_Data!E413,4)),VALUE(MID(Raw_Data!E413,FIND("/",Raw_Data!E413)+1,FIND("/",Raw_Data!E413,FIND("/",Raw_Data!E413)+1)-FIND("/",Raw_Data!E413)-1)),VALUE(LEFT(Raw_Data!E413,FIND("/",Raw_Data!E413)-1))),IF(ISNUMBER(VALUE(LEFT(Raw_Data!E413,4))),DATE(VALUE(LEFT(Raw_Data!E413,4)),VALUE(MID(Raw_Data!E413,6,2)),VALUE(MID(Raw_Data!E413,9,2))),DATEVALUE(Raw_Data!E413))),"")</f>
        <v>45460</v>
      </c>
      <c r="F413" s="11" t="str">
        <f aca="false">Raw_Data!F413</f>
        <v>Female 35-44</v>
      </c>
      <c r="G413" s="11" t="str">
        <f aca="false">IF(TRIM(Raw_Data!G413)="","Unspecified",IFERROR(INDEX(Lookup_Tables!$F$2:$F$24,MATCH(UPPER(TRIM(Raw_Data!G413)),Lookup_Tables!$G$2:$G$24,0)),"Unknown"))</f>
        <v>East</v>
      </c>
      <c r="H413" s="11" t="n">
        <f aca="false">IF(Raw_Data!H413="",ROUND(AVERAGEIFS(Raw_Data!$H$2:$H$839,Raw_Data!$C$2:$C$839,Raw_Data!C413),2),Raw_Data!H413)</f>
        <v>31376.6</v>
      </c>
      <c r="I413" s="11" t="n">
        <f aca="false">Raw_Data!I413</f>
        <v>614231</v>
      </c>
      <c r="J413" s="11" t="n">
        <f aca="false">IF(Raw_Data!J413&lt;0,ABS(Raw_Data!J413),Raw_Data!J413)</f>
        <v>15849</v>
      </c>
      <c r="K413" s="11" t="n">
        <f aca="false">Raw_Data!K413</f>
        <v>725</v>
      </c>
      <c r="L413" s="11" t="n">
        <f aca="false">IF(Raw_Data!L413="",ROUND(AVERAGEIFS(Raw_Data!$L$2:$L$839,Raw_Data!$C$2:$C$839,Raw_Data!C413),2),Raw_Data!L413)</f>
        <v>693423.86</v>
      </c>
      <c r="M413" s="13" t="n">
        <f aca="false">IFERROR(J413/I413,0)</f>
        <v>0.0258029959412664</v>
      </c>
      <c r="N413" s="14" t="n">
        <f aca="false">IFERROR(H413/J413,0)</f>
        <v>1.97972111805161</v>
      </c>
      <c r="O413" s="14" t="n">
        <f aca="false">IFERROR(H413/K413,0)</f>
        <v>43.2780689655172</v>
      </c>
      <c r="P413" s="15" t="n">
        <f aca="false">IFERROR(L413/H413,0)</f>
        <v>22.1000318708847</v>
      </c>
      <c r="Q413" s="13" t="n">
        <f aca="false">IFERROR(K413/J413,0)</f>
        <v>0.0457442109912297</v>
      </c>
      <c r="R413" s="11" t="str">
        <f aca="false">IF(COUNTIF($A$2:A413,A413)&gt;1,"Duplicate - Remove","Unique")</f>
        <v>Unique</v>
      </c>
      <c r="S413" s="11" t="str">
        <f aca="false">TRIM(IF(Raw_Data!G413="","Region missing; ","")&amp;IF(Raw_Data!H413="","Spend imputed; ","")&amp;IF(Raw_Data!L413="","Revenue imputed; ","")&amp;IF(Raw_Data!J413&lt;0,"Clicks corrected; ",""))</f>
        <v/>
      </c>
    </row>
    <row r="414" customFormat="false" ht="15" hidden="false" customHeight="true" outlineLevel="0" collapsed="false">
      <c r="A414" s="11" t="n">
        <f aca="false">Raw_Data!A414</f>
        <v>1269</v>
      </c>
      <c r="B414" s="11" t="str">
        <f aca="false">PROPER(TRIM(Raw_Data!B414))</f>
        <v>Clearance Sale Push</v>
      </c>
      <c r="C414" s="11" t="str">
        <f aca="false">IFERROR(INDEX(Lookup_Tables!$B$2:$B$26,MATCH(UPPER(TRIM(Raw_Data!C414)),Lookup_Tables!$C$2:$C$26,0)),"Unknown")</f>
        <v>Email</v>
      </c>
      <c r="D414" s="12" t="n">
        <f aca="false">IFERROR(IF(ISNUMBER(SEARCH("/",Raw_Data!D414)),DATE(VALUE(RIGHT(Raw_Data!D414,4)),VALUE(MID(Raw_Data!D414,FIND("/",Raw_Data!D414)+1,FIND("/",Raw_Data!D414,FIND("/",Raw_Data!D414)+1)-FIND("/",Raw_Data!D414)-1)),VALUE(LEFT(Raw_Data!D414,FIND("/",Raw_Data!D414)-1))),IF(ISNUMBER(VALUE(LEFT(Raw_Data!D414,4))),DATE(VALUE(LEFT(Raw_Data!D414,4)),VALUE(MID(Raw_Data!D414,6,2)),VALUE(MID(Raw_Data!D414,9,2))),DATEVALUE(Raw_Data!D414))),"")</f>
        <v>45548</v>
      </c>
      <c r="E414" s="12" t="n">
        <f aca="false">IFERROR(IF(ISNUMBER(SEARCH("/",Raw_Data!E414)),DATE(VALUE(RIGHT(Raw_Data!E414,4)),VALUE(MID(Raw_Data!E414,FIND("/",Raw_Data!E414)+1,FIND("/",Raw_Data!E414,FIND("/",Raw_Data!E414)+1)-FIND("/",Raw_Data!E414)-1)),VALUE(LEFT(Raw_Data!E414,FIND("/",Raw_Data!E414)-1))),IF(ISNUMBER(VALUE(LEFT(Raw_Data!E414,4))),DATE(VALUE(LEFT(Raw_Data!E414,4)),VALUE(MID(Raw_Data!E414,6,2)),VALUE(MID(Raw_Data!E414,9,2))),DATEVALUE(Raw_Data!E414))),"")</f>
        <v>45567</v>
      </c>
      <c r="F414" s="11" t="str">
        <f aca="false">Raw_Data!F414</f>
        <v>Male 18-24</v>
      </c>
      <c r="G414" s="11" t="str">
        <f aca="false">IF(TRIM(Raw_Data!G414)="","Unspecified",IFERROR(INDEX(Lookup_Tables!$F$2:$F$24,MATCH(UPPER(TRIM(Raw_Data!G414)),Lookup_Tables!$G$2:$G$24,0)),"Unknown"))</f>
        <v>Central</v>
      </c>
      <c r="H414" s="11" t="n">
        <f aca="false">IF(Raw_Data!H414="",ROUND(AVERAGEIFS(Raw_Data!$H$2:$H$839,Raw_Data!$C$2:$C$839,Raw_Data!C414),2),Raw_Data!H414)</f>
        <v>7484.45</v>
      </c>
      <c r="I414" s="11" t="n">
        <f aca="false">Raw_Data!I414</f>
        <v>116287</v>
      </c>
      <c r="J414" s="11" t="n">
        <f aca="false">IF(Raw_Data!J414&lt;0,ABS(Raw_Data!J414),Raw_Data!J414)</f>
        <v>1444</v>
      </c>
      <c r="K414" s="11" t="n">
        <f aca="false">Raw_Data!K414</f>
        <v>67</v>
      </c>
      <c r="L414" s="11" t="n">
        <f aca="false">IF(Raw_Data!L414="",ROUND(AVERAGEIFS(Raw_Data!$L$2:$L$839,Raw_Data!$C$2:$C$839,Raw_Data!C414),2),Raw_Data!L414)</f>
        <v>55856.29</v>
      </c>
      <c r="M414" s="13" t="n">
        <f aca="false">IFERROR(J414/I414,0)</f>
        <v>0.012417553122877</v>
      </c>
      <c r="N414" s="14" t="n">
        <f aca="false">IFERROR(H414/J414,0)</f>
        <v>5.18313711911357</v>
      </c>
      <c r="O414" s="14" t="n">
        <f aca="false">IFERROR(H414/K414,0)</f>
        <v>111.708208955224</v>
      </c>
      <c r="P414" s="15" t="n">
        <f aca="false">IFERROR(L414/H414,0)</f>
        <v>7.46297857558004</v>
      </c>
      <c r="Q414" s="13" t="n">
        <f aca="false">IFERROR(K414/J414,0)</f>
        <v>0.046398891966759</v>
      </c>
      <c r="R414" s="11" t="str">
        <f aca="false">IF(COUNTIF($A$2:A414,A414)&gt;1,"Duplicate - Remove","Unique")</f>
        <v>Unique</v>
      </c>
      <c r="S414" s="11" t="str">
        <f aca="false">TRIM(IF(Raw_Data!G414="","Region missing; ","")&amp;IF(Raw_Data!H414="","Spend imputed; ","")&amp;IF(Raw_Data!L414="","Revenue imputed; ","")&amp;IF(Raw_Data!J414&lt;0,"Clicks corrected; ",""))</f>
        <v/>
      </c>
    </row>
    <row r="415" customFormat="false" ht="15" hidden="false" customHeight="true" outlineLevel="0" collapsed="false">
      <c r="A415" s="11" t="n">
        <f aca="false">Raw_Data!A415</f>
        <v>1108</v>
      </c>
      <c r="B415" s="11" t="str">
        <f aca="false">PROPER(TRIM(Raw_Data!B415))</f>
        <v>Back To College Offer</v>
      </c>
      <c r="C415" s="11" t="str">
        <f aca="false">IFERROR(INDEX(Lookup_Tables!$B$2:$B$26,MATCH(UPPER(TRIM(Raw_Data!C415)),Lookup_Tables!$C$2:$C$26,0)),"Unknown")</f>
        <v>Facebook</v>
      </c>
      <c r="D415" s="12" t="n">
        <f aca="false">IFERROR(IF(ISNUMBER(SEARCH("/",Raw_Data!D415)),DATE(VALUE(RIGHT(Raw_Data!D415,4)),VALUE(MID(Raw_Data!D415,FIND("/",Raw_Data!D415)+1,FIND("/",Raw_Data!D415,FIND("/",Raw_Data!D415)+1)-FIND("/",Raw_Data!D415)-1)),VALUE(LEFT(Raw_Data!D415,FIND("/",Raw_Data!D415)-1))),IF(ISNUMBER(VALUE(LEFT(Raw_Data!D415,4))),DATE(VALUE(LEFT(Raw_Data!D415,4)),VALUE(MID(Raw_Data!D415,6,2)),VALUE(MID(Raw_Data!D415,9,2))),DATEVALUE(Raw_Data!D415))),"")</f>
        <v>45323</v>
      </c>
      <c r="E415" s="12" t="n">
        <f aca="false">IFERROR(IF(ISNUMBER(SEARCH("/",Raw_Data!E415)),DATE(VALUE(RIGHT(Raw_Data!E415,4)),VALUE(MID(Raw_Data!E415,FIND("/",Raw_Data!E415)+1,FIND("/",Raw_Data!E415,FIND("/",Raw_Data!E415)+1)-FIND("/",Raw_Data!E415)-1)),VALUE(LEFT(Raw_Data!E415,FIND("/",Raw_Data!E415)-1))),IF(ISNUMBER(VALUE(LEFT(Raw_Data!E415,4))),DATE(VALUE(LEFT(Raw_Data!E415,4)),VALUE(MID(Raw_Data!E415,6,2)),VALUE(MID(Raw_Data!E415,9,2))),DATEVALUE(Raw_Data!E415))),"")</f>
        <v>45345</v>
      </c>
      <c r="F415" s="11" t="str">
        <f aca="false">Raw_Data!F415</f>
        <v>Female 25-34</v>
      </c>
      <c r="G415" s="11" t="str">
        <f aca="false">IF(TRIM(Raw_Data!G415)="","Unspecified",IFERROR(INDEX(Lookup_Tables!$F$2:$F$24,MATCH(UPPER(TRIM(Raw_Data!G415)),Lookup_Tables!$G$2:$G$24,0)),"Unknown"))</f>
        <v>Central</v>
      </c>
      <c r="H415" s="11" t="n">
        <f aca="false">IF(Raw_Data!H415="",ROUND(AVERAGEIFS(Raw_Data!$H$2:$H$839,Raw_Data!$C$2:$C$839,Raw_Data!C415),2),Raw_Data!H415)</f>
        <v>14894.9</v>
      </c>
      <c r="I415" s="11" t="n">
        <f aca="false">Raw_Data!I415</f>
        <v>423260</v>
      </c>
      <c r="J415" s="11" t="n">
        <f aca="false">IF(Raw_Data!J415&lt;0,ABS(Raw_Data!J415),Raw_Data!J415)</f>
        <v>4205</v>
      </c>
      <c r="K415" s="11" t="n">
        <f aca="false">Raw_Data!K415</f>
        <v>293</v>
      </c>
      <c r="L415" s="11" t="n">
        <f aca="false">IF(Raw_Data!L415="",ROUND(AVERAGEIFS(Raw_Data!$L$2:$L$839,Raw_Data!$C$2:$C$839,Raw_Data!C415),2),Raw_Data!L415)</f>
        <v>290265.96</v>
      </c>
      <c r="M415" s="13" t="n">
        <f aca="false">IFERROR(J415/I415,0)</f>
        <v>0.00993479185370694</v>
      </c>
      <c r="N415" s="14" t="n">
        <f aca="false">IFERROR(H415/J415,0)</f>
        <v>3.54218787158145</v>
      </c>
      <c r="O415" s="14" t="n">
        <f aca="false">IFERROR(H415/K415,0)</f>
        <v>50.8358361774744</v>
      </c>
      <c r="P415" s="15" t="n">
        <f aca="false">IFERROR(L415/H415,0)</f>
        <v>19.487607167554</v>
      </c>
      <c r="Q415" s="13" t="n">
        <f aca="false">IFERROR(K415/J415,0)</f>
        <v>0.069678953626635</v>
      </c>
      <c r="R415" s="11" t="str">
        <f aca="false">IF(COUNTIF($A$2:A415,A415)&gt;1,"Duplicate - Remove","Unique")</f>
        <v>Unique</v>
      </c>
      <c r="S415" s="11" t="str">
        <f aca="false">TRIM(IF(Raw_Data!G415="","Region missing; ","")&amp;IF(Raw_Data!H415="","Spend imputed; ","")&amp;IF(Raw_Data!L415="","Revenue imputed; ","")&amp;IF(Raw_Data!J415&lt;0,"Clicks corrected; ",""))</f>
        <v/>
      </c>
    </row>
    <row r="416" customFormat="false" ht="15" hidden="false" customHeight="true" outlineLevel="0" collapsed="false">
      <c r="A416" s="11" t="n">
        <f aca="false">Raw_Data!A416</f>
        <v>1533</v>
      </c>
      <c r="B416" s="11" t="str">
        <f aca="false">PROPER(TRIM(Raw_Data!B416))</f>
        <v>Herbal Range Awareness</v>
      </c>
      <c r="C416" s="11" t="str">
        <f aca="false">IFERROR(INDEX(Lookup_Tables!$B$2:$B$26,MATCH(UPPER(TRIM(Raw_Data!C416)),Lookup_Tables!$C$2:$C$26,0)),"Unknown")</f>
        <v>Facebook</v>
      </c>
      <c r="D416" s="12" t="n">
        <f aca="false">IFERROR(IF(ISNUMBER(SEARCH("/",Raw_Data!D416)),DATE(VALUE(RIGHT(Raw_Data!D416,4)),VALUE(MID(Raw_Data!D416,FIND("/",Raw_Data!D416)+1,FIND("/",Raw_Data!D416,FIND("/",Raw_Data!D416)+1)-FIND("/",Raw_Data!D416)-1)),VALUE(LEFT(Raw_Data!D416,FIND("/",Raw_Data!D416)-1))),IF(ISNUMBER(VALUE(LEFT(Raw_Data!D416,4))),DATE(VALUE(LEFT(Raw_Data!D416,4)),VALUE(MID(Raw_Data!D416,6,2)),VALUE(MID(Raw_Data!D416,9,2))),DATEVALUE(Raw_Data!D416))),"")</f>
        <v>45567</v>
      </c>
      <c r="E416" s="12" t="n">
        <f aca="false">IFERROR(IF(ISNUMBER(SEARCH("/",Raw_Data!E416)),DATE(VALUE(RIGHT(Raw_Data!E416,4)),VALUE(MID(Raw_Data!E416,FIND("/",Raw_Data!E416)+1,FIND("/",Raw_Data!E416,FIND("/",Raw_Data!E416)+1)-FIND("/",Raw_Data!E416)-1)),VALUE(LEFT(Raw_Data!E416,FIND("/",Raw_Data!E416)-1))),IF(ISNUMBER(VALUE(LEFT(Raw_Data!E416,4))),DATE(VALUE(LEFT(Raw_Data!E416,4)),VALUE(MID(Raw_Data!E416,6,2)),VALUE(MID(Raw_Data!E416,9,2))),DATEVALUE(Raw_Data!E416))),"")</f>
        <v>45572</v>
      </c>
      <c r="F416" s="11" t="str">
        <f aca="false">Raw_Data!F416</f>
        <v>Male 35-44</v>
      </c>
      <c r="G416" s="11" t="str">
        <f aca="false">IF(TRIM(Raw_Data!G416)="","Unspecified",IFERROR(INDEX(Lookup_Tables!$F$2:$F$24,MATCH(UPPER(TRIM(Raw_Data!G416)),Lookup_Tables!$G$2:$G$24,0)),"Unknown"))</f>
        <v>South</v>
      </c>
      <c r="H416" s="11" t="n">
        <f aca="false">IF(Raw_Data!H416="",ROUND(AVERAGEIFS(Raw_Data!$H$2:$H$839,Raw_Data!$C$2:$C$839,Raw_Data!C416),2),Raw_Data!H416)</f>
        <v>44192.65</v>
      </c>
      <c r="I416" s="11" t="n">
        <f aca="false">Raw_Data!I416</f>
        <v>949796</v>
      </c>
      <c r="J416" s="11" t="n">
        <f aca="false">IF(Raw_Data!J416&lt;0,ABS(Raw_Data!J416),Raw_Data!J416)</f>
        <v>27115</v>
      </c>
      <c r="K416" s="11" t="n">
        <f aca="false">Raw_Data!K416</f>
        <v>481</v>
      </c>
      <c r="L416" s="11" t="n">
        <f aca="false">IF(Raw_Data!L416="",ROUND(AVERAGEIFS(Raw_Data!$L$2:$L$839,Raw_Data!$C$2:$C$839,Raw_Data!C416),2),Raw_Data!L416)</f>
        <v>828936.18</v>
      </c>
      <c r="M416" s="13" t="n">
        <f aca="false">IFERROR(J416/I416,0)</f>
        <v>0.0285482356211229</v>
      </c>
      <c r="N416" s="14" t="n">
        <f aca="false">IFERROR(H416/J416,0)</f>
        <v>1.62982297621243</v>
      </c>
      <c r="O416" s="14" t="n">
        <f aca="false">IFERROR(H416/K416,0)</f>
        <v>91.8766112266112</v>
      </c>
      <c r="P416" s="15" t="n">
        <f aca="false">IFERROR(L416/H416,0)</f>
        <v>18.7573313661887</v>
      </c>
      <c r="Q416" s="13" t="n">
        <f aca="false">IFERROR(K416/J416,0)</f>
        <v>0.0177392587128895</v>
      </c>
      <c r="R416" s="11" t="str">
        <f aca="false">IF(COUNTIF($A$2:A416,A416)&gt;1,"Duplicate - Remove","Unique")</f>
        <v>Unique</v>
      </c>
      <c r="S416" s="11" t="str">
        <f aca="false">TRIM(IF(Raw_Data!G416="","Region missing; ","")&amp;IF(Raw_Data!H416="","Spend imputed; ","")&amp;IF(Raw_Data!L416="","Revenue imputed; ","")&amp;IF(Raw_Data!J416&lt;0,"Clicks corrected; ",""))</f>
        <v/>
      </c>
    </row>
    <row r="417" customFormat="false" ht="15" hidden="false" customHeight="true" outlineLevel="0" collapsed="false">
      <c r="A417" s="11" t="n">
        <f aca="false">Raw_Data!A417</f>
        <v>1074</v>
      </c>
      <c r="B417" s="11" t="str">
        <f aca="false">PROPER(TRIM(Raw_Data!B417))</f>
        <v>Ayurvedic Range Launch</v>
      </c>
      <c r="C417" s="11" t="str">
        <f aca="false">IFERROR(INDEX(Lookup_Tables!$B$2:$B$26,MATCH(UPPER(TRIM(Raw_Data!C417)),Lookup_Tables!$C$2:$C$26,0)),"Unknown")</f>
        <v>YouTube</v>
      </c>
      <c r="D417" s="12" t="n">
        <f aca="false">IFERROR(IF(ISNUMBER(SEARCH("/",Raw_Data!D417)),DATE(VALUE(RIGHT(Raw_Data!D417,4)),VALUE(MID(Raw_Data!D417,FIND("/",Raw_Data!D417)+1,FIND("/",Raw_Data!D417,FIND("/",Raw_Data!D417)+1)-FIND("/",Raw_Data!D417)-1)),VALUE(LEFT(Raw_Data!D417,FIND("/",Raw_Data!D417)-1))),IF(ISNUMBER(VALUE(LEFT(Raw_Data!D417,4))),DATE(VALUE(LEFT(Raw_Data!D417,4)),VALUE(MID(Raw_Data!D417,6,2)),VALUE(MID(Raw_Data!D417,9,2))),DATEVALUE(Raw_Data!D417))),"")</f>
        <v>45552</v>
      </c>
      <c r="E417" s="12" t="n">
        <f aca="false">IFERROR(IF(ISNUMBER(SEARCH("/",Raw_Data!E417)),DATE(VALUE(RIGHT(Raw_Data!E417,4)),VALUE(MID(Raw_Data!E417,FIND("/",Raw_Data!E417)+1,FIND("/",Raw_Data!E417,FIND("/",Raw_Data!E417)+1)-FIND("/",Raw_Data!E417)-1)),VALUE(LEFT(Raw_Data!E417,FIND("/",Raw_Data!E417)-1))),IF(ISNUMBER(VALUE(LEFT(Raw_Data!E417,4))),DATE(VALUE(LEFT(Raw_Data!E417,4)),VALUE(MID(Raw_Data!E417,6,2)),VALUE(MID(Raw_Data!E417,9,2))),DATEVALUE(Raw_Data!E417))),"")</f>
        <v>45568</v>
      </c>
      <c r="F417" s="11" t="str">
        <f aca="false">Raw_Data!F417</f>
        <v>Female 45+</v>
      </c>
      <c r="G417" s="11" t="str">
        <f aca="false">IF(TRIM(Raw_Data!G417)="","Unspecified",IFERROR(INDEX(Lookup_Tables!$F$2:$F$24,MATCH(UPPER(TRIM(Raw_Data!G417)),Lookup_Tables!$G$2:$G$24,0)),"Unknown"))</f>
        <v>Central</v>
      </c>
      <c r="H417" s="11" t="n">
        <f aca="false">IF(Raw_Data!H417="",ROUND(AVERAGEIFS(Raw_Data!$H$2:$H$839,Raw_Data!$C$2:$C$839,Raw_Data!C417),2),Raw_Data!H417)</f>
        <v>42194.83</v>
      </c>
      <c r="I417" s="11" t="n">
        <f aca="false">Raw_Data!I417</f>
        <v>823076</v>
      </c>
      <c r="J417" s="11" t="n">
        <f aca="false">IF(Raw_Data!J417&lt;0,ABS(Raw_Data!J417),Raw_Data!J417)</f>
        <v>9404</v>
      </c>
      <c r="K417" s="11" t="n">
        <f aca="false">Raw_Data!K417</f>
        <v>717</v>
      </c>
      <c r="L417" s="11" t="n">
        <f aca="false">IF(Raw_Data!L417="",ROUND(AVERAGEIFS(Raw_Data!$L$2:$L$839,Raw_Data!$C$2:$C$839,Raw_Data!C417),2),Raw_Data!L417)</f>
        <v>756501.56</v>
      </c>
      <c r="M417" s="13" t="n">
        <f aca="false">IFERROR(J417/I417,0)</f>
        <v>0.0114254333743178</v>
      </c>
      <c r="N417" s="14" t="n">
        <f aca="false">IFERROR(H417/J417,0)</f>
        <v>4.48690238196512</v>
      </c>
      <c r="O417" s="14" t="n">
        <f aca="false">IFERROR(H417/K417,0)</f>
        <v>58.8491352859135</v>
      </c>
      <c r="P417" s="15" t="n">
        <f aca="false">IFERROR(L417/H417,0)</f>
        <v>17.928773738394</v>
      </c>
      <c r="Q417" s="13" t="n">
        <f aca="false">IFERROR(K417/J417,0)</f>
        <v>0.0762441514249256</v>
      </c>
      <c r="R417" s="11" t="str">
        <f aca="false">IF(COUNTIF($A$2:A417,A417)&gt;1,"Duplicate - Remove","Unique")</f>
        <v>Unique</v>
      </c>
      <c r="S417" s="11" t="str">
        <f aca="false">TRIM(IF(Raw_Data!G417="","Region missing; ","")&amp;IF(Raw_Data!H417="","Spend imputed; ","")&amp;IF(Raw_Data!L417="","Revenue imputed; ","")&amp;IF(Raw_Data!J417&lt;0,"Clicks corrected; ",""))</f>
        <v/>
      </c>
    </row>
    <row r="418" customFormat="false" ht="15" hidden="false" customHeight="true" outlineLevel="0" collapsed="false">
      <c r="A418" s="11" t="n">
        <f aca="false">Raw_Data!A418</f>
        <v>1750</v>
      </c>
      <c r="B418" s="11" t="str">
        <f aca="false">PROPER(TRIM(Raw_Data!B418))</f>
        <v>Summer Glow Launch</v>
      </c>
      <c r="C418" s="11" t="str">
        <f aca="false">IFERROR(INDEX(Lookup_Tables!$B$2:$B$26,MATCH(UPPER(TRIM(Raw_Data!C418)),Lookup_Tables!$C$2:$C$26,0)),"Unknown")</f>
        <v>YouTube</v>
      </c>
      <c r="D418" s="12" t="n">
        <f aca="false">IFERROR(IF(ISNUMBER(SEARCH("/",Raw_Data!D418)),DATE(VALUE(RIGHT(Raw_Data!D418,4)),VALUE(MID(Raw_Data!D418,FIND("/",Raw_Data!D418)+1,FIND("/",Raw_Data!D418,FIND("/",Raw_Data!D418)+1)-FIND("/",Raw_Data!D418)-1)),VALUE(LEFT(Raw_Data!D418,FIND("/",Raw_Data!D418)-1))),IF(ISNUMBER(VALUE(LEFT(Raw_Data!D418,4))),DATE(VALUE(LEFT(Raw_Data!D418,4)),VALUE(MID(Raw_Data!D418,6,2)),VALUE(MID(Raw_Data!D418,9,2))),DATEVALUE(Raw_Data!D418))),"")</f>
        <v>45617</v>
      </c>
      <c r="E418" s="12" t="n">
        <f aca="false">IFERROR(IF(ISNUMBER(SEARCH("/",Raw_Data!E418)),DATE(VALUE(RIGHT(Raw_Data!E418,4)),VALUE(MID(Raw_Data!E418,FIND("/",Raw_Data!E418)+1,FIND("/",Raw_Data!E418,FIND("/",Raw_Data!E418)+1)-FIND("/",Raw_Data!E418)-1)),VALUE(LEFT(Raw_Data!E418,FIND("/",Raw_Data!E418)-1))),IF(ISNUMBER(VALUE(LEFT(Raw_Data!E418,4))),DATE(VALUE(LEFT(Raw_Data!E418,4)),VALUE(MID(Raw_Data!E418,6,2)),VALUE(MID(Raw_Data!E418,9,2))),DATEVALUE(Raw_Data!E418))),"")</f>
        <v>45639</v>
      </c>
      <c r="F418" s="11" t="str">
        <f aca="false">Raw_Data!F418</f>
        <v>Male 35-44</v>
      </c>
      <c r="G418" s="11" t="str">
        <f aca="false">IF(TRIM(Raw_Data!G418)="","Unspecified",IFERROR(INDEX(Lookup_Tables!$F$2:$F$24,MATCH(UPPER(TRIM(Raw_Data!G418)),Lookup_Tables!$G$2:$G$24,0)),"Unknown"))</f>
        <v>West</v>
      </c>
      <c r="H418" s="11" t="n">
        <f aca="false">IF(Raw_Data!H418="",ROUND(AVERAGEIFS(Raw_Data!$H$2:$H$839,Raw_Data!$C$2:$C$839,Raw_Data!C418),2),Raw_Data!H418)</f>
        <v>46396.84</v>
      </c>
      <c r="I418" s="11" t="n">
        <f aca="false">Raw_Data!I418</f>
        <v>734852</v>
      </c>
      <c r="J418" s="11" t="n">
        <f aca="false">IF(Raw_Data!J418&lt;0,ABS(Raw_Data!J418),Raw_Data!J418)</f>
        <v>13292</v>
      </c>
      <c r="K418" s="11" t="n">
        <f aca="false">Raw_Data!K418</f>
        <v>786</v>
      </c>
      <c r="L418" s="11" t="n">
        <f aca="false">IF(Raw_Data!L418="",ROUND(AVERAGEIFS(Raw_Data!$L$2:$L$839,Raw_Data!$C$2:$C$839,Raw_Data!C418),2),Raw_Data!L418)</f>
        <v>351389.87</v>
      </c>
      <c r="M418" s="13" t="n">
        <f aca="false">IFERROR(J418/I418,0)</f>
        <v>0.0180879959502049</v>
      </c>
      <c r="N418" s="14" t="n">
        <f aca="false">IFERROR(H418/J418,0)</f>
        <v>3.49058380981041</v>
      </c>
      <c r="O418" s="14" t="n">
        <f aca="false">IFERROR(H418/K418,0)</f>
        <v>59.029058524173</v>
      </c>
      <c r="P418" s="15" t="n">
        <f aca="false">IFERROR(L418/H418,0)</f>
        <v>7.57357332956296</v>
      </c>
      <c r="Q418" s="13" t="n">
        <f aca="false">IFERROR(K418/J418,0)</f>
        <v>0.0591333132711405</v>
      </c>
      <c r="R418" s="11" t="str">
        <f aca="false">IF(COUNTIF($A$2:A418,A418)&gt;1,"Duplicate - Remove","Unique")</f>
        <v>Unique</v>
      </c>
      <c r="S418" s="11" t="str">
        <f aca="false">TRIM(IF(Raw_Data!G418="","Region missing; ","")&amp;IF(Raw_Data!H418="","Spend imputed; ","")&amp;IF(Raw_Data!L418="","Revenue imputed; ","")&amp;IF(Raw_Data!J418&lt;0,"Clicks corrected; ",""))</f>
        <v/>
      </c>
    </row>
    <row r="419" customFormat="false" ht="15" hidden="false" customHeight="true" outlineLevel="0" collapsed="false">
      <c r="A419" s="11" t="n">
        <f aca="false">Raw_Data!A419</f>
        <v>1288</v>
      </c>
      <c r="B419" s="11" t="str">
        <f aca="false">PROPER(TRIM(Raw_Data!B419))</f>
        <v>New Year Wellness</v>
      </c>
      <c r="C419" s="11" t="str">
        <f aca="false">IFERROR(INDEX(Lookup_Tables!$B$2:$B$26,MATCH(UPPER(TRIM(Raw_Data!C419)),Lookup_Tables!$C$2:$C$26,0)),"Unknown")</f>
        <v>Email</v>
      </c>
      <c r="D419" s="12" t="n">
        <f aca="false">IFERROR(IF(ISNUMBER(SEARCH("/",Raw_Data!D419)),DATE(VALUE(RIGHT(Raw_Data!D419,4)),VALUE(MID(Raw_Data!D419,FIND("/",Raw_Data!D419)+1,FIND("/",Raw_Data!D419,FIND("/",Raw_Data!D419)+1)-FIND("/",Raw_Data!D419)-1)),VALUE(LEFT(Raw_Data!D419,FIND("/",Raw_Data!D419)-1))),IF(ISNUMBER(VALUE(LEFT(Raw_Data!D419,4))),DATE(VALUE(LEFT(Raw_Data!D419,4)),VALUE(MID(Raw_Data!D419,6,2)),VALUE(MID(Raw_Data!D419,9,2))),DATEVALUE(Raw_Data!D419))),"")</f>
        <v>45519</v>
      </c>
      <c r="E419" s="12" t="n">
        <f aca="false">IFERROR(IF(ISNUMBER(SEARCH("/",Raw_Data!E419)),DATE(VALUE(RIGHT(Raw_Data!E419,4)),VALUE(MID(Raw_Data!E419,FIND("/",Raw_Data!E419)+1,FIND("/",Raw_Data!E419,FIND("/",Raw_Data!E419)+1)-FIND("/",Raw_Data!E419)-1)),VALUE(LEFT(Raw_Data!E419,FIND("/",Raw_Data!E419)-1))),IF(ISNUMBER(VALUE(LEFT(Raw_Data!E419,4))),DATE(VALUE(LEFT(Raw_Data!E419,4)),VALUE(MID(Raw_Data!E419,6,2)),VALUE(MID(Raw_Data!E419,9,2))),DATEVALUE(Raw_Data!E419))),"")</f>
        <v>45540</v>
      </c>
      <c r="F419" s="11" t="str">
        <f aca="false">Raw_Data!F419</f>
        <v>Female 25-34</v>
      </c>
      <c r="G419" s="11" t="str">
        <f aca="false">IF(TRIM(Raw_Data!G419)="","Unspecified",IFERROR(INDEX(Lookup_Tables!$F$2:$F$24,MATCH(UPPER(TRIM(Raw_Data!G419)),Lookup_Tables!$G$2:$G$24,0)),"Unknown"))</f>
        <v>East</v>
      </c>
      <c r="H419" s="11" t="n">
        <f aca="false">IF(Raw_Data!H419="",ROUND(AVERAGEIFS(Raw_Data!$H$2:$H$839,Raw_Data!$C$2:$C$839,Raw_Data!C419),2),Raw_Data!H419)</f>
        <v>6593.18</v>
      </c>
      <c r="I419" s="11" t="n">
        <f aca="false">Raw_Data!I419</f>
        <v>248061</v>
      </c>
      <c r="J419" s="11" t="n">
        <f aca="false">IF(Raw_Data!J419&lt;0,ABS(Raw_Data!J419),Raw_Data!J419)</f>
        <v>2386</v>
      </c>
      <c r="K419" s="11" t="n">
        <f aca="false">Raw_Data!K419</f>
        <v>80</v>
      </c>
      <c r="L419" s="11" t="n">
        <f aca="false">IF(Raw_Data!L419="",ROUND(AVERAGEIFS(Raw_Data!$L$2:$L$839,Raw_Data!$C$2:$C$839,Raw_Data!C419),2),Raw_Data!L419)</f>
        <v>84082.75</v>
      </c>
      <c r="M419" s="13" t="n">
        <f aca="false">IFERROR(J419/I419,0)</f>
        <v>0.00961860187615143</v>
      </c>
      <c r="N419" s="14" t="n">
        <f aca="false">IFERROR(H419/J419,0)</f>
        <v>2.76327745180218</v>
      </c>
      <c r="O419" s="14" t="n">
        <f aca="false">IFERROR(H419/K419,0)</f>
        <v>82.41475</v>
      </c>
      <c r="P419" s="15" t="n">
        <f aca="false">IFERROR(L419/H419,0)</f>
        <v>12.7529886943781</v>
      </c>
      <c r="Q419" s="13" t="n">
        <f aca="false">IFERROR(K419/J419,0)</f>
        <v>0.0335289186923722</v>
      </c>
      <c r="R419" s="11" t="str">
        <f aca="false">IF(COUNTIF($A$2:A419,A419)&gt;1,"Duplicate - Remove","Unique")</f>
        <v>Unique</v>
      </c>
      <c r="S419" s="11" t="str">
        <f aca="false">TRIM(IF(Raw_Data!G419="","Region missing; ","")&amp;IF(Raw_Data!H419="","Spend imputed; ","")&amp;IF(Raw_Data!L419="","Revenue imputed; ","")&amp;IF(Raw_Data!J419&lt;0,"Clicks corrected; ",""))</f>
        <v/>
      </c>
    </row>
    <row r="420" customFormat="false" ht="15" hidden="false" customHeight="true" outlineLevel="0" collapsed="false">
      <c r="A420" s="11" t="n">
        <f aca="false">Raw_Data!A420</f>
        <v>1449</v>
      </c>
      <c r="B420" s="11" t="str">
        <f aca="false">PROPER(TRIM(Raw_Data!B420))</f>
        <v>Wedding Season Special</v>
      </c>
      <c r="C420" s="11" t="str">
        <f aca="false">IFERROR(INDEX(Lookup_Tables!$B$2:$B$26,MATCH(UPPER(TRIM(Raw_Data!C420)),Lookup_Tables!$C$2:$C$26,0)),"Unknown")</f>
        <v>Instagram</v>
      </c>
      <c r="D420" s="12" t="n">
        <f aca="false">IFERROR(IF(ISNUMBER(SEARCH("/",Raw_Data!D420)),DATE(VALUE(RIGHT(Raw_Data!D420,4)),VALUE(MID(Raw_Data!D420,FIND("/",Raw_Data!D420)+1,FIND("/",Raw_Data!D420,FIND("/",Raw_Data!D420)+1)-FIND("/",Raw_Data!D420)-1)),VALUE(LEFT(Raw_Data!D420,FIND("/",Raw_Data!D420)-1))),IF(ISNUMBER(VALUE(LEFT(Raw_Data!D420,4))),DATE(VALUE(LEFT(Raw_Data!D420,4)),VALUE(MID(Raw_Data!D420,6,2)),VALUE(MID(Raw_Data!D420,9,2))),DATEVALUE(Raw_Data!D420))),"")</f>
        <v>45592</v>
      </c>
      <c r="E420" s="12" t="n">
        <f aca="false">IFERROR(IF(ISNUMBER(SEARCH("/",Raw_Data!E420)),DATE(VALUE(RIGHT(Raw_Data!E420,4)),VALUE(MID(Raw_Data!E420,FIND("/",Raw_Data!E420)+1,FIND("/",Raw_Data!E420,FIND("/",Raw_Data!E420)+1)-FIND("/",Raw_Data!E420)-1)),VALUE(LEFT(Raw_Data!E420,FIND("/",Raw_Data!E420)-1))),IF(ISNUMBER(VALUE(LEFT(Raw_Data!E420,4))),DATE(VALUE(LEFT(Raw_Data!E420,4)),VALUE(MID(Raw_Data!E420,6,2)),VALUE(MID(Raw_Data!E420,9,2))),DATEVALUE(Raw_Data!E420))),"")</f>
        <v>45606</v>
      </c>
      <c r="F420" s="11" t="str">
        <f aca="false">Raw_Data!F420</f>
        <v>Female 45+</v>
      </c>
      <c r="G420" s="11" t="str">
        <f aca="false">IF(TRIM(Raw_Data!G420)="","Unspecified",IFERROR(INDEX(Lookup_Tables!$F$2:$F$24,MATCH(UPPER(TRIM(Raw_Data!G420)),Lookup_Tables!$G$2:$G$24,0)),"Unknown"))</f>
        <v>West</v>
      </c>
      <c r="H420" s="11" t="n">
        <f aca="false">IF(Raw_Data!H420="",ROUND(AVERAGEIFS(Raw_Data!$H$2:$H$839,Raw_Data!$C$2:$C$839,Raw_Data!C420),2),Raw_Data!H420)</f>
        <v>29403.67</v>
      </c>
      <c r="I420" s="11" t="n">
        <f aca="false">Raw_Data!I420</f>
        <v>1085289</v>
      </c>
      <c r="J420" s="11" t="n">
        <f aca="false">IF(Raw_Data!J420&lt;0,ABS(Raw_Data!J420),Raw_Data!J420)</f>
        <v>29117</v>
      </c>
      <c r="K420" s="11" t="n">
        <f aca="false">Raw_Data!K420</f>
        <v>472</v>
      </c>
      <c r="L420" s="11" t="n">
        <f aca="false">IF(Raw_Data!L420="",ROUND(AVERAGEIFS(Raw_Data!$L$2:$L$839,Raw_Data!$C$2:$C$839,Raw_Data!C420),2),Raw_Data!L420)</f>
        <v>600601.76</v>
      </c>
      <c r="M420" s="13" t="n">
        <f aca="false">IFERROR(J420/I420,0)</f>
        <v>0.0268287985965029</v>
      </c>
      <c r="N420" s="14" t="n">
        <f aca="false">IFERROR(H420/J420,0)</f>
        <v>1.00984545111103</v>
      </c>
      <c r="O420" s="14" t="n">
        <f aca="false">IFERROR(H420/K420,0)</f>
        <v>62.2959110169492</v>
      </c>
      <c r="P420" s="15" t="n">
        <f aca="false">IFERROR(L420/H420,0)</f>
        <v>20.4260815061521</v>
      </c>
      <c r="Q420" s="13" t="n">
        <f aca="false">IFERROR(K420/J420,0)</f>
        <v>0.0162104612425731</v>
      </c>
      <c r="R420" s="11" t="str">
        <f aca="false">IF(COUNTIF($A$2:A420,A420)&gt;1,"Duplicate - Remove","Unique")</f>
        <v>Unique</v>
      </c>
      <c r="S420" s="11" t="str">
        <f aca="false">TRIM(IF(Raw_Data!G420="","Region missing; ","")&amp;IF(Raw_Data!H420="","Spend imputed; ","")&amp;IF(Raw_Data!L420="","Revenue imputed; ","")&amp;IF(Raw_Data!J420&lt;0,"Clicks corrected; ",""))</f>
        <v/>
      </c>
    </row>
    <row r="421" customFormat="false" ht="15" hidden="false" customHeight="true" outlineLevel="0" collapsed="false">
      <c r="A421" s="11" t="n">
        <f aca="false">Raw_Data!A421</f>
        <v>1218</v>
      </c>
      <c r="B421" s="11" t="str">
        <f aca="false">PROPER(TRIM(Raw_Data!B421))</f>
        <v>Sunscreen Season Campaign</v>
      </c>
      <c r="C421" s="11" t="str">
        <f aca="false">IFERROR(INDEX(Lookup_Tables!$B$2:$B$26,MATCH(UPPER(TRIM(Raw_Data!C421)),Lookup_Tables!$C$2:$C$26,0)),"Unknown")</f>
        <v>Email</v>
      </c>
      <c r="D421" s="12" t="n">
        <f aca="false">IFERROR(IF(ISNUMBER(SEARCH("/",Raw_Data!D421)),DATE(VALUE(RIGHT(Raw_Data!D421,4)),VALUE(MID(Raw_Data!D421,FIND("/",Raw_Data!D421)+1,FIND("/",Raw_Data!D421,FIND("/",Raw_Data!D421)+1)-FIND("/",Raw_Data!D421)-1)),VALUE(LEFT(Raw_Data!D421,FIND("/",Raw_Data!D421)-1))),IF(ISNUMBER(VALUE(LEFT(Raw_Data!D421,4))),DATE(VALUE(LEFT(Raw_Data!D421,4)),VALUE(MID(Raw_Data!D421,6,2)),VALUE(MID(Raw_Data!D421,9,2))),DATEVALUE(Raw_Data!D421))),"")</f>
        <v>45435</v>
      </c>
      <c r="E421" s="12" t="n">
        <f aca="false">IFERROR(IF(ISNUMBER(SEARCH("/",Raw_Data!E421)),DATE(VALUE(RIGHT(Raw_Data!E421,4)),VALUE(MID(Raw_Data!E421,FIND("/",Raw_Data!E421)+1,FIND("/",Raw_Data!E421,FIND("/",Raw_Data!E421)+1)-FIND("/",Raw_Data!E421)-1)),VALUE(LEFT(Raw_Data!E421,FIND("/",Raw_Data!E421)-1))),IF(ISNUMBER(VALUE(LEFT(Raw_Data!E421,4))),DATE(VALUE(LEFT(Raw_Data!E421,4)),VALUE(MID(Raw_Data!E421,6,2)),VALUE(MID(Raw_Data!E421,9,2))),DATEVALUE(Raw_Data!E421))),"")</f>
        <v>45444</v>
      </c>
      <c r="F421" s="11" t="str">
        <f aca="false">Raw_Data!F421</f>
        <v>Female 25-34</v>
      </c>
      <c r="G421" s="11" t="str">
        <f aca="false">IF(TRIM(Raw_Data!G421)="","Unspecified",IFERROR(INDEX(Lookup_Tables!$F$2:$F$24,MATCH(UPPER(TRIM(Raw_Data!G421)),Lookup_Tables!$G$2:$G$24,0)),"Unknown"))</f>
        <v>Central</v>
      </c>
      <c r="H421" s="11" t="n">
        <f aca="false">IF(Raw_Data!H421="",ROUND(AVERAGEIFS(Raw_Data!$H$2:$H$839,Raw_Data!$C$2:$C$839,Raw_Data!C421),2),Raw_Data!H421)</f>
        <v>2375.02</v>
      </c>
      <c r="I421" s="11" t="n">
        <f aca="false">Raw_Data!I421</f>
        <v>79179</v>
      </c>
      <c r="J421" s="11" t="n">
        <f aca="false">IF(Raw_Data!J421&lt;0,ABS(Raw_Data!J421),Raw_Data!J421)</f>
        <v>1884</v>
      </c>
      <c r="K421" s="11" t="n">
        <f aca="false">Raw_Data!K421</f>
        <v>114</v>
      </c>
      <c r="L421" s="11" t="n">
        <f aca="false">IF(Raw_Data!L421="",ROUND(AVERAGEIFS(Raw_Data!$L$2:$L$839,Raw_Data!$C$2:$C$839,Raw_Data!C421),2),Raw_Data!L421)</f>
        <v>187364.99</v>
      </c>
      <c r="M421" s="13" t="n">
        <f aca="false">IFERROR(J421/I421,0)</f>
        <v>0.0237941878528398</v>
      </c>
      <c r="N421" s="14" t="n">
        <f aca="false">IFERROR(H421/J421,0)</f>
        <v>1.26062632696391</v>
      </c>
      <c r="O421" s="14" t="n">
        <f aca="false">IFERROR(H421/K421,0)</f>
        <v>20.8335087719298</v>
      </c>
      <c r="P421" s="15" t="n">
        <f aca="false">IFERROR(L421/H421,0)</f>
        <v>78.8898577696188</v>
      </c>
      <c r="Q421" s="13" t="n">
        <f aca="false">IFERROR(K421/J421,0)</f>
        <v>0.0605095541401274</v>
      </c>
      <c r="R421" s="11" t="str">
        <f aca="false">IF(COUNTIF($A$2:A421,A421)&gt;1,"Duplicate - Remove","Unique")</f>
        <v>Unique</v>
      </c>
      <c r="S421" s="11" t="str">
        <f aca="false">TRIM(IF(Raw_Data!G421="","Region missing; ","")&amp;IF(Raw_Data!H421="","Spend imputed; ","")&amp;IF(Raw_Data!L421="","Revenue imputed; ","")&amp;IF(Raw_Data!J421&lt;0,"Clicks corrected; ",""))</f>
        <v/>
      </c>
    </row>
    <row r="422" customFormat="false" ht="15" hidden="false" customHeight="true" outlineLevel="0" collapsed="false">
      <c r="A422" s="11" t="n">
        <f aca="false">Raw_Data!A422</f>
        <v>1755</v>
      </c>
      <c r="B422" s="11" t="str">
        <f aca="false">PROPER(TRIM(Raw_Data!B422))</f>
        <v>Ayurvedic Range Launch</v>
      </c>
      <c r="C422" s="11" t="str">
        <f aca="false">IFERROR(INDEX(Lookup_Tables!$B$2:$B$26,MATCH(UPPER(TRIM(Raw_Data!C422)),Lookup_Tables!$C$2:$C$26,0)),"Unknown")</f>
        <v>YouTube</v>
      </c>
      <c r="D422" s="12" t="n">
        <f aca="false">IFERROR(IF(ISNUMBER(SEARCH("/",Raw_Data!D422)),DATE(VALUE(RIGHT(Raw_Data!D422,4)),VALUE(MID(Raw_Data!D422,FIND("/",Raw_Data!D422)+1,FIND("/",Raw_Data!D422,FIND("/",Raw_Data!D422)+1)-FIND("/",Raw_Data!D422)-1)),VALUE(LEFT(Raw_Data!D422,FIND("/",Raw_Data!D422)-1))),IF(ISNUMBER(VALUE(LEFT(Raw_Data!D422,4))),DATE(VALUE(LEFT(Raw_Data!D422,4)),VALUE(MID(Raw_Data!D422,6,2)),VALUE(MID(Raw_Data!D422,9,2))),DATEVALUE(Raw_Data!D422))),"")</f>
        <v>45330</v>
      </c>
      <c r="E422" s="12" t="n">
        <f aca="false">IFERROR(IF(ISNUMBER(SEARCH("/",Raw_Data!E422)),DATE(VALUE(RIGHT(Raw_Data!E422,4)),VALUE(MID(Raw_Data!E422,FIND("/",Raw_Data!E422)+1,FIND("/",Raw_Data!E422,FIND("/",Raw_Data!E422)+1)-FIND("/",Raw_Data!E422)-1)),VALUE(LEFT(Raw_Data!E422,FIND("/",Raw_Data!E422)-1))),IF(ISNUMBER(VALUE(LEFT(Raw_Data!E422,4))),DATE(VALUE(LEFT(Raw_Data!E422,4)),VALUE(MID(Raw_Data!E422,6,2)),VALUE(MID(Raw_Data!E422,9,2))),DATEVALUE(Raw_Data!E422))),"")</f>
        <v>45348</v>
      </c>
      <c r="F422" s="11" t="str">
        <f aca="false">Raw_Data!F422</f>
        <v>Male 45+</v>
      </c>
      <c r="G422" s="11" t="str">
        <f aca="false">IF(TRIM(Raw_Data!G422)="","Unspecified",IFERROR(INDEX(Lookup_Tables!$F$2:$F$24,MATCH(UPPER(TRIM(Raw_Data!G422)),Lookup_Tables!$G$2:$G$24,0)),"Unknown"))</f>
        <v>South</v>
      </c>
      <c r="H422" s="11" t="n">
        <f aca="false">IF(Raw_Data!H422="",ROUND(AVERAGEIFS(Raw_Data!$H$2:$H$839,Raw_Data!$C$2:$C$839,Raw_Data!C422),2),Raw_Data!H422)</f>
        <v>17318.55</v>
      </c>
      <c r="I422" s="11" t="n">
        <f aca="false">Raw_Data!I422</f>
        <v>288498</v>
      </c>
      <c r="J422" s="11" t="n">
        <f aca="false">IF(Raw_Data!J422&lt;0,ABS(Raw_Data!J422),Raw_Data!J422)</f>
        <v>2176</v>
      </c>
      <c r="K422" s="11" t="n">
        <f aca="false">Raw_Data!K422</f>
        <v>157</v>
      </c>
      <c r="L422" s="11" t="n">
        <f aca="false">IF(Raw_Data!L422="",ROUND(AVERAGEIFS(Raw_Data!$L$2:$L$839,Raw_Data!$C$2:$C$839,Raw_Data!C422),2),Raw_Data!L422)</f>
        <v>88087.6</v>
      </c>
      <c r="M422" s="13" t="n">
        <f aca="false">IFERROR(J422/I422,0)</f>
        <v>0.00754251329298643</v>
      </c>
      <c r="N422" s="14" t="n">
        <f aca="false">IFERROR(H422/J422,0)</f>
        <v>7.95889246323529</v>
      </c>
      <c r="O422" s="14" t="n">
        <f aca="false">IFERROR(H422/K422,0)</f>
        <v>110.30923566879</v>
      </c>
      <c r="P422" s="15" t="n">
        <f aca="false">IFERROR(L422/H422,0)</f>
        <v>5.08631496285775</v>
      </c>
      <c r="Q422" s="13" t="n">
        <f aca="false">IFERROR(K422/J422,0)</f>
        <v>0.0721507352941176</v>
      </c>
      <c r="R422" s="11" t="str">
        <f aca="false">IF(COUNTIF($A$2:A422,A422)&gt;1,"Duplicate - Remove","Unique")</f>
        <v>Unique</v>
      </c>
      <c r="S422" s="11" t="str">
        <f aca="false">TRIM(IF(Raw_Data!G422="","Region missing; ","")&amp;IF(Raw_Data!H422="","Spend imputed; ","")&amp;IF(Raw_Data!L422="","Revenue imputed; ","")&amp;IF(Raw_Data!J422&lt;0,"Clicks corrected; ",""))</f>
        <v/>
      </c>
    </row>
    <row r="423" customFormat="false" ht="15" hidden="false" customHeight="true" outlineLevel="0" collapsed="false">
      <c r="A423" s="11" t="n">
        <f aca="false">Raw_Data!A423</f>
        <v>1818</v>
      </c>
      <c r="B423" s="11" t="str">
        <f aca="false">PROPER(TRIM(Raw_Data!B423))</f>
        <v>New Year Wellness</v>
      </c>
      <c r="C423" s="11" t="str">
        <f aca="false">IFERROR(INDEX(Lookup_Tables!$B$2:$B$26,MATCH(UPPER(TRIM(Raw_Data!C423)),Lookup_Tables!$C$2:$C$26,0)),"Unknown")</f>
        <v>Facebook</v>
      </c>
      <c r="D423" s="12" t="n">
        <f aca="false">IFERROR(IF(ISNUMBER(SEARCH("/",Raw_Data!D423)),DATE(VALUE(RIGHT(Raw_Data!D423,4)),VALUE(MID(Raw_Data!D423,FIND("/",Raw_Data!D423)+1,FIND("/",Raw_Data!D423,FIND("/",Raw_Data!D423)+1)-FIND("/",Raw_Data!D423)-1)),VALUE(LEFT(Raw_Data!D423,FIND("/",Raw_Data!D423)-1))),IF(ISNUMBER(VALUE(LEFT(Raw_Data!D423,4))),DATE(VALUE(LEFT(Raw_Data!D423,4)),VALUE(MID(Raw_Data!D423,6,2)),VALUE(MID(Raw_Data!D423,9,2))),DATEVALUE(Raw_Data!D423))),"")</f>
        <v>45356</v>
      </c>
      <c r="E423" s="12" t="n">
        <f aca="false">IFERROR(IF(ISNUMBER(SEARCH("/",Raw_Data!E423)),DATE(VALUE(RIGHT(Raw_Data!E423,4)),VALUE(MID(Raw_Data!E423,FIND("/",Raw_Data!E423)+1,FIND("/",Raw_Data!E423,FIND("/",Raw_Data!E423)+1)-FIND("/",Raw_Data!E423)-1)),VALUE(LEFT(Raw_Data!E423,FIND("/",Raw_Data!E423)-1))),IF(ISNUMBER(VALUE(LEFT(Raw_Data!E423,4))),DATE(VALUE(LEFT(Raw_Data!E423,4)),VALUE(MID(Raw_Data!E423,6,2)),VALUE(MID(Raw_Data!E423,9,2))),DATEVALUE(Raw_Data!E423))),"")</f>
        <v>45362</v>
      </c>
      <c r="F423" s="11" t="str">
        <f aca="false">Raw_Data!F423</f>
        <v>Female 25-34</v>
      </c>
      <c r="G423" s="11" t="str">
        <f aca="false">IF(TRIM(Raw_Data!G423)="","Unspecified",IFERROR(INDEX(Lookup_Tables!$F$2:$F$24,MATCH(UPPER(TRIM(Raw_Data!G423)),Lookup_Tables!$G$2:$G$24,0)),"Unknown"))</f>
        <v>Central</v>
      </c>
      <c r="H423" s="11" t="n">
        <f aca="false">IF(Raw_Data!H423="",ROUND(AVERAGEIFS(Raw_Data!$H$2:$H$839,Raw_Data!$C$2:$C$839,Raw_Data!C423),2),Raw_Data!H423)</f>
        <v>38428.16</v>
      </c>
      <c r="I423" s="11" t="n">
        <f aca="false">Raw_Data!I423</f>
        <v>1088999</v>
      </c>
      <c r="J423" s="11" t="n">
        <f aca="false">IF(Raw_Data!J423&lt;0,ABS(Raw_Data!J423),Raw_Data!J423)</f>
        <v>33448</v>
      </c>
      <c r="K423" s="11" t="n">
        <f aca="false">Raw_Data!K423</f>
        <v>1645</v>
      </c>
      <c r="L423" s="11" t="n">
        <f aca="false">IF(Raw_Data!L423="",ROUND(AVERAGEIFS(Raw_Data!$L$2:$L$839,Raw_Data!$C$2:$C$839,Raw_Data!C423),2),Raw_Data!L423)</f>
        <v>1516986.47</v>
      </c>
      <c r="M423" s="13" t="n">
        <f aca="false">IFERROR(J423/I423,0)</f>
        <v>0.0307144451005006</v>
      </c>
      <c r="N423" s="14" t="n">
        <f aca="false">IFERROR(H423/J423,0)</f>
        <v>1.14889260942358</v>
      </c>
      <c r="O423" s="14" t="n">
        <f aca="false">IFERROR(H423/K423,0)</f>
        <v>23.3605835866261</v>
      </c>
      <c r="P423" s="15" t="n">
        <f aca="false">IFERROR(L423/H423,0)</f>
        <v>39.4759069911232</v>
      </c>
      <c r="Q423" s="13" t="n">
        <f aca="false">IFERROR(K423/J423,0)</f>
        <v>0.0491808179861277</v>
      </c>
      <c r="R423" s="11" t="str">
        <f aca="false">IF(COUNTIF($A$2:A423,A423)&gt;1,"Duplicate - Remove","Unique")</f>
        <v>Unique</v>
      </c>
      <c r="S423" s="11" t="str">
        <f aca="false">TRIM(IF(Raw_Data!G423="","Region missing; ","")&amp;IF(Raw_Data!H423="","Spend imputed; ","")&amp;IF(Raw_Data!L423="","Revenue imputed; ","")&amp;IF(Raw_Data!J423&lt;0,"Clicks corrected; ",""))</f>
        <v/>
      </c>
    </row>
    <row r="424" customFormat="false" ht="15" hidden="false" customHeight="true" outlineLevel="0" collapsed="false">
      <c r="A424" s="11" t="n">
        <f aca="false">Raw_Data!A424</f>
        <v>1672</v>
      </c>
      <c r="B424" s="11" t="str">
        <f aca="false">PROPER(TRIM(Raw_Data!B424))</f>
        <v>Summer Glow Launch</v>
      </c>
      <c r="C424" s="11" t="str">
        <f aca="false">IFERROR(INDEX(Lookup_Tables!$B$2:$B$26,MATCH(UPPER(TRIM(Raw_Data!C424)),Lookup_Tables!$C$2:$C$26,0)),"Unknown")</f>
        <v>Google Ads</v>
      </c>
      <c r="D424" s="12" t="n">
        <f aca="false">IFERROR(IF(ISNUMBER(SEARCH("/",Raw_Data!D424)),DATE(VALUE(RIGHT(Raw_Data!D424,4)),VALUE(MID(Raw_Data!D424,FIND("/",Raw_Data!D424)+1,FIND("/",Raw_Data!D424,FIND("/",Raw_Data!D424)+1)-FIND("/",Raw_Data!D424)-1)),VALUE(LEFT(Raw_Data!D424,FIND("/",Raw_Data!D424)-1))),IF(ISNUMBER(VALUE(LEFT(Raw_Data!D424,4))),DATE(VALUE(LEFT(Raw_Data!D424,4)),VALUE(MID(Raw_Data!D424,6,2)),VALUE(MID(Raw_Data!D424,9,2))),DATEVALUE(Raw_Data!D424))),"")</f>
        <v>45541</v>
      </c>
      <c r="E424" s="12" t="n">
        <f aca="false">IFERROR(IF(ISNUMBER(SEARCH("/",Raw_Data!E424)),DATE(VALUE(RIGHT(Raw_Data!E424,4)),VALUE(MID(Raw_Data!E424,FIND("/",Raw_Data!E424)+1,FIND("/",Raw_Data!E424,FIND("/",Raw_Data!E424)+1)-FIND("/",Raw_Data!E424)-1)),VALUE(LEFT(Raw_Data!E424,FIND("/",Raw_Data!E424)-1))),IF(ISNUMBER(VALUE(LEFT(Raw_Data!E424,4))),DATE(VALUE(LEFT(Raw_Data!E424,4)),VALUE(MID(Raw_Data!E424,6,2)),VALUE(MID(Raw_Data!E424,9,2))),DATEVALUE(Raw_Data!E424))),"")</f>
        <v>45570</v>
      </c>
      <c r="F424" s="11" t="str">
        <f aca="false">Raw_Data!F424</f>
        <v>Female 35-44</v>
      </c>
      <c r="G424" s="11" t="str">
        <f aca="false">IF(TRIM(Raw_Data!G424)="","Unspecified",IFERROR(INDEX(Lookup_Tables!$F$2:$F$24,MATCH(UPPER(TRIM(Raw_Data!G424)),Lookup_Tables!$G$2:$G$24,0)),"Unknown"))</f>
        <v>North</v>
      </c>
      <c r="H424" s="11" t="n">
        <f aca="false">IF(Raw_Data!H424="",ROUND(AVERAGEIFS(Raw_Data!$H$2:$H$839,Raw_Data!$C$2:$C$839,Raw_Data!C424),2),Raw_Data!H424)</f>
        <v>25724.34</v>
      </c>
      <c r="I424" s="11" t="n">
        <f aca="false">Raw_Data!I424</f>
        <v>452137</v>
      </c>
      <c r="J424" s="11" t="n">
        <f aca="false">IF(Raw_Data!J424&lt;0,ABS(Raw_Data!J424),Raw_Data!J424)</f>
        <v>15792</v>
      </c>
      <c r="K424" s="11" t="n">
        <f aca="false">Raw_Data!K424</f>
        <v>824</v>
      </c>
      <c r="L424" s="11" t="n">
        <f aca="false">IF(Raw_Data!L424="",ROUND(AVERAGEIFS(Raw_Data!$L$2:$L$839,Raw_Data!$C$2:$C$839,Raw_Data!C424),2),Raw_Data!L424)</f>
        <v>1004141.33</v>
      </c>
      <c r="M424" s="13" t="n">
        <f aca="false">IFERROR(J424/I424,0)</f>
        <v>0.0349274666749238</v>
      </c>
      <c r="N424" s="14" t="n">
        <f aca="false">IFERROR(H424/J424,0)</f>
        <v>1.62894756838906</v>
      </c>
      <c r="O424" s="14" t="n">
        <f aca="false">IFERROR(H424/K424,0)</f>
        <v>31.218859223301</v>
      </c>
      <c r="P424" s="15" t="n">
        <f aca="false">IFERROR(L424/H424,0)</f>
        <v>39.0346780519928</v>
      </c>
      <c r="Q424" s="13" t="n">
        <f aca="false">IFERROR(K424/J424,0)</f>
        <v>0.0521783181357649</v>
      </c>
      <c r="R424" s="11" t="str">
        <f aca="false">IF(COUNTIF($A$2:A424,A424)&gt;1,"Duplicate - Remove","Unique")</f>
        <v>Unique</v>
      </c>
      <c r="S424" s="11" t="str">
        <f aca="false">TRIM(IF(Raw_Data!G424="","Region missing; ","")&amp;IF(Raw_Data!H424="","Spend imputed; ","")&amp;IF(Raw_Data!L424="","Revenue imputed; ","")&amp;IF(Raw_Data!J424&lt;0,"Clicks corrected; ",""))</f>
        <v/>
      </c>
    </row>
    <row r="425" customFormat="false" ht="15" hidden="false" customHeight="true" outlineLevel="0" collapsed="false">
      <c r="A425" s="11" t="n">
        <f aca="false">Raw_Data!A425</f>
        <v>1056</v>
      </c>
      <c r="B425" s="11" t="str">
        <f aca="false">PROPER(TRIM(Raw_Data!B425))</f>
        <v>Wedding Season Special</v>
      </c>
      <c r="C425" s="11" t="str">
        <f aca="false">IFERROR(INDEX(Lookup_Tables!$B$2:$B$26,MATCH(UPPER(TRIM(Raw_Data!C425)),Lookup_Tables!$C$2:$C$26,0)),"Unknown")</f>
        <v>Instagram</v>
      </c>
      <c r="D425" s="12" t="n">
        <f aca="false">IFERROR(IF(ISNUMBER(SEARCH("/",Raw_Data!D425)),DATE(VALUE(RIGHT(Raw_Data!D425,4)),VALUE(MID(Raw_Data!D425,FIND("/",Raw_Data!D425)+1,FIND("/",Raw_Data!D425,FIND("/",Raw_Data!D425)+1)-FIND("/",Raw_Data!D425)-1)),VALUE(LEFT(Raw_Data!D425,FIND("/",Raw_Data!D425)-1))),IF(ISNUMBER(VALUE(LEFT(Raw_Data!D425,4))),DATE(VALUE(LEFT(Raw_Data!D425,4)),VALUE(MID(Raw_Data!D425,6,2)),VALUE(MID(Raw_Data!D425,9,2))),DATEVALUE(Raw_Data!D425))),"")</f>
        <v>45504</v>
      </c>
      <c r="E425" s="12" t="n">
        <f aca="false">IFERROR(IF(ISNUMBER(SEARCH("/",Raw_Data!E425)),DATE(VALUE(RIGHT(Raw_Data!E425,4)),VALUE(MID(Raw_Data!E425,FIND("/",Raw_Data!E425)+1,FIND("/",Raw_Data!E425,FIND("/",Raw_Data!E425)+1)-FIND("/",Raw_Data!E425)-1)),VALUE(LEFT(Raw_Data!E425,FIND("/",Raw_Data!E425)-1))),IF(ISNUMBER(VALUE(LEFT(Raw_Data!E425,4))),DATE(VALUE(LEFT(Raw_Data!E425,4)),VALUE(MID(Raw_Data!E425,6,2)),VALUE(MID(Raw_Data!E425,9,2))),DATEVALUE(Raw_Data!E425))),"")</f>
        <v>45529</v>
      </c>
      <c r="F425" s="11" t="str">
        <f aca="false">Raw_Data!F425</f>
        <v>Female 35-44</v>
      </c>
      <c r="G425" s="11" t="str">
        <f aca="false">IF(TRIM(Raw_Data!G425)="","Unspecified",IFERROR(INDEX(Lookup_Tables!$F$2:$F$24,MATCH(UPPER(TRIM(Raw_Data!G425)),Lookup_Tables!$G$2:$G$24,0)),"Unknown"))</f>
        <v>East</v>
      </c>
      <c r="H425" s="11" t="n">
        <f aca="false">IF(Raw_Data!H425="",ROUND(AVERAGEIFS(Raw_Data!$H$2:$H$839,Raw_Data!$C$2:$C$839,Raw_Data!C425),2),Raw_Data!H425)</f>
        <v>51352.04</v>
      </c>
      <c r="I425" s="11" t="n">
        <f aca="false">Raw_Data!I425</f>
        <v>1560655</v>
      </c>
      <c r="J425" s="11" t="n">
        <f aca="false">IF(Raw_Data!J425&lt;0,ABS(Raw_Data!J425),Raw_Data!J425)</f>
        <v>51769</v>
      </c>
      <c r="K425" s="11" t="n">
        <f aca="false">Raw_Data!K425</f>
        <v>1531</v>
      </c>
      <c r="L425" s="11" t="n">
        <f aca="false">IF(Raw_Data!L425="",ROUND(AVERAGEIFS(Raw_Data!$L$2:$L$839,Raw_Data!$C$2:$C$839,Raw_Data!C425),2),Raw_Data!L425)</f>
        <v>2068238.56</v>
      </c>
      <c r="M425" s="13" t="n">
        <f aca="false">IFERROR(J425/I425,0)</f>
        <v>0.0331713287049348</v>
      </c>
      <c r="N425" s="14" t="n">
        <f aca="false">IFERROR(H425/J425,0)</f>
        <v>0.991945759044988</v>
      </c>
      <c r="O425" s="14" t="n">
        <f aca="false">IFERROR(H425/K425,0)</f>
        <v>33.5415022860875</v>
      </c>
      <c r="P425" s="15" t="n">
        <f aca="false">IFERROR(L425/H425,0)</f>
        <v>40.2756844713472</v>
      </c>
      <c r="Q425" s="13" t="n">
        <f aca="false">IFERROR(K425/J425,0)</f>
        <v>0.029573683092198</v>
      </c>
      <c r="R425" s="11" t="str">
        <f aca="false">IF(COUNTIF($A$2:A425,A425)&gt;1,"Duplicate - Remove","Unique")</f>
        <v>Unique</v>
      </c>
      <c r="S425" s="11" t="str">
        <f aca="false">TRIM(IF(Raw_Data!G425="","Region missing; ","")&amp;IF(Raw_Data!H425="","Spend imputed; ","")&amp;IF(Raw_Data!L425="","Revenue imputed; ","")&amp;IF(Raw_Data!J425&lt;0,"Clicks corrected; ",""))</f>
        <v/>
      </c>
    </row>
    <row r="426" customFormat="false" ht="15" hidden="false" customHeight="true" outlineLevel="0" collapsed="false">
      <c r="A426" s="11" t="n">
        <f aca="false">Raw_Data!A426</f>
        <v>1293</v>
      </c>
      <c r="B426" s="11" t="str">
        <f aca="false">PROPER(TRIM(Raw_Data!B426))</f>
        <v>Back To College Offer</v>
      </c>
      <c r="C426" s="11" t="str">
        <f aca="false">IFERROR(INDEX(Lookup_Tables!$B$2:$B$26,MATCH(UPPER(TRIM(Raw_Data!C426)),Lookup_Tables!$C$2:$C$26,0)),"Unknown")</f>
        <v>Facebook</v>
      </c>
      <c r="D426" s="12" t="n">
        <f aca="false">IFERROR(IF(ISNUMBER(SEARCH("/",Raw_Data!D426)),DATE(VALUE(RIGHT(Raw_Data!D426,4)),VALUE(MID(Raw_Data!D426,FIND("/",Raw_Data!D426)+1,FIND("/",Raw_Data!D426,FIND("/",Raw_Data!D426)+1)-FIND("/",Raw_Data!D426)-1)),VALUE(LEFT(Raw_Data!D426,FIND("/",Raw_Data!D426)-1))),IF(ISNUMBER(VALUE(LEFT(Raw_Data!D426,4))),DATE(VALUE(LEFT(Raw_Data!D426,4)),VALUE(MID(Raw_Data!D426,6,2)),VALUE(MID(Raw_Data!D426,9,2))),DATEVALUE(Raw_Data!D426))),"")</f>
        <v>45458</v>
      </c>
      <c r="E426" s="12" t="n">
        <f aca="false">IFERROR(IF(ISNUMBER(SEARCH("/",Raw_Data!E426)),DATE(VALUE(RIGHT(Raw_Data!E426,4)),VALUE(MID(Raw_Data!E426,FIND("/",Raw_Data!E426)+1,FIND("/",Raw_Data!E426,FIND("/",Raw_Data!E426)+1)-FIND("/",Raw_Data!E426)-1)),VALUE(LEFT(Raw_Data!E426,FIND("/",Raw_Data!E426)-1))),IF(ISNUMBER(VALUE(LEFT(Raw_Data!E426,4))),DATE(VALUE(LEFT(Raw_Data!E426,4)),VALUE(MID(Raw_Data!E426,6,2)),VALUE(MID(Raw_Data!E426,9,2))),DATEVALUE(Raw_Data!E426))),"")</f>
        <v>45477</v>
      </c>
      <c r="F426" s="11" t="str">
        <f aca="false">Raw_Data!F426</f>
        <v>Male 35-44</v>
      </c>
      <c r="G426" s="11" t="str">
        <f aca="false">IF(TRIM(Raw_Data!G426)="","Unspecified",IFERROR(INDEX(Lookup_Tables!$F$2:$F$24,MATCH(UPPER(TRIM(Raw_Data!G426)),Lookup_Tables!$G$2:$G$24,0)),"Unknown"))</f>
        <v>East</v>
      </c>
      <c r="H426" s="11" t="n">
        <f aca="false">IF(Raw_Data!H426="",ROUND(AVERAGEIFS(Raw_Data!$H$2:$H$839,Raw_Data!$C$2:$C$839,Raw_Data!C426),2),Raw_Data!H426)</f>
        <v>7331.62</v>
      </c>
      <c r="I426" s="11" t="n">
        <f aca="false">Raw_Data!I426</f>
        <v>197098</v>
      </c>
      <c r="J426" s="11" t="n">
        <f aca="false">IF(Raw_Data!J426&lt;0,ABS(Raw_Data!J426),Raw_Data!J426)</f>
        <v>3063</v>
      </c>
      <c r="K426" s="11" t="n">
        <f aca="false">Raw_Data!K426</f>
        <v>129</v>
      </c>
      <c r="L426" s="11" t="n">
        <f aca="false">IF(Raw_Data!L426="",ROUND(AVERAGEIFS(Raw_Data!$L$2:$L$839,Raw_Data!$C$2:$C$839,Raw_Data!C426),2),Raw_Data!L426)</f>
        <v>77098.43</v>
      </c>
      <c r="M426" s="13" t="n">
        <f aca="false">IFERROR(J426/I426,0)</f>
        <v>0.0155404925468549</v>
      </c>
      <c r="N426" s="14" t="n">
        <f aca="false">IFERROR(H426/J426,0)</f>
        <v>2.39360757427359</v>
      </c>
      <c r="O426" s="14" t="n">
        <f aca="false">IFERROR(H426/K426,0)</f>
        <v>56.8342635658915</v>
      </c>
      <c r="P426" s="15" t="n">
        <f aca="false">IFERROR(L426/H426,0)</f>
        <v>10.5158791644957</v>
      </c>
      <c r="Q426" s="13" t="n">
        <f aca="false">IFERROR(K426/J426,0)</f>
        <v>0.0421155729676788</v>
      </c>
      <c r="R426" s="11" t="str">
        <f aca="false">IF(COUNTIF($A$2:A426,A426)&gt;1,"Duplicate - Remove","Unique")</f>
        <v>Unique</v>
      </c>
      <c r="S426" s="11" t="str">
        <f aca="false">TRIM(IF(Raw_Data!G426="","Region missing; ","")&amp;IF(Raw_Data!H426="","Spend imputed; ","")&amp;IF(Raw_Data!L426="","Revenue imputed; ","")&amp;IF(Raw_Data!J426&lt;0,"Clicks corrected; ",""))</f>
        <v/>
      </c>
    </row>
    <row r="427" customFormat="false" ht="15" hidden="false" customHeight="true" outlineLevel="0" collapsed="false">
      <c r="A427" s="11" t="n">
        <f aca="false">Raw_Data!A427</f>
        <v>1224</v>
      </c>
      <c r="B427" s="11" t="str">
        <f aca="false">PROPER(TRIM(Raw_Data!B427))</f>
        <v>New Year Wellness</v>
      </c>
      <c r="C427" s="11" t="str">
        <f aca="false">IFERROR(INDEX(Lookup_Tables!$B$2:$B$26,MATCH(UPPER(TRIM(Raw_Data!C427)),Lookup_Tables!$C$2:$C$26,0)),"Unknown")</f>
        <v>Email</v>
      </c>
      <c r="D427" s="12" t="n">
        <f aca="false">IFERROR(IF(ISNUMBER(SEARCH("/",Raw_Data!D427)),DATE(VALUE(RIGHT(Raw_Data!D427,4)),VALUE(MID(Raw_Data!D427,FIND("/",Raw_Data!D427)+1,FIND("/",Raw_Data!D427,FIND("/",Raw_Data!D427)+1)-FIND("/",Raw_Data!D427)-1)),VALUE(LEFT(Raw_Data!D427,FIND("/",Raw_Data!D427)-1))),IF(ISNUMBER(VALUE(LEFT(Raw_Data!D427,4))),DATE(VALUE(LEFT(Raw_Data!D427,4)),VALUE(MID(Raw_Data!D427,6,2)),VALUE(MID(Raw_Data!D427,9,2))),DATEVALUE(Raw_Data!D427))),"")</f>
        <v>45585</v>
      </c>
      <c r="E427" s="12" t="n">
        <f aca="false">IFERROR(IF(ISNUMBER(SEARCH("/",Raw_Data!E427)),DATE(VALUE(RIGHT(Raw_Data!E427,4)),VALUE(MID(Raw_Data!E427,FIND("/",Raw_Data!E427)+1,FIND("/",Raw_Data!E427,FIND("/",Raw_Data!E427)+1)-FIND("/",Raw_Data!E427)-1)),VALUE(LEFT(Raw_Data!E427,FIND("/",Raw_Data!E427)-1))),IF(ISNUMBER(VALUE(LEFT(Raw_Data!E427,4))),DATE(VALUE(LEFT(Raw_Data!E427,4)),VALUE(MID(Raw_Data!E427,6,2)),VALUE(MID(Raw_Data!E427,9,2))),DATEVALUE(Raw_Data!E427))),"")</f>
        <v>45594</v>
      </c>
      <c r="F427" s="11" t="str">
        <f aca="false">Raw_Data!F427</f>
        <v>Female 18-24</v>
      </c>
      <c r="G427" s="11" t="str">
        <f aca="false">IF(TRIM(Raw_Data!G427)="","Unspecified",IFERROR(INDEX(Lookup_Tables!$F$2:$F$24,MATCH(UPPER(TRIM(Raw_Data!G427)),Lookup_Tables!$G$2:$G$24,0)),"Unknown"))</f>
        <v>South</v>
      </c>
      <c r="H427" s="11" t="n">
        <f aca="false">IF(Raw_Data!H427="",ROUND(AVERAGEIFS(Raw_Data!$H$2:$H$839,Raw_Data!$C$2:$C$839,Raw_Data!C427),2),Raw_Data!H427)</f>
        <v>2164.39</v>
      </c>
      <c r="I427" s="11" t="n">
        <f aca="false">Raw_Data!I427</f>
        <v>82379</v>
      </c>
      <c r="J427" s="11" t="n">
        <f aca="false">IF(Raw_Data!J427&lt;0,ABS(Raw_Data!J427),Raw_Data!J427)</f>
        <v>1688</v>
      </c>
      <c r="K427" s="11" t="n">
        <f aca="false">Raw_Data!K427</f>
        <v>64</v>
      </c>
      <c r="L427" s="11" t="n">
        <f aca="false">IF(Raw_Data!L427="",ROUND(AVERAGEIFS(Raw_Data!$L$2:$L$839,Raw_Data!$C$2:$C$839,Raw_Data!C427),2),Raw_Data!L427)</f>
        <v>112345.81</v>
      </c>
      <c r="M427" s="13" t="n">
        <f aca="false">IFERROR(J427/I427,0)</f>
        <v>0.0204906590271793</v>
      </c>
      <c r="N427" s="14" t="n">
        <f aca="false">IFERROR(H427/J427,0)</f>
        <v>1.28222156398104</v>
      </c>
      <c r="O427" s="14" t="n">
        <f aca="false">IFERROR(H427/K427,0)</f>
        <v>33.81859375</v>
      </c>
      <c r="P427" s="15" t="n">
        <f aca="false">IFERROR(L427/H427,0)</f>
        <v>51.9064540124469</v>
      </c>
      <c r="Q427" s="13" t="n">
        <f aca="false">IFERROR(K427/J427,0)</f>
        <v>0.037914691943128</v>
      </c>
      <c r="R427" s="11" t="str">
        <f aca="false">IF(COUNTIF($A$2:A427,A427)&gt;1,"Duplicate - Remove","Unique")</f>
        <v>Unique</v>
      </c>
      <c r="S427" s="11" t="str">
        <f aca="false">TRIM(IF(Raw_Data!G427="","Region missing; ","")&amp;IF(Raw_Data!H427="","Spend imputed; ","")&amp;IF(Raw_Data!L427="","Revenue imputed; ","")&amp;IF(Raw_Data!J427&lt;0,"Clicks corrected; ",""))</f>
        <v/>
      </c>
    </row>
    <row r="428" customFormat="false" ht="15" hidden="false" customHeight="true" outlineLevel="0" collapsed="false">
      <c r="A428" s="11" t="n">
        <f aca="false">Raw_Data!A428</f>
        <v>1585</v>
      </c>
      <c r="B428" s="11" t="str">
        <f aca="false">PROPER(TRIM(Raw_Data!B428))</f>
        <v>Clearance Sale Push</v>
      </c>
      <c r="C428" s="11" t="str">
        <f aca="false">IFERROR(INDEX(Lookup_Tables!$B$2:$B$26,MATCH(UPPER(TRIM(Raw_Data!C428)),Lookup_Tables!$C$2:$C$26,0)),"Unknown")</f>
        <v>YouTube</v>
      </c>
      <c r="D428" s="12" t="n">
        <f aca="false">IFERROR(IF(ISNUMBER(SEARCH("/",Raw_Data!D428)),DATE(VALUE(RIGHT(Raw_Data!D428,4)),VALUE(MID(Raw_Data!D428,FIND("/",Raw_Data!D428)+1,FIND("/",Raw_Data!D428,FIND("/",Raw_Data!D428)+1)-FIND("/",Raw_Data!D428)-1)),VALUE(LEFT(Raw_Data!D428,FIND("/",Raw_Data!D428)-1))),IF(ISNUMBER(VALUE(LEFT(Raw_Data!D428,4))),DATE(VALUE(LEFT(Raw_Data!D428,4)),VALUE(MID(Raw_Data!D428,6,2)),VALUE(MID(Raw_Data!D428,9,2))),DATEVALUE(Raw_Data!D428))),"")</f>
        <v>45519</v>
      </c>
      <c r="E428" s="12" t="n">
        <f aca="false">IFERROR(IF(ISNUMBER(SEARCH("/",Raw_Data!E428)),DATE(VALUE(RIGHT(Raw_Data!E428,4)),VALUE(MID(Raw_Data!E428,FIND("/",Raw_Data!E428)+1,FIND("/",Raw_Data!E428,FIND("/",Raw_Data!E428)+1)-FIND("/",Raw_Data!E428)-1)),VALUE(LEFT(Raw_Data!E428,FIND("/",Raw_Data!E428)-1))),IF(ISNUMBER(VALUE(LEFT(Raw_Data!E428,4))),DATE(VALUE(LEFT(Raw_Data!E428,4)),VALUE(MID(Raw_Data!E428,6,2)),VALUE(MID(Raw_Data!E428,9,2))),DATEVALUE(Raw_Data!E428))),"")</f>
        <v>45537</v>
      </c>
      <c r="F428" s="11" t="str">
        <f aca="false">Raw_Data!F428</f>
        <v>Female 25-34</v>
      </c>
      <c r="G428" s="11" t="str">
        <f aca="false">IF(TRIM(Raw_Data!G428)="","Unspecified",IFERROR(INDEX(Lookup_Tables!$F$2:$F$24,MATCH(UPPER(TRIM(Raw_Data!G428)),Lookup_Tables!$G$2:$G$24,0)),"Unknown"))</f>
        <v>West</v>
      </c>
      <c r="H428" s="11" t="n">
        <f aca="false">IF(Raw_Data!H428="",ROUND(AVERAGEIFS(Raw_Data!$H$2:$H$839,Raw_Data!$C$2:$C$839,Raw_Data!C428),2),Raw_Data!H428)</f>
        <v>34729.24</v>
      </c>
      <c r="I428" s="11" t="n">
        <f aca="false">Raw_Data!I428</f>
        <v>1271526</v>
      </c>
      <c r="J428" s="11" t="n">
        <f aca="false">IF(Raw_Data!J428&lt;0,ABS(Raw_Data!J428),Raw_Data!J428)</f>
        <v>44239</v>
      </c>
      <c r="K428" s="11" t="n">
        <f aca="false">Raw_Data!K428</f>
        <v>2708</v>
      </c>
      <c r="L428" s="11" t="n">
        <f aca="false">IF(Raw_Data!L428="",ROUND(AVERAGEIFS(Raw_Data!$L$2:$L$839,Raw_Data!$C$2:$C$839,Raw_Data!C428),2),Raw_Data!L428)</f>
        <v>1405102.2</v>
      </c>
      <c r="M428" s="13" t="n">
        <f aca="false">IFERROR(J428/I428,0)</f>
        <v>0.0347920530134657</v>
      </c>
      <c r="N428" s="14" t="n">
        <f aca="false">IFERROR(H428/J428,0)</f>
        <v>0.785036732295034</v>
      </c>
      <c r="O428" s="14" t="n">
        <f aca="false">IFERROR(H428/K428,0)</f>
        <v>12.824682422452</v>
      </c>
      <c r="P428" s="15" t="n">
        <f aca="false">IFERROR(L428/H428,0)</f>
        <v>40.4587661578543</v>
      </c>
      <c r="Q428" s="13" t="n">
        <f aca="false">IFERROR(K428/J428,0)</f>
        <v>0.061212956893239</v>
      </c>
      <c r="R428" s="11" t="str">
        <f aca="false">IF(COUNTIF($A$2:A428,A428)&gt;1,"Duplicate - Remove","Unique")</f>
        <v>Unique</v>
      </c>
      <c r="S428" s="11" t="str">
        <f aca="false">TRIM(IF(Raw_Data!G428="","Region missing; ","")&amp;IF(Raw_Data!H428="","Spend imputed; ","")&amp;IF(Raw_Data!L428="","Revenue imputed; ","")&amp;IF(Raw_Data!J428&lt;0,"Clicks corrected; ",""))</f>
        <v/>
      </c>
    </row>
    <row r="429" customFormat="false" ht="15" hidden="false" customHeight="true" outlineLevel="0" collapsed="false">
      <c r="A429" s="11" t="n">
        <f aca="false">Raw_Data!A429</f>
        <v>1763</v>
      </c>
      <c r="B429" s="11" t="str">
        <f aca="false">PROPER(TRIM(Raw_Data!B429))</f>
        <v>Back To College Offer</v>
      </c>
      <c r="C429" s="11" t="str">
        <f aca="false">IFERROR(INDEX(Lookup_Tables!$B$2:$B$26,MATCH(UPPER(TRIM(Raw_Data!C429)),Lookup_Tables!$C$2:$C$26,0)),"Unknown")</f>
        <v>Instagram</v>
      </c>
      <c r="D429" s="12" t="n">
        <f aca="false">IFERROR(IF(ISNUMBER(SEARCH("/",Raw_Data!D429)),DATE(VALUE(RIGHT(Raw_Data!D429,4)),VALUE(MID(Raw_Data!D429,FIND("/",Raw_Data!D429)+1,FIND("/",Raw_Data!D429,FIND("/",Raw_Data!D429)+1)-FIND("/",Raw_Data!D429)-1)),VALUE(LEFT(Raw_Data!D429,FIND("/",Raw_Data!D429)-1))),IF(ISNUMBER(VALUE(LEFT(Raw_Data!D429,4))),DATE(VALUE(LEFT(Raw_Data!D429,4)),VALUE(MID(Raw_Data!D429,6,2)),VALUE(MID(Raw_Data!D429,9,2))),DATEVALUE(Raw_Data!D429))),"")</f>
        <v>45435</v>
      </c>
      <c r="E429" s="12" t="n">
        <f aca="false">IFERROR(IF(ISNUMBER(SEARCH("/",Raw_Data!E429)),DATE(VALUE(RIGHT(Raw_Data!E429,4)),VALUE(MID(Raw_Data!E429,FIND("/",Raw_Data!E429)+1,FIND("/",Raw_Data!E429,FIND("/",Raw_Data!E429)+1)-FIND("/",Raw_Data!E429)-1)),VALUE(LEFT(Raw_Data!E429,FIND("/",Raw_Data!E429)-1))),IF(ISNUMBER(VALUE(LEFT(Raw_Data!E429,4))),DATE(VALUE(LEFT(Raw_Data!E429,4)),VALUE(MID(Raw_Data!E429,6,2)),VALUE(MID(Raw_Data!E429,9,2))),DATEVALUE(Raw_Data!E429))),"")</f>
        <v>45443</v>
      </c>
      <c r="F429" s="11" t="str">
        <f aca="false">Raw_Data!F429</f>
        <v>Male 18-24</v>
      </c>
      <c r="G429" s="11" t="str">
        <f aca="false">IF(TRIM(Raw_Data!G429)="","Unspecified",IFERROR(INDEX(Lookup_Tables!$F$2:$F$24,MATCH(UPPER(TRIM(Raw_Data!G429)),Lookup_Tables!$G$2:$G$24,0)),"Unknown"))</f>
        <v>Central</v>
      </c>
      <c r="H429" s="11" t="n">
        <f aca="false">IF(Raw_Data!H429="",ROUND(AVERAGEIFS(Raw_Data!$H$2:$H$839,Raw_Data!$C$2:$C$839,Raw_Data!C429),2),Raw_Data!H429)</f>
        <v>20416.08</v>
      </c>
      <c r="I429" s="11" t="n">
        <f aca="false">Raw_Data!I429</f>
        <v>463697</v>
      </c>
      <c r="J429" s="11" t="n">
        <f aca="false">IF(Raw_Data!J429&lt;0,ABS(Raw_Data!J429),Raw_Data!J429)</f>
        <v>10381</v>
      </c>
      <c r="K429" s="11" t="n">
        <f aca="false">Raw_Data!K429</f>
        <v>539</v>
      </c>
      <c r="L429" s="11" t="n">
        <f aca="false">IF(Raw_Data!L429="",ROUND(AVERAGEIFS(Raw_Data!$L$2:$L$839,Raw_Data!$C$2:$C$839,Raw_Data!C429),2),Raw_Data!L429)</f>
        <v>490877.96</v>
      </c>
      <c r="M429" s="13" t="n">
        <f aca="false">IFERROR(J429/I429,0)</f>
        <v>0.0223874642277177</v>
      </c>
      <c r="N429" s="14" t="n">
        <f aca="false">IFERROR(H429/J429,0)</f>
        <v>1.96667758404778</v>
      </c>
      <c r="O429" s="14" t="n">
        <f aca="false">IFERROR(H429/K429,0)</f>
        <v>37.8776994434137</v>
      </c>
      <c r="P429" s="15" t="n">
        <f aca="false">IFERROR(L429/H429,0)</f>
        <v>24.0436930106073</v>
      </c>
      <c r="Q429" s="13" t="n">
        <f aca="false">IFERROR(K429/J429,0)</f>
        <v>0.0519217801753203</v>
      </c>
      <c r="R429" s="11" t="str">
        <f aca="false">IF(COUNTIF($A$2:A429,A429)&gt;1,"Duplicate - Remove","Unique")</f>
        <v>Unique</v>
      </c>
      <c r="S429" s="11" t="str">
        <f aca="false">TRIM(IF(Raw_Data!G429="","Region missing; ","")&amp;IF(Raw_Data!H429="","Spend imputed; ","")&amp;IF(Raw_Data!L429="","Revenue imputed; ","")&amp;IF(Raw_Data!J429&lt;0,"Clicks corrected; ",""))</f>
        <v/>
      </c>
    </row>
    <row r="430" customFormat="false" ht="15" hidden="false" customHeight="true" outlineLevel="0" collapsed="false">
      <c r="A430" s="11" t="n">
        <f aca="false">Raw_Data!A430</f>
        <v>1261</v>
      </c>
      <c r="B430" s="11" t="str">
        <f aca="false">PROPER(TRIM(Raw_Data!B430))</f>
        <v>Back To College Offer</v>
      </c>
      <c r="C430" s="11" t="str">
        <f aca="false">IFERROR(INDEX(Lookup_Tables!$B$2:$B$26,MATCH(UPPER(TRIM(Raw_Data!C430)),Lookup_Tables!$C$2:$C$26,0)),"Unknown")</f>
        <v>Facebook</v>
      </c>
      <c r="D430" s="12" t="n">
        <f aca="false">IFERROR(IF(ISNUMBER(SEARCH("/",Raw_Data!D430)),DATE(VALUE(RIGHT(Raw_Data!D430,4)),VALUE(MID(Raw_Data!D430,FIND("/",Raw_Data!D430)+1,FIND("/",Raw_Data!D430,FIND("/",Raw_Data!D430)+1)-FIND("/",Raw_Data!D430)-1)),VALUE(LEFT(Raw_Data!D430,FIND("/",Raw_Data!D430)-1))),IF(ISNUMBER(VALUE(LEFT(Raw_Data!D430,4))),DATE(VALUE(LEFT(Raw_Data!D430,4)),VALUE(MID(Raw_Data!D430,6,2)),VALUE(MID(Raw_Data!D430,9,2))),DATEVALUE(Raw_Data!D430))),"")</f>
        <v>45340</v>
      </c>
      <c r="E430" s="12" t="n">
        <f aca="false">IFERROR(IF(ISNUMBER(SEARCH("/",Raw_Data!E430)),DATE(VALUE(RIGHT(Raw_Data!E430,4)),VALUE(MID(Raw_Data!E430,FIND("/",Raw_Data!E430)+1,FIND("/",Raw_Data!E430,FIND("/",Raw_Data!E430)+1)-FIND("/",Raw_Data!E430)-1)),VALUE(LEFT(Raw_Data!E430,FIND("/",Raw_Data!E430)-1))),IF(ISNUMBER(VALUE(LEFT(Raw_Data!E430,4))),DATE(VALUE(LEFT(Raw_Data!E430,4)),VALUE(MID(Raw_Data!E430,6,2)),VALUE(MID(Raw_Data!E430,9,2))),DATEVALUE(Raw_Data!E430))),"")</f>
        <v>45346</v>
      </c>
      <c r="F430" s="11" t="str">
        <f aca="false">Raw_Data!F430</f>
        <v>Female 35-44</v>
      </c>
      <c r="G430" s="11" t="str">
        <f aca="false">IF(TRIM(Raw_Data!G430)="","Unspecified",IFERROR(INDEX(Lookup_Tables!$F$2:$F$24,MATCH(UPPER(TRIM(Raw_Data!G430)),Lookup_Tables!$G$2:$G$24,0)),"Unknown"))</f>
        <v>East</v>
      </c>
      <c r="H430" s="11" t="n">
        <f aca="false">IF(Raw_Data!H430="",ROUND(AVERAGEIFS(Raw_Data!$H$2:$H$839,Raw_Data!$C$2:$C$839,Raw_Data!C430),2),Raw_Data!H430)</f>
        <v>21648.85</v>
      </c>
      <c r="I430" s="11" t="n">
        <f aca="false">Raw_Data!I430</f>
        <v>399642</v>
      </c>
      <c r="J430" s="11" t="n">
        <f aca="false">IF(Raw_Data!J430&lt;0,ABS(Raw_Data!J430),Raw_Data!J430)</f>
        <v>6399</v>
      </c>
      <c r="K430" s="11" t="n">
        <f aca="false">Raw_Data!K430</f>
        <v>324</v>
      </c>
      <c r="L430" s="11" t="n">
        <f aca="false">IF(Raw_Data!L430="",ROUND(AVERAGEIFS(Raw_Data!$L$2:$L$839,Raw_Data!$C$2:$C$839,Raw_Data!C430),2),Raw_Data!L430)</f>
        <v>222860.65</v>
      </c>
      <c r="M430" s="13" t="n">
        <f aca="false">IFERROR(J430/I430,0)</f>
        <v>0.0160118305883766</v>
      </c>
      <c r="N430" s="14" t="n">
        <f aca="false">IFERROR(H430/J430,0)</f>
        <v>3.38316143147367</v>
      </c>
      <c r="O430" s="14" t="n">
        <f aca="false">IFERROR(H430/K430,0)</f>
        <v>66.8174382716049</v>
      </c>
      <c r="P430" s="15" t="n">
        <f aca="false">IFERROR(L430/H430,0)</f>
        <v>10.2943412698596</v>
      </c>
      <c r="Q430" s="13" t="n">
        <f aca="false">IFERROR(K430/J430,0)</f>
        <v>0.0506329113924051</v>
      </c>
      <c r="R430" s="11" t="str">
        <f aca="false">IF(COUNTIF($A$2:A430,A430)&gt;1,"Duplicate - Remove","Unique")</f>
        <v>Unique</v>
      </c>
      <c r="S430" s="11" t="str">
        <f aca="false">TRIM(IF(Raw_Data!G430="","Region missing; ","")&amp;IF(Raw_Data!H430="","Spend imputed; ","")&amp;IF(Raw_Data!L430="","Revenue imputed; ","")&amp;IF(Raw_Data!J430&lt;0,"Clicks corrected; ",""))</f>
        <v/>
      </c>
    </row>
    <row r="431" customFormat="false" ht="15" hidden="false" customHeight="true" outlineLevel="0" collapsed="false">
      <c r="A431" s="11" t="n">
        <f aca="false">Raw_Data!A431</f>
        <v>1516</v>
      </c>
      <c r="B431" s="11" t="str">
        <f aca="false">PROPER(TRIM(Raw_Data!B431))</f>
        <v>Herbal Range Awareness</v>
      </c>
      <c r="C431" s="11" t="str">
        <f aca="false">IFERROR(INDEX(Lookup_Tables!$B$2:$B$26,MATCH(UPPER(TRIM(Raw_Data!C431)),Lookup_Tables!$C$2:$C$26,0)),"Unknown")</f>
        <v>Email</v>
      </c>
      <c r="D431" s="12" t="n">
        <f aca="false">IFERROR(IF(ISNUMBER(SEARCH("/",Raw_Data!D431)),DATE(VALUE(RIGHT(Raw_Data!D431,4)),VALUE(MID(Raw_Data!D431,FIND("/",Raw_Data!D431)+1,FIND("/",Raw_Data!D431,FIND("/",Raw_Data!D431)+1)-FIND("/",Raw_Data!D431)-1)),VALUE(LEFT(Raw_Data!D431,FIND("/",Raw_Data!D431)-1))),IF(ISNUMBER(VALUE(LEFT(Raw_Data!D431,4))),DATE(VALUE(LEFT(Raw_Data!D431,4)),VALUE(MID(Raw_Data!D431,6,2)),VALUE(MID(Raw_Data!D431,9,2))),DATEVALUE(Raw_Data!D431))),"")</f>
        <v>45300</v>
      </c>
      <c r="E431" s="12" t="n">
        <f aca="false">IFERROR(IF(ISNUMBER(SEARCH("/",Raw_Data!E431)),DATE(VALUE(RIGHT(Raw_Data!E431,4)),VALUE(MID(Raw_Data!E431,FIND("/",Raw_Data!E431)+1,FIND("/",Raw_Data!E431,FIND("/",Raw_Data!E431)+1)-FIND("/",Raw_Data!E431)-1)),VALUE(LEFT(Raw_Data!E431,FIND("/",Raw_Data!E431)-1))),IF(ISNUMBER(VALUE(LEFT(Raw_Data!E431,4))),DATE(VALUE(LEFT(Raw_Data!E431,4)),VALUE(MID(Raw_Data!E431,6,2)),VALUE(MID(Raw_Data!E431,9,2))),DATEVALUE(Raw_Data!E431))),"")</f>
        <v>45314</v>
      </c>
      <c r="F431" s="11" t="str">
        <f aca="false">Raw_Data!F431</f>
        <v>Male 35-44</v>
      </c>
      <c r="G431" s="11" t="str">
        <f aca="false">IF(TRIM(Raw_Data!G431)="","Unspecified",IFERROR(INDEX(Lookup_Tables!$F$2:$F$24,MATCH(UPPER(TRIM(Raw_Data!G431)),Lookup_Tables!$G$2:$G$24,0)),"Unknown"))</f>
        <v>Central</v>
      </c>
      <c r="H431" s="11" t="n">
        <f aca="false">IF(Raw_Data!H431="",ROUND(AVERAGEIFS(Raw_Data!$H$2:$H$839,Raw_Data!$C$2:$C$839,Raw_Data!C431),2),Raw_Data!H431)</f>
        <v>4514.6</v>
      </c>
      <c r="I431" s="11" t="n">
        <f aca="false">Raw_Data!I431</f>
        <v>165658</v>
      </c>
      <c r="J431" s="11" t="n">
        <f aca="false">IF(Raw_Data!J431&lt;0,ABS(Raw_Data!J431),Raw_Data!J431)</f>
        <v>4303</v>
      </c>
      <c r="K431" s="11" t="n">
        <f aca="false">Raw_Data!K431</f>
        <v>238</v>
      </c>
      <c r="L431" s="11" t="n">
        <f aca="false">IF(Raw_Data!L431="",ROUND(AVERAGEIFS(Raw_Data!$L$2:$L$839,Raw_Data!$C$2:$C$839,Raw_Data!C431),2),Raw_Data!L431)</f>
        <v>240664.73</v>
      </c>
      <c r="M431" s="13" t="n">
        <f aca="false">IFERROR(J431/I431,0)</f>
        <v>0.0259752019220321</v>
      </c>
      <c r="N431" s="14" t="n">
        <f aca="false">IFERROR(H431/J431,0)</f>
        <v>1.0491749941901</v>
      </c>
      <c r="O431" s="14" t="n">
        <f aca="false">IFERROR(H431/K431,0)</f>
        <v>18.9689075630252</v>
      </c>
      <c r="P431" s="15" t="n">
        <f aca="false">IFERROR(L431/H431,0)</f>
        <v>53.3080959553449</v>
      </c>
      <c r="Q431" s="13" t="n">
        <f aca="false">IFERROR(K431/J431,0)</f>
        <v>0.055310248663723</v>
      </c>
      <c r="R431" s="11" t="str">
        <f aca="false">IF(COUNTIF($A$2:A431,A431)&gt;1,"Duplicate - Remove","Unique")</f>
        <v>Unique</v>
      </c>
      <c r="S431" s="11" t="str">
        <f aca="false">TRIM(IF(Raw_Data!G431="","Region missing; ","")&amp;IF(Raw_Data!H431="","Spend imputed; ","")&amp;IF(Raw_Data!L431="","Revenue imputed; ","")&amp;IF(Raw_Data!J431&lt;0,"Clicks corrected; ",""))</f>
        <v/>
      </c>
    </row>
    <row r="432" customFormat="false" ht="15" hidden="false" customHeight="true" outlineLevel="0" collapsed="false">
      <c r="A432" s="11" t="n">
        <f aca="false">Raw_Data!A432</f>
        <v>1451</v>
      </c>
      <c r="B432" s="11" t="str">
        <f aca="false">PROPER(TRIM(Raw_Data!B432))</f>
        <v>Festive Gift Bundle</v>
      </c>
      <c r="C432" s="11" t="str">
        <f aca="false">IFERROR(INDEX(Lookup_Tables!$B$2:$B$26,MATCH(UPPER(TRIM(Raw_Data!C432)),Lookup_Tables!$C$2:$C$26,0)),"Unknown")</f>
        <v>YouTube</v>
      </c>
      <c r="D432" s="12" t="n">
        <f aca="false">IFERROR(IF(ISNUMBER(SEARCH("/",Raw_Data!D432)),DATE(VALUE(RIGHT(Raw_Data!D432,4)),VALUE(MID(Raw_Data!D432,FIND("/",Raw_Data!D432)+1,FIND("/",Raw_Data!D432,FIND("/",Raw_Data!D432)+1)-FIND("/",Raw_Data!D432)-1)),VALUE(LEFT(Raw_Data!D432,FIND("/",Raw_Data!D432)-1))),IF(ISNUMBER(VALUE(LEFT(Raw_Data!D432,4))),DATE(VALUE(LEFT(Raw_Data!D432,4)),VALUE(MID(Raw_Data!D432,6,2)),VALUE(MID(Raw_Data!D432,9,2))),DATEVALUE(Raw_Data!D432))),"")</f>
        <v>45517</v>
      </c>
      <c r="E432" s="12" t="n">
        <f aca="false">IFERROR(IF(ISNUMBER(SEARCH("/",Raw_Data!E432)),DATE(VALUE(RIGHT(Raw_Data!E432,4)),VALUE(MID(Raw_Data!E432,FIND("/",Raw_Data!E432)+1,FIND("/",Raw_Data!E432,FIND("/",Raw_Data!E432)+1)-FIND("/",Raw_Data!E432)-1)),VALUE(LEFT(Raw_Data!E432,FIND("/",Raw_Data!E432)-1))),IF(ISNUMBER(VALUE(LEFT(Raw_Data!E432,4))),DATE(VALUE(LEFT(Raw_Data!E432,4)),VALUE(MID(Raw_Data!E432,6,2)),VALUE(MID(Raw_Data!E432,9,2))),DATEVALUE(Raw_Data!E432))),"")</f>
        <v>45542</v>
      </c>
      <c r="F432" s="11" t="str">
        <f aca="false">Raw_Data!F432</f>
        <v>Female 45+</v>
      </c>
      <c r="G432" s="11" t="str">
        <f aca="false">IF(TRIM(Raw_Data!G432)="","Unspecified",IFERROR(INDEX(Lookup_Tables!$F$2:$F$24,MATCH(UPPER(TRIM(Raw_Data!G432)),Lookup_Tables!$G$2:$G$24,0)),"Unknown"))</f>
        <v>South</v>
      </c>
      <c r="H432" s="11" t="n">
        <f aca="false">IF(Raw_Data!H432="",ROUND(AVERAGEIFS(Raw_Data!$H$2:$H$839,Raw_Data!$C$2:$C$839,Raw_Data!C432),2),Raw_Data!H432)</f>
        <v>23189.66</v>
      </c>
      <c r="I432" s="11" t="n">
        <f aca="false">Raw_Data!I432</f>
        <v>716811</v>
      </c>
      <c r="J432" s="11" t="n">
        <f aca="false">IF(Raw_Data!J432&lt;0,ABS(Raw_Data!J432),Raw_Data!J432)</f>
        <v>5300</v>
      </c>
      <c r="K432" s="11" t="n">
        <f aca="false">Raw_Data!K432</f>
        <v>84</v>
      </c>
      <c r="L432" s="11" t="n">
        <f aca="false">IF(Raw_Data!L432="",ROUND(AVERAGEIFS(Raw_Data!$L$2:$L$839,Raw_Data!$C$2:$C$839,Raw_Data!C432),2),Raw_Data!L432)</f>
        <v>44586.22</v>
      </c>
      <c r="M432" s="13" t="n">
        <f aca="false">IFERROR(J432/I432,0)</f>
        <v>0.00739385974824605</v>
      </c>
      <c r="N432" s="14" t="n">
        <f aca="false">IFERROR(H432/J432,0)</f>
        <v>4.37540754716981</v>
      </c>
      <c r="O432" s="14" t="n">
        <f aca="false">IFERROR(H432/K432,0)</f>
        <v>276.067380952381</v>
      </c>
      <c r="P432" s="15" t="n">
        <f aca="false">IFERROR(L432/H432,0)</f>
        <v>1.92267674472157</v>
      </c>
      <c r="Q432" s="13" t="n">
        <f aca="false">IFERROR(K432/J432,0)</f>
        <v>0.0158490566037736</v>
      </c>
      <c r="R432" s="11" t="str">
        <f aca="false">IF(COUNTIF($A$2:A432,A432)&gt;1,"Duplicate - Remove","Unique")</f>
        <v>Unique</v>
      </c>
      <c r="S432" s="11" t="str">
        <f aca="false">TRIM(IF(Raw_Data!G432="","Region missing; ","")&amp;IF(Raw_Data!H432="","Spend imputed; ","")&amp;IF(Raw_Data!L432="","Revenue imputed; ","")&amp;IF(Raw_Data!J432&lt;0,"Clicks corrected; ",""))</f>
        <v/>
      </c>
    </row>
    <row r="433" customFormat="false" ht="15" hidden="false" customHeight="true" outlineLevel="0" collapsed="false">
      <c r="A433" s="11" t="n">
        <f aca="false">Raw_Data!A433</f>
        <v>1779</v>
      </c>
      <c r="B433" s="11" t="str">
        <f aca="false">PROPER(TRIM(Raw_Data!B433))</f>
        <v>Festive Gift Bundle</v>
      </c>
      <c r="C433" s="11" t="str">
        <f aca="false">IFERROR(INDEX(Lookup_Tables!$B$2:$B$26,MATCH(UPPER(TRIM(Raw_Data!C433)),Lookup_Tables!$C$2:$C$26,0)),"Unknown")</f>
        <v>Google Ads</v>
      </c>
      <c r="D433" s="12" t="n">
        <f aca="false">IFERROR(IF(ISNUMBER(SEARCH("/",Raw_Data!D433)),DATE(VALUE(RIGHT(Raw_Data!D433,4)),VALUE(MID(Raw_Data!D433,FIND("/",Raw_Data!D433)+1,FIND("/",Raw_Data!D433,FIND("/",Raw_Data!D433)+1)-FIND("/",Raw_Data!D433)-1)),VALUE(LEFT(Raw_Data!D433,FIND("/",Raw_Data!D433)-1))),IF(ISNUMBER(VALUE(LEFT(Raw_Data!D433,4))),DATE(VALUE(LEFT(Raw_Data!D433,4)),VALUE(MID(Raw_Data!D433,6,2)),VALUE(MID(Raw_Data!D433,9,2))),DATEVALUE(Raw_Data!D433))),"")</f>
        <v>45407</v>
      </c>
      <c r="E433" s="12" t="n">
        <f aca="false">IFERROR(IF(ISNUMBER(SEARCH("/",Raw_Data!E433)),DATE(VALUE(RIGHT(Raw_Data!E433,4)),VALUE(MID(Raw_Data!E433,FIND("/",Raw_Data!E433)+1,FIND("/",Raw_Data!E433,FIND("/",Raw_Data!E433)+1)-FIND("/",Raw_Data!E433)-1)),VALUE(LEFT(Raw_Data!E433,FIND("/",Raw_Data!E433)-1))),IF(ISNUMBER(VALUE(LEFT(Raw_Data!E433,4))),DATE(VALUE(LEFT(Raw_Data!E433,4)),VALUE(MID(Raw_Data!E433,6,2)),VALUE(MID(Raw_Data!E433,9,2))),DATEVALUE(Raw_Data!E433))),"")</f>
        <v>45412</v>
      </c>
      <c r="F433" s="11" t="str">
        <f aca="false">Raw_Data!F433</f>
        <v>Male 18-24</v>
      </c>
      <c r="G433" s="11" t="str">
        <f aca="false">IF(TRIM(Raw_Data!G433)="","Unspecified",IFERROR(INDEX(Lookup_Tables!$F$2:$F$24,MATCH(UPPER(TRIM(Raw_Data!G433)),Lookup_Tables!$G$2:$G$24,0)),"Unknown"))</f>
        <v>Central</v>
      </c>
      <c r="H433" s="11" t="n">
        <f aca="false">IF(Raw_Data!H433="",ROUND(AVERAGEIFS(Raw_Data!$H$2:$H$839,Raw_Data!$C$2:$C$839,Raw_Data!C433),2),Raw_Data!H433)</f>
        <v>43837.72</v>
      </c>
      <c r="I433" s="11" t="n">
        <f aca="false">Raw_Data!I433</f>
        <v>1017203</v>
      </c>
      <c r="J433" s="11" t="n">
        <f aca="false">IF(Raw_Data!J433&lt;0,ABS(Raw_Data!J433),Raw_Data!J433)</f>
        <v>20613</v>
      </c>
      <c r="K433" s="11" t="n">
        <f aca="false">Raw_Data!K433</f>
        <v>925</v>
      </c>
      <c r="L433" s="11" t="n">
        <f aca="false">IF(Raw_Data!L433="",ROUND(AVERAGEIFS(Raw_Data!$L$2:$L$839,Raw_Data!$C$2:$C$839,Raw_Data!C433),2),Raw_Data!L433)</f>
        <v>1295186.24</v>
      </c>
      <c r="M433" s="13" t="n">
        <f aca="false">IFERROR(J433/I433,0)</f>
        <v>0.0202643916700993</v>
      </c>
      <c r="N433" s="14" t="n">
        <f aca="false">IFERROR(H433/J433,0)</f>
        <v>2.12670256634163</v>
      </c>
      <c r="O433" s="14" t="n">
        <f aca="false">IFERROR(H433/K433,0)</f>
        <v>47.3921297297297</v>
      </c>
      <c r="P433" s="15" t="n">
        <f aca="false">IFERROR(L433/H433,0)</f>
        <v>29.5450183084339</v>
      </c>
      <c r="Q433" s="13" t="n">
        <f aca="false">IFERROR(K433/J433,0)</f>
        <v>0.044874593703003</v>
      </c>
      <c r="R433" s="11" t="str">
        <f aca="false">IF(COUNTIF($A$2:A433,A433)&gt;1,"Duplicate - Remove","Unique")</f>
        <v>Unique</v>
      </c>
      <c r="S433" s="11" t="str">
        <f aca="false">TRIM(IF(Raw_Data!G433="","Region missing; ","")&amp;IF(Raw_Data!H433="","Spend imputed; ","")&amp;IF(Raw_Data!L433="","Revenue imputed; ","")&amp;IF(Raw_Data!J433&lt;0,"Clicks corrected; ",""))</f>
        <v/>
      </c>
    </row>
    <row r="434" customFormat="false" ht="15" hidden="false" customHeight="true" outlineLevel="0" collapsed="false">
      <c r="A434" s="11" t="n">
        <f aca="false">Raw_Data!A434</f>
        <v>1621</v>
      </c>
      <c r="B434" s="11" t="str">
        <f aca="false">PROPER(TRIM(Raw_Data!B434))</f>
        <v>Anti-Ageing Serum Push</v>
      </c>
      <c r="C434" s="11" t="str">
        <f aca="false">IFERROR(INDEX(Lookup_Tables!$B$2:$B$26,MATCH(UPPER(TRIM(Raw_Data!C434)),Lookup_Tables!$C$2:$C$26,0)),"Unknown")</f>
        <v>Email</v>
      </c>
      <c r="D434" s="12" t="n">
        <f aca="false">IFERROR(IF(ISNUMBER(SEARCH("/",Raw_Data!D434)),DATE(VALUE(RIGHT(Raw_Data!D434,4)),VALUE(MID(Raw_Data!D434,FIND("/",Raw_Data!D434)+1,FIND("/",Raw_Data!D434,FIND("/",Raw_Data!D434)+1)-FIND("/",Raw_Data!D434)-1)),VALUE(LEFT(Raw_Data!D434,FIND("/",Raw_Data!D434)-1))),IF(ISNUMBER(VALUE(LEFT(Raw_Data!D434,4))),DATE(VALUE(LEFT(Raw_Data!D434,4)),VALUE(MID(Raw_Data!D434,6,2)),VALUE(MID(Raw_Data!D434,9,2))),DATEVALUE(Raw_Data!D434))),"")</f>
        <v>45549</v>
      </c>
      <c r="E434" s="12" t="n">
        <f aca="false">IFERROR(IF(ISNUMBER(SEARCH("/",Raw_Data!E434)),DATE(VALUE(RIGHT(Raw_Data!E434,4)),VALUE(MID(Raw_Data!E434,FIND("/",Raw_Data!E434)+1,FIND("/",Raw_Data!E434,FIND("/",Raw_Data!E434)+1)-FIND("/",Raw_Data!E434)-1)),VALUE(LEFT(Raw_Data!E434,FIND("/",Raw_Data!E434)-1))),IF(ISNUMBER(VALUE(LEFT(Raw_Data!E434,4))),DATE(VALUE(LEFT(Raw_Data!E434,4)),VALUE(MID(Raw_Data!E434,6,2)),VALUE(MID(Raw_Data!E434,9,2))),DATEVALUE(Raw_Data!E434))),"")</f>
        <v>45565</v>
      </c>
      <c r="F434" s="11" t="str">
        <f aca="false">Raw_Data!F434</f>
        <v>Male 45+</v>
      </c>
      <c r="G434" s="11" t="str">
        <f aca="false">IF(TRIM(Raw_Data!G434)="","Unspecified",IFERROR(INDEX(Lookup_Tables!$F$2:$F$24,MATCH(UPPER(TRIM(Raw_Data!G434)),Lookup_Tables!$G$2:$G$24,0)),"Unknown"))</f>
        <v>East</v>
      </c>
      <c r="H434" s="11" t="n">
        <f aca="false">IF(Raw_Data!H434="",ROUND(AVERAGEIFS(Raw_Data!$H$2:$H$839,Raw_Data!$C$2:$C$839,Raw_Data!C434),2),Raw_Data!H434)</f>
        <v>5984.16</v>
      </c>
      <c r="I434" s="11" t="n">
        <f aca="false">Raw_Data!I434</f>
        <v>216053</v>
      </c>
      <c r="J434" s="11" t="n">
        <f aca="false">IF(Raw_Data!J434&lt;0,ABS(Raw_Data!J434),Raw_Data!J434)</f>
        <v>7378</v>
      </c>
      <c r="K434" s="11" t="n">
        <f aca="false">Raw_Data!K434</f>
        <v>131</v>
      </c>
      <c r="L434" s="11" t="n">
        <f aca="false">IF(Raw_Data!L434="",ROUND(AVERAGEIFS(Raw_Data!$L$2:$L$839,Raw_Data!$C$2:$C$839,Raw_Data!C434),2),Raw_Data!L434)</f>
        <v>79820.58</v>
      </c>
      <c r="M434" s="13" t="n">
        <f aca="false">IFERROR(J434/I434,0)</f>
        <v>0.0341490282476985</v>
      </c>
      <c r="N434" s="14" t="n">
        <f aca="false">IFERROR(H434/J434,0)</f>
        <v>0.811081593927894</v>
      </c>
      <c r="O434" s="14" t="n">
        <f aca="false">IFERROR(H434/K434,0)</f>
        <v>45.6806106870229</v>
      </c>
      <c r="P434" s="15" t="n">
        <f aca="false">IFERROR(L434/H434,0)</f>
        <v>13.3386440202134</v>
      </c>
      <c r="Q434" s="13" t="n">
        <f aca="false">IFERROR(K434/J434,0)</f>
        <v>0.0177554892924912</v>
      </c>
      <c r="R434" s="11" t="str">
        <f aca="false">IF(COUNTIF($A$2:A434,A434)&gt;1,"Duplicate - Remove","Unique")</f>
        <v>Unique</v>
      </c>
      <c r="S434" s="11" t="str">
        <f aca="false">TRIM(IF(Raw_Data!G434="","Region missing; ","")&amp;IF(Raw_Data!H434="","Spend imputed; ","")&amp;IF(Raw_Data!L434="","Revenue imputed; ","")&amp;IF(Raw_Data!J434&lt;0,"Clicks corrected; ",""))</f>
        <v/>
      </c>
    </row>
    <row r="435" customFormat="false" ht="15" hidden="false" customHeight="true" outlineLevel="0" collapsed="false">
      <c r="A435" s="11" t="n">
        <f aca="false">Raw_Data!A435</f>
        <v>1728</v>
      </c>
      <c r="B435" s="11" t="str">
        <f aca="false">PROPER(TRIM(Raw_Data!B435))</f>
        <v>Sunscreen Season Campaign</v>
      </c>
      <c r="C435" s="11" t="str">
        <f aca="false">IFERROR(INDEX(Lookup_Tables!$B$2:$B$26,MATCH(UPPER(TRIM(Raw_Data!C435)),Lookup_Tables!$C$2:$C$26,0)),"Unknown")</f>
        <v>Google Ads</v>
      </c>
      <c r="D435" s="12" t="n">
        <f aca="false">IFERROR(IF(ISNUMBER(SEARCH("/",Raw_Data!D435)),DATE(VALUE(RIGHT(Raw_Data!D435,4)),VALUE(MID(Raw_Data!D435,FIND("/",Raw_Data!D435)+1,FIND("/",Raw_Data!D435,FIND("/",Raw_Data!D435)+1)-FIND("/",Raw_Data!D435)-1)),VALUE(LEFT(Raw_Data!D435,FIND("/",Raw_Data!D435)-1))),IF(ISNUMBER(VALUE(LEFT(Raw_Data!D435,4))),DATE(VALUE(LEFT(Raw_Data!D435,4)),VALUE(MID(Raw_Data!D435,6,2)),VALUE(MID(Raw_Data!D435,9,2))),DATEVALUE(Raw_Data!D435))),"")</f>
        <v>45622</v>
      </c>
      <c r="E435" s="12" t="n">
        <f aca="false">IFERROR(IF(ISNUMBER(SEARCH("/",Raw_Data!E435)),DATE(VALUE(RIGHT(Raw_Data!E435,4)),VALUE(MID(Raw_Data!E435,FIND("/",Raw_Data!E435)+1,FIND("/",Raw_Data!E435,FIND("/",Raw_Data!E435)+1)-FIND("/",Raw_Data!E435)-1)),VALUE(LEFT(Raw_Data!E435,FIND("/",Raw_Data!E435)-1))),IF(ISNUMBER(VALUE(LEFT(Raw_Data!E435,4))),DATE(VALUE(LEFT(Raw_Data!E435,4)),VALUE(MID(Raw_Data!E435,6,2)),VALUE(MID(Raw_Data!E435,9,2))),DATEVALUE(Raw_Data!E435))),"")</f>
        <v>45637</v>
      </c>
      <c r="F435" s="11" t="str">
        <f aca="false">Raw_Data!F435</f>
        <v>Female 45+</v>
      </c>
      <c r="G435" s="11" t="str">
        <f aca="false">IF(TRIM(Raw_Data!G435)="","Unspecified",IFERROR(INDEX(Lookup_Tables!$F$2:$F$24,MATCH(UPPER(TRIM(Raw_Data!G435)),Lookup_Tables!$G$2:$G$24,0)),"Unknown"))</f>
        <v>Unspecified</v>
      </c>
      <c r="H435" s="11" t="n">
        <f aca="false">IF(Raw_Data!H435="",ROUND(AVERAGEIFS(Raw_Data!$H$2:$H$839,Raw_Data!$C$2:$C$839,Raw_Data!C435),2),Raw_Data!H435)</f>
        <v>22459.89</v>
      </c>
      <c r="I435" s="11" t="n">
        <f aca="false">Raw_Data!I435</f>
        <v>681142</v>
      </c>
      <c r="J435" s="11" t="n">
        <f aca="false">IF(Raw_Data!J435&lt;0,ABS(Raw_Data!J435),Raw_Data!J435)</f>
        <v>18946</v>
      </c>
      <c r="K435" s="11" t="n">
        <f aca="false">Raw_Data!K435</f>
        <v>1043</v>
      </c>
      <c r="L435" s="11" t="n">
        <f aca="false">IF(Raw_Data!L435="",ROUND(AVERAGEIFS(Raw_Data!$L$2:$L$839,Raw_Data!$C$2:$C$839,Raw_Data!C435),2),Raw_Data!L435)</f>
        <v>855072.82</v>
      </c>
      <c r="M435" s="13" t="n">
        <f aca="false">IFERROR(J435/I435,0)</f>
        <v>0.027815051780686</v>
      </c>
      <c r="N435" s="14" t="n">
        <f aca="false">IFERROR(H435/J435,0)</f>
        <v>1.18546870051726</v>
      </c>
      <c r="O435" s="14" t="n">
        <f aca="false">IFERROR(H435/K435,0)</f>
        <v>21.5339309683605</v>
      </c>
      <c r="P435" s="15" t="n">
        <f aca="false">IFERROR(L435/H435,0)</f>
        <v>38.0711045334594</v>
      </c>
      <c r="Q435" s="13" t="n">
        <f aca="false">IFERROR(K435/J435,0)</f>
        <v>0.055051198142088</v>
      </c>
      <c r="R435" s="11" t="str">
        <f aca="false">IF(COUNTIF($A$2:A435,A435)&gt;1,"Duplicate - Remove","Unique")</f>
        <v>Unique</v>
      </c>
      <c r="S435" s="11" t="str">
        <f aca="false">TRIM(IF(Raw_Data!G435="","Region missing; ","")&amp;IF(Raw_Data!H435="","Spend imputed; ","")&amp;IF(Raw_Data!L435="","Revenue imputed; ","")&amp;IF(Raw_Data!J435&lt;0,"Clicks corrected; ",""))</f>
        <v>Region missing;</v>
      </c>
    </row>
    <row r="436" customFormat="false" ht="15" hidden="false" customHeight="true" outlineLevel="0" collapsed="false">
      <c r="A436" s="11" t="n">
        <f aca="false">Raw_Data!A436</f>
        <v>1583</v>
      </c>
      <c r="B436" s="11" t="str">
        <f aca="false">PROPER(TRIM(Raw_Data!B436))</f>
        <v>Herbal Range Awareness</v>
      </c>
      <c r="C436" s="11" t="str">
        <f aca="false">IFERROR(INDEX(Lookup_Tables!$B$2:$B$26,MATCH(UPPER(TRIM(Raw_Data!C436)),Lookup_Tables!$C$2:$C$26,0)),"Unknown")</f>
        <v>Email</v>
      </c>
      <c r="D436" s="12" t="n">
        <f aca="false">IFERROR(IF(ISNUMBER(SEARCH("/",Raw_Data!D436)),DATE(VALUE(RIGHT(Raw_Data!D436,4)),VALUE(MID(Raw_Data!D436,FIND("/",Raw_Data!D436)+1,FIND("/",Raw_Data!D436,FIND("/",Raw_Data!D436)+1)-FIND("/",Raw_Data!D436)-1)),VALUE(LEFT(Raw_Data!D436,FIND("/",Raw_Data!D436)-1))),IF(ISNUMBER(VALUE(LEFT(Raw_Data!D436,4))),DATE(VALUE(LEFT(Raw_Data!D436,4)),VALUE(MID(Raw_Data!D436,6,2)),VALUE(MID(Raw_Data!D436,9,2))),DATEVALUE(Raw_Data!D436))),"")</f>
        <v>45512</v>
      </c>
      <c r="E436" s="12" t="n">
        <f aca="false">IFERROR(IF(ISNUMBER(SEARCH("/",Raw_Data!E436)),DATE(VALUE(RIGHT(Raw_Data!E436,4)),VALUE(MID(Raw_Data!E436,FIND("/",Raw_Data!E436)+1,FIND("/",Raw_Data!E436,FIND("/",Raw_Data!E436)+1)-FIND("/",Raw_Data!E436)-1)),VALUE(LEFT(Raw_Data!E436,FIND("/",Raw_Data!E436)-1))),IF(ISNUMBER(VALUE(LEFT(Raw_Data!E436,4))),DATE(VALUE(LEFT(Raw_Data!E436,4)),VALUE(MID(Raw_Data!E436,6,2)),VALUE(MID(Raw_Data!E436,9,2))),DATEVALUE(Raw_Data!E436))),"")</f>
        <v>45533</v>
      </c>
      <c r="F436" s="11" t="str">
        <f aca="false">Raw_Data!F436</f>
        <v>Male 18-24</v>
      </c>
      <c r="G436" s="11" t="str">
        <f aca="false">IF(TRIM(Raw_Data!G436)="","Unspecified",IFERROR(INDEX(Lookup_Tables!$F$2:$F$24,MATCH(UPPER(TRIM(Raw_Data!G436)),Lookup_Tables!$G$2:$G$24,0)),"Unknown"))</f>
        <v>South</v>
      </c>
      <c r="H436" s="11" t="n">
        <f aca="false">IF(Raw_Data!H436="",ROUND(AVERAGEIFS(Raw_Data!$H$2:$H$839,Raw_Data!$C$2:$C$839,Raw_Data!C436),2),Raw_Data!H436)</f>
        <v>5025.96</v>
      </c>
      <c r="I436" s="11" t="n">
        <f aca="false">Raw_Data!I436</f>
        <v>152723</v>
      </c>
      <c r="J436" s="11" t="n">
        <f aca="false">IF(Raw_Data!J436&lt;0,ABS(Raw_Data!J436),Raw_Data!J436)</f>
        <v>1219</v>
      </c>
      <c r="K436" s="11" t="n">
        <f aca="false">Raw_Data!K436</f>
        <v>36</v>
      </c>
      <c r="L436" s="11" t="n">
        <f aca="false">IF(Raw_Data!L436="",ROUND(AVERAGEIFS(Raw_Data!$L$2:$L$839,Raw_Data!$C$2:$C$839,Raw_Data!C436),2),Raw_Data!L436)</f>
        <v>18788.37</v>
      </c>
      <c r="M436" s="13" t="n">
        <f aca="false">IFERROR(J436/I436,0)</f>
        <v>0.00798177091859117</v>
      </c>
      <c r="N436" s="14" t="n">
        <f aca="false">IFERROR(H436/J436,0)</f>
        <v>4.12301886792453</v>
      </c>
      <c r="O436" s="14" t="n">
        <f aca="false">IFERROR(H436/K436,0)</f>
        <v>139.61</v>
      </c>
      <c r="P436" s="15" t="n">
        <f aca="false">IFERROR(L436/H436,0)</f>
        <v>3.73826492849127</v>
      </c>
      <c r="Q436" s="13" t="n">
        <f aca="false">IFERROR(K436/J436,0)</f>
        <v>0.029532403609516</v>
      </c>
      <c r="R436" s="11" t="str">
        <f aca="false">IF(COUNTIF($A$2:A436,A436)&gt;1,"Duplicate - Remove","Unique")</f>
        <v>Unique</v>
      </c>
      <c r="S436" s="11" t="str">
        <f aca="false">TRIM(IF(Raw_Data!G436="","Region missing; ","")&amp;IF(Raw_Data!H436="","Spend imputed; ","")&amp;IF(Raw_Data!L436="","Revenue imputed; ","")&amp;IF(Raw_Data!J436&lt;0,"Clicks corrected; ",""))</f>
        <v/>
      </c>
    </row>
    <row r="437" customFormat="false" ht="15" hidden="false" customHeight="true" outlineLevel="0" collapsed="false">
      <c r="A437" s="11" t="n">
        <f aca="false">Raw_Data!A437</f>
        <v>1697</v>
      </c>
      <c r="B437" s="11" t="str">
        <f aca="false">PROPER(TRIM(Raw_Data!B437))</f>
        <v>Hair Care Revamp</v>
      </c>
      <c r="C437" s="11" t="str">
        <f aca="false">IFERROR(INDEX(Lookup_Tables!$B$2:$B$26,MATCH(UPPER(TRIM(Raw_Data!C437)),Lookup_Tables!$C$2:$C$26,0)),"Unknown")</f>
        <v>Email</v>
      </c>
      <c r="D437" s="12" t="n">
        <f aca="false">IFERROR(IF(ISNUMBER(SEARCH("/",Raw_Data!D437)),DATE(VALUE(RIGHT(Raw_Data!D437,4)),VALUE(MID(Raw_Data!D437,FIND("/",Raw_Data!D437)+1,FIND("/",Raw_Data!D437,FIND("/",Raw_Data!D437)+1)-FIND("/",Raw_Data!D437)-1)),VALUE(LEFT(Raw_Data!D437,FIND("/",Raw_Data!D437)-1))),IF(ISNUMBER(VALUE(LEFT(Raw_Data!D437,4))),DATE(VALUE(LEFT(Raw_Data!D437,4)),VALUE(MID(Raw_Data!D437,6,2)),VALUE(MID(Raw_Data!D437,9,2))),DATEVALUE(Raw_Data!D437))),"")</f>
        <v>45395</v>
      </c>
      <c r="E437" s="12" t="n">
        <f aca="false">IFERROR(IF(ISNUMBER(SEARCH("/",Raw_Data!E437)),DATE(VALUE(RIGHT(Raw_Data!E437,4)),VALUE(MID(Raw_Data!E437,FIND("/",Raw_Data!E437)+1,FIND("/",Raw_Data!E437,FIND("/",Raw_Data!E437)+1)-FIND("/",Raw_Data!E437)-1)),VALUE(LEFT(Raw_Data!E437,FIND("/",Raw_Data!E437)-1))),IF(ISNUMBER(VALUE(LEFT(Raw_Data!E437,4))),DATE(VALUE(LEFT(Raw_Data!E437,4)),VALUE(MID(Raw_Data!E437,6,2)),VALUE(MID(Raw_Data!E437,9,2))),DATEVALUE(Raw_Data!E437))),"")</f>
        <v>45402</v>
      </c>
      <c r="F437" s="11" t="str">
        <f aca="false">Raw_Data!F437</f>
        <v>Female 45+</v>
      </c>
      <c r="G437" s="11" t="str">
        <f aca="false">IF(TRIM(Raw_Data!G437)="","Unspecified",IFERROR(INDEX(Lookup_Tables!$F$2:$F$24,MATCH(UPPER(TRIM(Raw_Data!G437)),Lookup_Tables!$G$2:$G$24,0)),"Unknown"))</f>
        <v>East</v>
      </c>
      <c r="H437" s="11" t="n">
        <f aca="false">IF(Raw_Data!H437="",ROUND(AVERAGEIFS(Raw_Data!$H$2:$H$839,Raw_Data!$C$2:$C$839,Raw_Data!C437),2),Raw_Data!H437)</f>
        <v>6925.18</v>
      </c>
      <c r="I437" s="11" t="n">
        <f aca="false">Raw_Data!I437</f>
        <v>138640</v>
      </c>
      <c r="J437" s="11" t="n">
        <f aca="false">IF(Raw_Data!J437&lt;0,ABS(Raw_Data!J437),Raw_Data!J437)</f>
        <v>2848</v>
      </c>
      <c r="K437" s="11" t="n">
        <f aca="false">Raw_Data!K437</f>
        <v>35</v>
      </c>
      <c r="L437" s="11" t="n">
        <f aca="false">IF(Raw_Data!L437="",ROUND(AVERAGEIFS(Raw_Data!$L$2:$L$839,Raw_Data!$C$2:$C$839,Raw_Data!C437),2),Raw_Data!L437)</f>
        <v>36550.1</v>
      </c>
      <c r="M437" s="13" t="n">
        <f aca="false">IFERROR(J437/I437,0)</f>
        <v>0.0205424120023081</v>
      </c>
      <c r="N437" s="14" t="n">
        <f aca="false">IFERROR(H437/J437,0)</f>
        <v>2.4315941011236</v>
      </c>
      <c r="O437" s="14" t="n">
        <f aca="false">IFERROR(H437/K437,0)</f>
        <v>197.862285714286</v>
      </c>
      <c r="P437" s="15" t="n">
        <f aca="false">IFERROR(L437/H437,0)</f>
        <v>5.27785559364522</v>
      </c>
      <c r="Q437" s="13" t="n">
        <f aca="false">IFERROR(K437/J437,0)</f>
        <v>0.0122893258426966</v>
      </c>
      <c r="R437" s="11" t="str">
        <f aca="false">IF(COUNTIF($A$2:A437,A437)&gt;1,"Duplicate - Remove","Unique")</f>
        <v>Unique</v>
      </c>
      <c r="S437" s="11" t="str">
        <f aca="false">TRIM(IF(Raw_Data!G437="","Region missing; ","")&amp;IF(Raw_Data!H437="","Spend imputed; ","")&amp;IF(Raw_Data!L437="","Revenue imputed; ","")&amp;IF(Raw_Data!J437&lt;0,"Clicks corrected; ",""))</f>
        <v/>
      </c>
    </row>
    <row r="438" customFormat="false" ht="15" hidden="false" customHeight="true" outlineLevel="0" collapsed="false">
      <c r="A438" s="11" t="n">
        <f aca="false">Raw_Data!A438</f>
        <v>1394</v>
      </c>
      <c r="B438" s="11" t="str">
        <f aca="false">PROPER(TRIM(Raw_Data!B438))</f>
        <v>Sunscreen Season Campaign</v>
      </c>
      <c r="C438" s="11" t="str">
        <f aca="false">IFERROR(INDEX(Lookup_Tables!$B$2:$B$26,MATCH(UPPER(TRIM(Raw_Data!C438)),Lookup_Tables!$C$2:$C$26,0)),"Unknown")</f>
        <v>YouTube</v>
      </c>
      <c r="D438" s="12" t="n">
        <f aca="false">IFERROR(IF(ISNUMBER(SEARCH("/",Raw_Data!D438)),DATE(VALUE(RIGHT(Raw_Data!D438,4)),VALUE(MID(Raw_Data!D438,FIND("/",Raw_Data!D438)+1,FIND("/",Raw_Data!D438,FIND("/",Raw_Data!D438)+1)-FIND("/",Raw_Data!D438)-1)),VALUE(LEFT(Raw_Data!D438,FIND("/",Raw_Data!D438)-1))),IF(ISNUMBER(VALUE(LEFT(Raw_Data!D438,4))),DATE(VALUE(LEFT(Raw_Data!D438,4)),VALUE(MID(Raw_Data!D438,6,2)),VALUE(MID(Raw_Data!D438,9,2))),DATEVALUE(Raw_Data!D438))),"")</f>
        <v>45471</v>
      </c>
      <c r="E438" s="12" t="n">
        <f aca="false">IFERROR(IF(ISNUMBER(SEARCH("/",Raw_Data!E438)),DATE(VALUE(RIGHT(Raw_Data!E438,4)),VALUE(MID(Raw_Data!E438,FIND("/",Raw_Data!E438)+1,FIND("/",Raw_Data!E438,FIND("/",Raw_Data!E438)+1)-FIND("/",Raw_Data!E438)-1)),VALUE(LEFT(Raw_Data!E438,FIND("/",Raw_Data!E438)-1))),IF(ISNUMBER(VALUE(LEFT(Raw_Data!E438,4))),DATE(VALUE(LEFT(Raw_Data!E438,4)),VALUE(MID(Raw_Data!E438,6,2)),VALUE(MID(Raw_Data!E438,9,2))),DATEVALUE(Raw_Data!E438))),"")</f>
        <v>45485</v>
      </c>
      <c r="F438" s="11" t="str">
        <f aca="false">Raw_Data!F438</f>
        <v>Male 18-24</v>
      </c>
      <c r="G438" s="11" t="str">
        <f aca="false">IF(TRIM(Raw_Data!G438)="","Unspecified",IFERROR(INDEX(Lookup_Tables!$F$2:$F$24,MATCH(UPPER(TRIM(Raw_Data!G438)),Lookup_Tables!$G$2:$G$24,0)),"Unknown"))</f>
        <v>Central</v>
      </c>
      <c r="H438" s="11" t="n">
        <f aca="false">IF(Raw_Data!H438="",ROUND(AVERAGEIFS(Raw_Data!$H$2:$H$839,Raw_Data!$C$2:$C$839,Raw_Data!C438),2),Raw_Data!H438)</f>
        <v>65019.18</v>
      </c>
      <c r="I438" s="11" t="n">
        <f aca="false">Raw_Data!I438</f>
        <v>2300182</v>
      </c>
      <c r="J438" s="11" t="n">
        <f aca="false">IF(Raw_Data!J438&lt;0,ABS(Raw_Data!J438),Raw_Data!J438)</f>
        <v>51024</v>
      </c>
      <c r="K438" s="11" t="n">
        <f aca="false">Raw_Data!K438</f>
        <v>1010</v>
      </c>
      <c r="L438" s="11" t="n">
        <f aca="false">IF(Raw_Data!L438="",ROUND(AVERAGEIFS(Raw_Data!$L$2:$L$839,Raw_Data!$C$2:$C$839,Raw_Data!C438),2),Raw_Data!L438)</f>
        <v>906591.45</v>
      </c>
      <c r="M438" s="13" t="n">
        <f aca="false">IFERROR(J438/I438,0)</f>
        <v>0.0221825925078972</v>
      </c>
      <c r="N438" s="14" t="n">
        <f aca="false">IFERROR(H438/J438,0)</f>
        <v>1.27428621825024</v>
      </c>
      <c r="O438" s="14" t="n">
        <f aca="false">IFERROR(H438/K438,0)</f>
        <v>64.3754257425743</v>
      </c>
      <c r="P438" s="15" t="n">
        <f aca="false">IFERROR(L438/H438,0)</f>
        <v>13.9434463799759</v>
      </c>
      <c r="Q438" s="13" t="n">
        <f aca="false">IFERROR(K438/J438,0)</f>
        <v>0.0197946064597052</v>
      </c>
      <c r="R438" s="11" t="str">
        <f aca="false">IF(COUNTIF($A$2:A438,A438)&gt;1,"Duplicate - Remove","Unique")</f>
        <v>Unique</v>
      </c>
      <c r="S438" s="11" t="str">
        <f aca="false">TRIM(IF(Raw_Data!G438="","Region missing; ","")&amp;IF(Raw_Data!H438="","Spend imputed; ","")&amp;IF(Raw_Data!L438="","Revenue imputed; ","")&amp;IF(Raw_Data!J438&lt;0,"Clicks corrected; ",""))</f>
        <v/>
      </c>
    </row>
    <row r="439" customFormat="false" ht="15" hidden="false" customHeight="true" outlineLevel="0" collapsed="false">
      <c r="A439" s="11" t="n">
        <f aca="false">Raw_Data!A439</f>
        <v>1090</v>
      </c>
      <c r="B439" s="11" t="str">
        <f aca="false">PROPER(TRIM(Raw_Data!B439))</f>
        <v>Hair Care Revamp</v>
      </c>
      <c r="C439" s="11" t="str">
        <f aca="false">IFERROR(INDEX(Lookup_Tables!$B$2:$B$26,MATCH(UPPER(TRIM(Raw_Data!C439)),Lookup_Tables!$C$2:$C$26,0)),"Unknown")</f>
        <v>Facebook</v>
      </c>
      <c r="D439" s="12" t="n">
        <f aca="false">IFERROR(IF(ISNUMBER(SEARCH("/",Raw_Data!D439)),DATE(VALUE(RIGHT(Raw_Data!D439,4)),VALUE(MID(Raw_Data!D439,FIND("/",Raw_Data!D439)+1,FIND("/",Raw_Data!D439,FIND("/",Raw_Data!D439)+1)-FIND("/",Raw_Data!D439)-1)),VALUE(LEFT(Raw_Data!D439,FIND("/",Raw_Data!D439)-1))),IF(ISNUMBER(VALUE(LEFT(Raw_Data!D439,4))),DATE(VALUE(LEFT(Raw_Data!D439,4)),VALUE(MID(Raw_Data!D439,6,2)),VALUE(MID(Raw_Data!D439,9,2))),DATEVALUE(Raw_Data!D439))),"")</f>
        <v>45374</v>
      </c>
      <c r="E439" s="12" t="n">
        <f aca="false">IFERROR(IF(ISNUMBER(SEARCH("/",Raw_Data!E439)),DATE(VALUE(RIGHT(Raw_Data!E439,4)),VALUE(MID(Raw_Data!E439,FIND("/",Raw_Data!E439)+1,FIND("/",Raw_Data!E439,FIND("/",Raw_Data!E439)+1)-FIND("/",Raw_Data!E439)-1)),VALUE(LEFT(Raw_Data!E439,FIND("/",Raw_Data!E439)-1))),IF(ISNUMBER(VALUE(LEFT(Raw_Data!E439,4))),DATE(VALUE(LEFT(Raw_Data!E439,4)),VALUE(MID(Raw_Data!E439,6,2)),VALUE(MID(Raw_Data!E439,9,2))),DATEVALUE(Raw_Data!E439))),"")</f>
        <v>45389</v>
      </c>
      <c r="F439" s="11" t="str">
        <f aca="false">Raw_Data!F439</f>
        <v>Female 35-44</v>
      </c>
      <c r="G439" s="11" t="str">
        <f aca="false">IF(TRIM(Raw_Data!G439)="","Unspecified",IFERROR(INDEX(Lookup_Tables!$F$2:$F$24,MATCH(UPPER(TRIM(Raw_Data!G439)),Lookup_Tables!$G$2:$G$24,0)),"Unknown"))</f>
        <v>North</v>
      </c>
      <c r="H439" s="11" t="n">
        <f aca="false">IF(Raw_Data!H439="",ROUND(AVERAGEIFS(Raw_Data!$H$2:$H$839,Raw_Data!$C$2:$C$839,Raw_Data!C439),2),Raw_Data!H439)</f>
        <v>15920.69</v>
      </c>
      <c r="I439" s="11" t="n">
        <f aca="false">Raw_Data!I439</f>
        <v>615924</v>
      </c>
      <c r="J439" s="11" t="n">
        <f aca="false">IF(Raw_Data!J439&lt;0,ABS(Raw_Data!J439),Raw_Data!J439)</f>
        <v>12667</v>
      </c>
      <c r="K439" s="11" t="n">
        <f aca="false">Raw_Data!K439</f>
        <v>378</v>
      </c>
      <c r="L439" s="11" t="n">
        <f aca="false">IF(Raw_Data!L439="",ROUND(AVERAGEIFS(Raw_Data!$L$2:$L$839,Raw_Data!$C$2:$C$839,Raw_Data!C439),2),Raw_Data!L439)</f>
        <v>175523.11</v>
      </c>
      <c r="M439" s="13" t="n">
        <f aca="false">IFERROR(J439/I439,0)</f>
        <v>0.0205658490333223</v>
      </c>
      <c r="N439" s="14" t="n">
        <f aca="false">IFERROR(H439/J439,0)</f>
        <v>1.25686350359201</v>
      </c>
      <c r="O439" s="14" t="n">
        <f aca="false">IFERROR(H439/K439,0)</f>
        <v>42.1182275132275</v>
      </c>
      <c r="P439" s="15" t="n">
        <f aca="false">IFERROR(L439/H439,0)</f>
        <v>11.0248431443612</v>
      </c>
      <c r="Q439" s="13" t="n">
        <f aca="false">IFERROR(K439/J439,0)</f>
        <v>0.0298413199652641</v>
      </c>
      <c r="R439" s="11" t="str">
        <f aca="false">IF(COUNTIF($A$2:A439,A439)&gt;1,"Duplicate - Remove","Unique")</f>
        <v>Unique</v>
      </c>
      <c r="S439" s="11" t="str">
        <f aca="false">TRIM(IF(Raw_Data!G439="","Region missing; ","")&amp;IF(Raw_Data!H439="","Spend imputed; ","")&amp;IF(Raw_Data!L439="","Revenue imputed; ","")&amp;IF(Raw_Data!J439&lt;0,"Clicks corrected; ",""))</f>
        <v/>
      </c>
    </row>
    <row r="440" customFormat="false" ht="15" hidden="false" customHeight="true" outlineLevel="0" collapsed="false">
      <c r="A440" s="11" t="n">
        <f aca="false">Raw_Data!A440</f>
        <v>1052</v>
      </c>
      <c r="B440" s="11" t="str">
        <f aca="false">PROPER(TRIM(Raw_Data!B440))</f>
        <v>Clearance Sale Push</v>
      </c>
      <c r="C440" s="11" t="str">
        <f aca="false">IFERROR(INDEX(Lookup_Tables!$B$2:$B$26,MATCH(UPPER(TRIM(Raw_Data!C440)),Lookup_Tables!$C$2:$C$26,0)),"Unknown")</f>
        <v>Instagram</v>
      </c>
      <c r="D440" s="12" t="n">
        <f aca="false">IFERROR(IF(ISNUMBER(SEARCH("/",Raw_Data!D440)),DATE(VALUE(RIGHT(Raw_Data!D440,4)),VALUE(MID(Raw_Data!D440,FIND("/",Raw_Data!D440)+1,FIND("/",Raw_Data!D440,FIND("/",Raw_Data!D440)+1)-FIND("/",Raw_Data!D440)-1)),VALUE(LEFT(Raw_Data!D440,FIND("/",Raw_Data!D440)-1))),IF(ISNUMBER(VALUE(LEFT(Raw_Data!D440,4))),DATE(VALUE(LEFT(Raw_Data!D440,4)),VALUE(MID(Raw_Data!D440,6,2)),VALUE(MID(Raw_Data!D440,9,2))),DATEVALUE(Raw_Data!D440))),"")</f>
        <v>45404</v>
      </c>
      <c r="E440" s="12" t="n">
        <f aca="false">IFERROR(IF(ISNUMBER(SEARCH("/",Raw_Data!E440)),DATE(VALUE(RIGHT(Raw_Data!E440,4)),VALUE(MID(Raw_Data!E440,FIND("/",Raw_Data!E440)+1,FIND("/",Raw_Data!E440,FIND("/",Raw_Data!E440)+1)-FIND("/",Raw_Data!E440)-1)),VALUE(LEFT(Raw_Data!E440,FIND("/",Raw_Data!E440)-1))),IF(ISNUMBER(VALUE(LEFT(Raw_Data!E440,4))),DATE(VALUE(LEFT(Raw_Data!E440,4)),VALUE(MID(Raw_Data!E440,6,2)),VALUE(MID(Raw_Data!E440,9,2))),DATEVALUE(Raw_Data!E440))),"")</f>
        <v>45429</v>
      </c>
      <c r="F440" s="11" t="str">
        <f aca="false">Raw_Data!F440</f>
        <v>Male 35-44</v>
      </c>
      <c r="G440" s="11" t="str">
        <f aca="false">IF(TRIM(Raw_Data!G440)="","Unspecified",IFERROR(INDEX(Lookup_Tables!$F$2:$F$24,MATCH(UPPER(TRIM(Raw_Data!G440)),Lookup_Tables!$G$2:$G$24,0)),"Unknown"))</f>
        <v>East</v>
      </c>
      <c r="H440" s="11" t="n">
        <f aca="false">IF(Raw_Data!H440="",ROUND(AVERAGEIFS(Raw_Data!$H$2:$H$839,Raw_Data!$C$2:$C$839,Raw_Data!C440),2),Raw_Data!H440)</f>
        <v>40286.34</v>
      </c>
      <c r="I440" s="11" t="n">
        <f aca="false">Raw_Data!I440</f>
        <v>1286911</v>
      </c>
      <c r="J440" s="11" t="n">
        <f aca="false">IF(Raw_Data!J440&lt;0,ABS(Raw_Data!J440),Raw_Data!J440)</f>
        <v>34267</v>
      </c>
      <c r="K440" s="11" t="n">
        <f aca="false">Raw_Data!K440</f>
        <v>1923</v>
      </c>
      <c r="L440" s="11" t="n">
        <f aca="false">IF(Raw_Data!L440="",ROUND(AVERAGEIFS(Raw_Data!$L$2:$L$839,Raw_Data!$C$2:$C$839,Raw_Data!C440),2),Raw_Data!L440)</f>
        <v>3010627.3</v>
      </c>
      <c r="M440" s="13" t="n">
        <f aca="false">IFERROR(J440/I440,0)</f>
        <v>0.0266273269868701</v>
      </c>
      <c r="N440" s="14" t="n">
        <f aca="false">IFERROR(H440/J440,0)</f>
        <v>1.17565996439723</v>
      </c>
      <c r="O440" s="14" t="n">
        <f aca="false">IFERROR(H440/K440,0)</f>
        <v>20.9497347893916</v>
      </c>
      <c r="P440" s="15" t="n">
        <f aca="false">IFERROR(L440/H440,0)</f>
        <v>74.7307226221096</v>
      </c>
      <c r="Q440" s="13" t="n">
        <f aca="false">IFERROR(K440/J440,0)</f>
        <v>0.0561181311465842</v>
      </c>
      <c r="R440" s="11" t="str">
        <f aca="false">IF(COUNTIF($A$2:A440,A440)&gt;1,"Duplicate - Remove","Unique")</f>
        <v>Unique</v>
      </c>
      <c r="S440" s="11" t="str">
        <f aca="false">TRIM(IF(Raw_Data!G440="","Region missing; ","")&amp;IF(Raw_Data!H440="","Spend imputed; ","")&amp;IF(Raw_Data!L440="","Revenue imputed; ","")&amp;IF(Raw_Data!J440&lt;0,"Clicks corrected; ",""))</f>
        <v/>
      </c>
    </row>
    <row r="441" customFormat="false" ht="15" hidden="false" customHeight="true" outlineLevel="0" collapsed="false">
      <c r="A441" s="11" t="n">
        <f aca="false">Raw_Data!A441</f>
        <v>1109</v>
      </c>
      <c r="B441" s="11" t="str">
        <f aca="false">PROPER(TRIM(Raw_Data!B441))</f>
        <v>Influencer Collab - Skincare</v>
      </c>
      <c r="C441" s="11" t="str">
        <f aca="false">IFERROR(INDEX(Lookup_Tables!$B$2:$B$26,MATCH(UPPER(TRIM(Raw_Data!C441)),Lookup_Tables!$C$2:$C$26,0)),"Unknown")</f>
        <v>YouTube</v>
      </c>
      <c r="D441" s="12" t="n">
        <f aca="false">IFERROR(IF(ISNUMBER(SEARCH("/",Raw_Data!D441)),DATE(VALUE(RIGHT(Raw_Data!D441,4)),VALUE(MID(Raw_Data!D441,FIND("/",Raw_Data!D441)+1,FIND("/",Raw_Data!D441,FIND("/",Raw_Data!D441)+1)-FIND("/",Raw_Data!D441)-1)),VALUE(LEFT(Raw_Data!D441,FIND("/",Raw_Data!D441)-1))),IF(ISNUMBER(VALUE(LEFT(Raw_Data!D441,4))),DATE(VALUE(LEFT(Raw_Data!D441,4)),VALUE(MID(Raw_Data!D441,6,2)),VALUE(MID(Raw_Data!D441,9,2))),DATEVALUE(Raw_Data!D441))),"")</f>
        <v>45449</v>
      </c>
      <c r="E441" s="12" t="n">
        <f aca="false">IFERROR(IF(ISNUMBER(SEARCH("/",Raw_Data!E441)),DATE(VALUE(RIGHT(Raw_Data!E441,4)),VALUE(MID(Raw_Data!E441,FIND("/",Raw_Data!E441)+1,FIND("/",Raw_Data!E441,FIND("/",Raw_Data!E441)+1)-FIND("/",Raw_Data!E441)-1)),VALUE(LEFT(Raw_Data!E441,FIND("/",Raw_Data!E441)-1))),IF(ISNUMBER(VALUE(LEFT(Raw_Data!E441,4))),DATE(VALUE(LEFT(Raw_Data!E441,4)),VALUE(MID(Raw_Data!E441,6,2)),VALUE(MID(Raw_Data!E441,9,2))),DATEVALUE(Raw_Data!E441))),"")</f>
        <v>45477</v>
      </c>
      <c r="F441" s="11" t="str">
        <f aca="false">Raw_Data!F441</f>
        <v>Male 45+</v>
      </c>
      <c r="G441" s="11" t="str">
        <f aca="false">IF(TRIM(Raw_Data!G441)="","Unspecified",IFERROR(INDEX(Lookup_Tables!$F$2:$F$24,MATCH(UPPER(TRIM(Raw_Data!G441)),Lookup_Tables!$G$2:$G$24,0)),"Unknown"))</f>
        <v>West</v>
      </c>
      <c r="H441" s="11" t="n">
        <f aca="false">IF(Raw_Data!H441="",ROUND(AVERAGEIFS(Raw_Data!$H$2:$H$839,Raw_Data!$C$2:$C$839,Raw_Data!C441),2),Raw_Data!H441)</f>
        <v>44696.15</v>
      </c>
      <c r="I441" s="11" t="n">
        <f aca="false">Raw_Data!I441</f>
        <v>1582750</v>
      </c>
      <c r="J441" s="11" t="n">
        <f aca="false">IF(Raw_Data!J441&lt;0,ABS(Raw_Data!J441),Raw_Data!J441)</f>
        <v>43326</v>
      </c>
      <c r="K441" s="11" t="n">
        <f aca="false">Raw_Data!K441</f>
        <v>2187</v>
      </c>
      <c r="L441" s="11" t="n">
        <f aca="false">IF(Raw_Data!L441="",ROUND(AVERAGEIFS(Raw_Data!$L$2:$L$839,Raw_Data!$C$2:$C$839,Raw_Data!C441),2),Raw_Data!L441)</f>
        <v>909070.76</v>
      </c>
      <c r="M441" s="13" t="n">
        <f aca="false">IFERROR(J441/I441,0)</f>
        <v>0.0273738745853736</v>
      </c>
      <c r="N441" s="14" t="n">
        <f aca="false">IFERROR(H441/J441,0)</f>
        <v>1.03162419794119</v>
      </c>
      <c r="O441" s="14" t="n">
        <f aca="false">IFERROR(H441/K441,0)</f>
        <v>20.4371970736168</v>
      </c>
      <c r="P441" s="15" t="n">
        <f aca="false">IFERROR(L441/H441,0)</f>
        <v>20.3389052524658</v>
      </c>
      <c r="Q441" s="13" t="n">
        <f aca="false">IFERROR(K441/J441,0)</f>
        <v>0.050477773161612</v>
      </c>
      <c r="R441" s="11" t="str">
        <f aca="false">IF(COUNTIF($A$2:A441,A441)&gt;1,"Duplicate - Remove","Unique")</f>
        <v>Unique</v>
      </c>
      <c r="S441" s="11" t="str">
        <f aca="false">TRIM(IF(Raw_Data!G441="","Region missing; ","")&amp;IF(Raw_Data!H441="","Spend imputed; ","")&amp;IF(Raw_Data!L441="","Revenue imputed; ","")&amp;IF(Raw_Data!J441&lt;0,"Clicks corrected; ",""))</f>
        <v/>
      </c>
    </row>
    <row r="442" customFormat="false" ht="15" hidden="false" customHeight="true" outlineLevel="0" collapsed="false">
      <c r="A442" s="11" t="n">
        <f aca="false">Raw_Data!A442</f>
        <v>1501</v>
      </c>
      <c r="B442" s="11" t="str">
        <f aca="false">PROPER(TRIM(Raw_Data!B442))</f>
        <v>Clearance Sale Push</v>
      </c>
      <c r="C442" s="11" t="str">
        <f aca="false">IFERROR(INDEX(Lookup_Tables!$B$2:$B$26,MATCH(UPPER(TRIM(Raw_Data!C442)),Lookup_Tables!$C$2:$C$26,0)),"Unknown")</f>
        <v>Facebook</v>
      </c>
      <c r="D442" s="12" t="n">
        <f aca="false">IFERROR(IF(ISNUMBER(SEARCH("/",Raw_Data!D442)),DATE(VALUE(RIGHT(Raw_Data!D442,4)),VALUE(MID(Raw_Data!D442,FIND("/",Raw_Data!D442)+1,FIND("/",Raw_Data!D442,FIND("/",Raw_Data!D442)+1)-FIND("/",Raw_Data!D442)-1)),VALUE(LEFT(Raw_Data!D442,FIND("/",Raw_Data!D442)-1))),IF(ISNUMBER(VALUE(LEFT(Raw_Data!D442,4))),DATE(VALUE(LEFT(Raw_Data!D442,4)),VALUE(MID(Raw_Data!D442,6,2)),VALUE(MID(Raw_Data!D442,9,2))),DATEVALUE(Raw_Data!D442))),"")</f>
        <v>45438</v>
      </c>
      <c r="E442" s="12" t="n">
        <f aca="false">IFERROR(IF(ISNUMBER(SEARCH("/",Raw_Data!E442)),DATE(VALUE(RIGHT(Raw_Data!E442,4)),VALUE(MID(Raw_Data!E442,FIND("/",Raw_Data!E442)+1,FIND("/",Raw_Data!E442,FIND("/",Raw_Data!E442)+1)-FIND("/",Raw_Data!E442)-1)),VALUE(LEFT(Raw_Data!E442,FIND("/",Raw_Data!E442)-1))),IF(ISNUMBER(VALUE(LEFT(Raw_Data!E442,4))),DATE(VALUE(LEFT(Raw_Data!E442,4)),VALUE(MID(Raw_Data!E442,6,2)),VALUE(MID(Raw_Data!E442,9,2))),DATEVALUE(Raw_Data!E442))),"")</f>
        <v>45446</v>
      </c>
      <c r="F442" s="11" t="str">
        <f aca="false">Raw_Data!F442</f>
        <v>Female 18-24</v>
      </c>
      <c r="G442" s="11" t="str">
        <f aca="false">IF(TRIM(Raw_Data!G442)="","Unspecified",IFERROR(INDEX(Lookup_Tables!$F$2:$F$24,MATCH(UPPER(TRIM(Raw_Data!G442)),Lookup_Tables!$G$2:$G$24,0)),"Unknown"))</f>
        <v>East</v>
      </c>
      <c r="H442" s="11" t="n">
        <f aca="false">IF(Raw_Data!H442="",ROUND(AVERAGEIFS(Raw_Data!$H$2:$H$839,Raw_Data!$C$2:$C$839,Raw_Data!C442),2),Raw_Data!H442)</f>
        <v>8640.04</v>
      </c>
      <c r="I442" s="11" t="n">
        <f aca="false">Raw_Data!I442</f>
        <v>268371</v>
      </c>
      <c r="J442" s="11" t="n">
        <f aca="false">IF(Raw_Data!J442&lt;0,ABS(Raw_Data!J442),Raw_Data!J442)</f>
        <v>6206</v>
      </c>
      <c r="K442" s="11" t="n">
        <f aca="false">Raw_Data!K442</f>
        <v>137</v>
      </c>
      <c r="L442" s="11" t="n">
        <f aca="false">IF(Raw_Data!L442="",ROUND(AVERAGEIFS(Raw_Data!$L$2:$L$839,Raw_Data!$C$2:$C$839,Raw_Data!C442),2),Raw_Data!L442)</f>
        <v>79803.29</v>
      </c>
      <c r="M442" s="13" t="n">
        <f aca="false">IFERROR(J442/I442,0)</f>
        <v>0.023124704234064</v>
      </c>
      <c r="N442" s="14" t="n">
        <f aca="false">IFERROR(H442/J442,0)</f>
        <v>1.39220754108927</v>
      </c>
      <c r="O442" s="14" t="n">
        <f aca="false">IFERROR(H442/K442,0)</f>
        <v>63.0659854014599</v>
      </c>
      <c r="P442" s="15" t="n">
        <f aca="false">IFERROR(L442/H442,0)</f>
        <v>9.23644913680955</v>
      </c>
      <c r="Q442" s="13" t="n">
        <f aca="false">IFERROR(K442/J442,0)</f>
        <v>0.0220754108926845</v>
      </c>
      <c r="R442" s="11" t="str">
        <f aca="false">IF(COUNTIF($A$2:A442,A442)&gt;1,"Duplicate - Remove","Unique")</f>
        <v>Unique</v>
      </c>
      <c r="S442" s="11" t="str">
        <f aca="false">TRIM(IF(Raw_Data!G442="","Region missing; ","")&amp;IF(Raw_Data!H442="","Spend imputed; ","")&amp;IF(Raw_Data!L442="","Revenue imputed; ","")&amp;IF(Raw_Data!J442&lt;0,"Clicks corrected; ",""))</f>
        <v/>
      </c>
    </row>
    <row r="443" customFormat="false" ht="15" hidden="false" customHeight="true" outlineLevel="0" collapsed="false">
      <c r="A443" s="11" t="n">
        <f aca="false">Raw_Data!A443</f>
        <v>1165</v>
      </c>
      <c r="B443" s="11" t="str">
        <f aca="false">PROPER(TRIM(Raw_Data!B443))</f>
        <v>Sunscreen Season Campaign</v>
      </c>
      <c r="C443" s="11" t="str">
        <f aca="false">IFERROR(INDEX(Lookup_Tables!$B$2:$B$26,MATCH(UPPER(TRIM(Raw_Data!C443)),Lookup_Tables!$C$2:$C$26,0)),"Unknown")</f>
        <v>Google Ads</v>
      </c>
      <c r="D443" s="12" t="n">
        <f aca="false">IFERROR(IF(ISNUMBER(SEARCH("/",Raw_Data!D443)),DATE(VALUE(RIGHT(Raw_Data!D443,4)),VALUE(MID(Raw_Data!D443,FIND("/",Raw_Data!D443)+1,FIND("/",Raw_Data!D443,FIND("/",Raw_Data!D443)+1)-FIND("/",Raw_Data!D443)-1)),VALUE(LEFT(Raw_Data!D443,FIND("/",Raw_Data!D443)-1))),IF(ISNUMBER(VALUE(LEFT(Raw_Data!D443,4))),DATE(VALUE(LEFT(Raw_Data!D443,4)),VALUE(MID(Raw_Data!D443,6,2)),VALUE(MID(Raw_Data!D443,9,2))),DATEVALUE(Raw_Data!D443))),"")</f>
        <v>45292</v>
      </c>
      <c r="E443" s="12" t="n">
        <f aca="false">IFERROR(IF(ISNUMBER(SEARCH("/",Raw_Data!E443)),DATE(VALUE(RIGHT(Raw_Data!E443,4)),VALUE(MID(Raw_Data!E443,FIND("/",Raw_Data!E443)+1,FIND("/",Raw_Data!E443,FIND("/",Raw_Data!E443)+1)-FIND("/",Raw_Data!E443)-1)),VALUE(LEFT(Raw_Data!E443,FIND("/",Raw_Data!E443)-1))),IF(ISNUMBER(VALUE(LEFT(Raw_Data!E443,4))),DATE(VALUE(LEFT(Raw_Data!E443,4)),VALUE(MID(Raw_Data!E443,6,2)),VALUE(MID(Raw_Data!E443,9,2))),DATEVALUE(Raw_Data!E443))),"")</f>
        <v>45307</v>
      </c>
      <c r="F443" s="11" t="str">
        <f aca="false">Raw_Data!F443</f>
        <v>Male 45+</v>
      </c>
      <c r="G443" s="11" t="str">
        <f aca="false">IF(TRIM(Raw_Data!G443)="","Unspecified",IFERROR(INDEX(Lookup_Tables!$F$2:$F$24,MATCH(UPPER(TRIM(Raw_Data!G443)),Lookup_Tables!$G$2:$G$24,0)),"Unknown"))</f>
        <v>Unspecified</v>
      </c>
      <c r="H443" s="11" t="n">
        <f aca="false">IF(Raw_Data!H443="",ROUND(AVERAGEIFS(Raw_Data!$H$2:$H$839,Raw_Data!$C$2:$C$839,Raw_Data!C443),2),Raw_Data!H443)</f>
        <v>24102.51</v>
      </c>
      <c r="I443" s="11" t="n">
        <f aca="false">Raw_Data!I443</f>
        <v>440165</v>
      </c>
      <c r="J443" s="11" t="n">
        <f aca="false">IF(Raw_Data!J443&lt;0,ABS(Raw_Data!J443),Raw_Data!J443)</f>
        <v>11667</v>
      </c>
      <c r="K443" s="11" t="n">
        <f aca="false">Raw_Data!K443</f>
        <v>867</v>
      </c>
      <c r="L443" s="11" t="n">
        <f aca="false">IF(Raw_Data!L443="",ROUND(AVERAGEIFS(Raw_Data!$L$2:$L$839,Raw_Data!$C$2:$C$839,Raw_Data!C443),2),Raw_Data!L443)</f>
        <v>1364841.74</v>
      </c>
      <c r="M443" s="13" t="n">
        <f aca="false">IFERROR(J443/I443,0)</f>
        <v>0.0265059693524019</v>
      </c>
      <c r="N443" s="14" t="n">
        <f aca="false">IFERROR(H443/J443,0)</f>
        <v>2.06587040370275</v>
      </c>
      <c r="O443" s="14" t="n">
        <f aca="false">IFERROR(H443/K443,0)</f>
        <v>27.7998961937716</v>
      </c>
      <c r="P443" s="15" t="n">
        <f aca="false">IFERROR(L443/H443,0)</f>
        <v>56.6265397255307</v>
      </c>
      <c r="Q443" s="13" t="n">
        <f aca="false">IFERROR(K443/J443,0)</f>
        <v>0.0743121625096426</v>
      </c>
      <c r="R443" s="11" t="str">
        <f aca="false">IF(COUNTIF($A$2:A443,A443)&gt;1,"Duplicate - Remove","Unique")</f>
        <v>Unique</v>
      </c>
      <c r="S443" s="11" t="str">
        <f aca="false">TRIM(IF(Raw_Data!G443="","Region missing; ","")&amp;IF(Raw_Data!H443="","Spend imputed; ","")&amp;IF(Raw_Data!L443="","Revenue imputed; ","")&amp;IF(Raw_Data!J443&lt;0,"Clicks corrected; ",""))</f>
        <v>Region missing;</v>
      </c>
    </row>
    <row r="444" customFormat="false" ht="15" hidden="false" customHeight="true" outlineLevel="0" collapsed="false">
      <c r="A444" s="11" t="n">
        <f aca="false">Raw_Data!A444</f>
        <v>1038</v>
      </c>
      <c r="B444" s="11" t="str">
        <f aca="false">PROPER(TRIM(Raw_Data!B444))</f>
        <v>Baby Care Trust Campaign</v>
      </c>
      <c r="C444" s="11" t="str">
        <f aca="false">IFERROR(INDEX(Lookup_Tables!$B$2:$B$26,MATCH(UPPER(TRIM(Raw_Data!C444)),Lookup_Tables!$C$2:$C$26,0)),"Unknown")</f>
        <v>Email</v>
      </c>
      <c r="D444" s="12" t="n">
        <f aca="false">IFERROR(IF(ISNUMBER(SEARCH("/",Raw_Data!D444)),DATE(VALUE(RIGHT(Raw_Data!D444,4)),VALUE(MID(Raw_Data!D444,FIND("/",Raw_Data!D444)+1,FIND("/",Raw_Data!D444,FIND("/",Raw_Data!D444)+1)-FIND("/",Raw_Data!D444)-1)),VALUE(LEFT(Raw_Data!D444,FIND("/",Raw_Data!D444)-1))),IF(ISNUMBER(VALUE(LEFT(Raw_Data!D444,4))),DATE(VALUE(LEFT(Raw_Data!D444,4)),VALUE(MID(Raw_Data!D444,6,2)),VALUE(MID(Raw_Data!D444,9,2))),DATEVALUE(Raw_Data!D444))),"")</f>
        <v>45419</v>
      </c>
      <c r="E444" s="12" t="n">
        <f aca="false">IFERROR(IF(ISNUMBER(SEARCH("/",Raw_Data!E444)),DATE(VALUE(RIGHT(Raw_Data!E444,4)),VALUE(MID(Raw_Data!E444,FIND("/",Raw_Data!E444)+1,FIND("/",Raw_Data!E444,FIND("/",Raw_Data!E444)+1)-FIND("/",Raw_Data!E444)-1)),VALUE(LEFT(Raw_Data!E444,FIND("/",Raw_Data!E444)-1))),IF(ISNUMBER(VALUE(LEFT(Raw_Data!E444,4))),DATE(VALUE(LEFT(Raw_Data!E444,4)),VALUE(MID(Raw_Data!E444,6,2)),VALUE(MID(Raw_Data!E444,9,2))),DATEVALUE(Raw_Data!E444))),"")</f>
        <v>45427</v>
      </c>
      <c r="F444" s="11" t="str">
        <f aca="false">Raw_Data!F444</f>
        <v>Female 25-34</v>
      </c>
      <c r="G444" s="11" t="str">
        <f aca="false">IF(TRIM(Raw_Data!G444)="","Unspecified",IFERROR(INDEX(Lookup_Tables!$F$2:$F$24,MATCH(UPPER(TRIM(Raw_Data!G444)),Lookup_Tables!$G$2:$G$24,0)),"Unknown"))</f>
        <v>South</v>
      </c>
      <c r="H444" s="11" t="n">
        <f aca="false">IF(Raw_Data!H444="",ROUND(AVERAGEIFS(Raw_Data!$H$2:$H$839,Raw_Data!$C$2:$C$839,Raw_Data!C444),2),Raw_Data!H444)</f>
        <v>6351.1</v>
      </c>
      <c r="I444" s="11" t="n">
        <f aca="false">Raw_Data!I444</f>
        <v>191536</v>
      </c>
      <c r="J444" s="11" t="n">
        <f aca="false">IF(Raw_Data!J444&lt;0,ABS(Raw_Data!J444),Raw_Data!J444)</f>
        <v>5501</v>
      </c>
      <c r="K444" s="11" t="n">
        <f aca="false">Raw_Data!K444</f>
        <v>141</v>
      </c>
      <c r="L444" s="11" t="n">
        <f aca="false">IF(Raw_Data!L444="",ROUND(AVERAGEIFS(Raw_Data!$L$2:$L$839,Raw_Data!$C$2:$C$839,Raw_Data!C444),2),Raw_Data!L444)</f>
        <v>156189.95</v>
      </c>
      <c r="M444" s="13" t="n">
        <f aca="false">IFERROR(J444/I444,0)</f>
        <v>0.0287204494194303</v>
      </c>
      <c r="N444" s="14" t="n">
        <f aca="false">IFERROR(H444/J444,0)</f>
        <v>1.15453553899291</v>
      </c>
      <c r="O444" s="14" t="n">
        <f aca="false">IFERROR(H444/K444,0)</f>
        <v>45.0432624113475</v>
      </c>
      <c r="P444" s="15" t="n">
        <f aca="false">IFERROR(L444/H444,0)</f>
        <v>24.592582387303</v>
      </c>
      <c r="Q444" s="13" t="n">
        <f aca="false">IFERROR(K444/J444,0)</f>
        <v>0.0256317033266679</v>
      </c>
      <c r="R444" s="11" t="str">
        <f aca="false">IF(COUNTIF($A$2:A444,A444)&gt;1,"Duplicate - Remove","Unique")</f>
        <v>Unique</v>
      </c>
      <c r="S444" s="11" t="str">
        <f aca="false">TRIM(IF(Raw_Data!G444="","Region missing; ","")&amp;IF(Raw_Data!H444="","Spend imputed; ","")&amp;IF(Raw_Data!L444="","Revenue imputed; ","")&amp;IF(Raw_Data!J444&lt;0,"Clicks corrected; ",""))</f>
        <v/>
      </c>
    </row>
    <row r="445" customFormat="false" ht="15" hidden="false" customHeight="true" outlineLevel="0" collapsed="false">
      <c r="A445" s="11" t="n">
        <f aca="false">Raw_Data!A445</f>
        <v>1751</v>
      </c>
      <c r="B445" s="11" t="str">
        <f aca="false">PROPER(TRIM(Raw_Data!B445))</f>
        <v>Hair Care Revamp</v>
      </c>
      <c r="C445" s="11" t="str">
        <f aca="false">IFERROR(INDEX(Lookup_Tables!$B$2:$B$26,MATCH(UPPER(TRIM(Raw_Data!C445)),Lookup_Tables!$C$2:$C$26,0)),"Unknown")</f>
        <v>Email</v>
      </c>
      <c r="D445" s="12" t="n">
        <f aca="false">IFERROR(IF(ISNUMBER(SEARCH("/",Raw_Data!D445)),DATE(VALUE(RIGHT(Raw_Data!D445,4)),VALUE(MID(Raw_Data!D445,FIND("/",Raw_Data!D445)+1,FIND("/",Raw_Data!D445,FIND("/",Raw_Data!D445)+1)-FIND("/",Raw_Data!D445)-1)),VALUE(LEFT(Raw_Data!D445,FIND("/",Raw_Data!D445)-1))),IF(ISNUMBER(VALUE(LEFT(Raw_Data!D445,4))),DATE(VALUE(LEFT(Raw_Data!D445,4)),VALUE(MID(Raw_Data!D445,6,2)),VALUE(MID(Raw_Data!D445,9,2))),DATEVALUE(Raw_Data!D445))),"")</f>
        <v>45584</v>
      </c>
      <c r="E445" s="12" t="n">
        <f aca="false">IFERROR(IF(ISNUMBER(SEARCH("/",Raw_Data!E445)),DATE(VALUE(RIGHT(Raw_Data!E445,4)),VALUE(MID(Raw_Data!E445,FIND("/",Raw_Data!E445)+1,FIND("/",Raw_Data!E445,FIND("/",Raw_Data!E445)+1)-FIND("/",Raw_Data!E445)-1)),VALUE(LEFT(Raw_Data!E445,FIND("/",Raw_Data!E445)-1))),IF(ISNUMBER(VALUE(LEFT(Raw_Data!E445,4))),DATE(VALUE(LEFT(Raw_Data!E445,4)),VALUE(MID(Raw_Data!E445,6,2)),VALUE(MID(Raw_Data!E445,9,2))),DATEVALUE(Raw_Data!E445))),"")</f>
        <v>45594</v>
      </c>
      <c r="F445" s="11" t="str">
        <f aca="false">Raw_Data!F445</f>
        <v>Female 25-34</v>
      </c>
      <c r="G445" s="11" t="str">
        <f aca="false">IF(TRIM(Raw_Data!G445)="","Unspecified",IFERROR(INDEX(Lookup_Tables!$F$2:$F$24,MATCH(UPPER(TRIM(Raw_Data!G445)),Lookup_Tables!$G$2:$G$24,0)),"Unknown"))</f>
        <v>Unspecified</v>
      </c>
      <c r="H445" s="11" t="n">
        <f aca="false">IF(Raw_Data!H445="",ROUND(AVERAGEIFS(Raw_Data!$H$2:$H$839,Raw_Data!$C$2:$C$839,Raw_Data!C445),2),Raw_Data!H445)</f>
        <v>2375.62</v>
      </c>
      <c r="I445" s="11" t="n">
        <f aca="false">Raw_Data!I445</f>
        <v>74823</v>
      </c>
      <c r="J445" s="11" t="n">
        <f aca="false">IF(Raw_Data!J445&lt;0,ABS(Raw_Data!J445),Raw_Data!J445)</f>
        <v>1599</v>
      </c>
      <c r="K445" s="11" t="n">
        <f aca="false">Raw_Data!K445</f>
        <v>78</v>
      </c>
      <c r="L445" s="11" t="n">
        <f aca="false">IF(Raw_Data!L445="",ROUND(AVERAGEIFS(Raw_Data!$L$2:$L$839,Raw_Data!$C$2:$C$839,Raw_Data!C445),2),Raw_Data!L445)</f>
        <v>81348.2</v>
      </c>
      <c r="M445" s="13" t="n">
        <f aca="false">IFERROR(J445/I445,0)</f>
        <v>0.0213704342247705</v>
      </c>
      <c r="N445" s="14" t="n">
        <f aca="false">IFERROR(H445/J445,0)</f>
        <v>1.48569105691057</v>
      </c>
      <c r="O445" s="14" t="n">
        <f aca="false">IFERROR(H445/K445,0)</f>
        <v>30.4566666666667</v>
      </c>
      <c r="P445" s="15" t="n">
        <f aca="false">IFERROR(L445/H445,0)</f>
        <v>34.2429344760526</v>
      </c>
      <c r="Q445" s="13" t="n">
        <f aca="false">IFERROR(K445/J445,0)</f>
        <v>0.0487804878048781</v>
      </c>
      <c r="R445" s="11" t="str">
        <f aca="false">IF(COUNTIF($A$2:A445,A445)&gt;1,"Duplicate - Remove","Unique")</f>
        <v>Unique</v>
      </c>
      <c r="S445" s="11" t="str">
        <f aca="false">TRIM(IF(Raw_Data!G445="","Region missing; ","")&amp;IF(Raw_Data!H445="","Spend imputed; ","")&amp;IF(Raw_Data!L445="","Revenue imputed; ","")&amp;IF(Raw_Data!J445&lt;0,"Clicks corrected; ",""))</f>
        <v>Region missing;</v>
      </c>
    </row>
    <row r="446" customFormat="false" ht="15" hidden="false" customHeight="true" outlineLevel="0" collapsed="false">
      <c r="A446" s="11" t="n">
        <f aca="false">Raw_Data!A446</f>
        <v>1351</v>
      </c>
      <c r="B446" s="11" t="str">
        <f aca="false">PROPER(TRIM(Raw_Data!B446))</f>
        <v>Anti-Ageing Serum Push</v>
      </c>
      <c r="C446" s="11" t="str">
        <f aca="false">IFERROR(INDEX(Lookup_Tables!$B$2:$B$26,MATCH(UPPER(TRIM(Raw_Data!C446)),Lookup_Tables!$C$2:$C$26,0)),"Unknown")</f>
        <v>Facebook</v>
      </c>
      <c r="D446" s="12" t="n">
        <f aca="false">IFERROR(IF(ISNUMBER(SEARCH("/",Raw_Data!D446)),DATE(VALUE(RIGHT(Raw_Data!D446,4)),VALUE(MID(Raw_Data!D446,FIND("/",Raw_Data!D446)+1,FIND("/",Raw_Data!D446,FIND("/",Raw_Data!D446)+1)-FIND("/",Raw_Data!D446)-1)),VALUE(LEFT(Raw_Data!D446,FIND("/",Raw_Data!D446)-1))),IF(ISNUMBER(VALUE(LEFT(Raw_Data!D446,4))),DATE(VALUE(LEFT(Raw_Data!D446,4)),VALUE(MID(Raw_Data!D446,6,2)),VALUE(MID(Raw_Data!D446,9,2))),DATEVALUE(Raw_Data!D446))),"")</f>
        <v>45575</v>
      </c>
      <c r="E446" s="12" t="n">
        <f aca="false">IFERROR(IF(ISNUMBER(SEARCH("/",Raw_Data!E446)),DATE(VALUE(RIGHT(Raw_Data!E446,4)),VALUE(MID(Raw_Data!E446,FIND("/",Raw_Data!E446)+1,FIND("/",Raw_Data!E446,FIND("/",Raw_Data!E446)+1)-FIND("/",Raw_Data!E446)-1)),VALUE(LEFT(Raw_Data!E446,FIND("/",Raw_Data!E446)-1))),IF(ISNUMBER(VALUE(LEFT(Raw_Data!E446,4))),DATE(VALUE(LEFT(Raw_Data!E446,4)),VALUE(MID(Raw_Data!E446,6,2)),VALUE(MID(Raw_Data!E446,9,2))),DATEVALUE(Raw_Data!E446))),"")</f>
        <v>45601</v>
      </c>
      <c r="F446" s="11" t="str">
        <f aca="false">Raw_Data!F446</f>
        <v>Male 45+</v>
      </c>
      <c r="G446" s="11" t="str">
        <f aca="false">IF(TRIM(Raw_Data!G446)="","Unspecified",IFERROR(INDEX(Lookup_Tables!$F$2:$F$24,MATCH(UPPER(TRIM(Raw_Data!G446)),Lookup_Tables!$G$2:$G$24,0)),"Unknown"))</f>
        <v>West</v>
      </c>
      <c r="H446" s="11" t="n">
        <f aca="false">IF(Raw_Data!H446="",ROUND(AVERAGEIFS(Raw_Data!$H$2:$H$839,Raw_Data!$C$2:$C$839,Raw_Data!C446),2),Raw_Data!H446)</f>
        <v>31177.25</v>
      </c>
      <c r="I446" s="11" t="n">
        <f aca="false">Raw_Data!I446</f>
        <v>838598</v>
      </c>
      <c r="J446" s="11" t="n">
        <f aca="false">IF(Raw_Data!J446&lt;0,ABS(Raw_Data!J446),Raw_Data!J446)</f>
        <v>25686</v>
      </c>
      <c r="K446" s="11" t="n">
        <f aca="false">Raw_Data!K446</f>
        <v>1167</v>
      </c>
      <c r="L446" s="11" t="n">
        <f aca="false">IF(Raw_Data!L446="",ROUND(AVERAGEIFS(Raw_Data!$L$2:$L$839,Raw_Data!$C$2:$C$839,Raw_Data!C446),2),Raw_Data!L446)</f>
        <v>1070731.82</v>
      </c>
      <c r="M446" s="13" t="n">
        <f aca="false">IFERROR(J446/I446,0)</f>
        <v>0.0306296938461575</v>
      </c>
      <c r="N446" s="14" t="n">
        <f aca="false">IFERROR(H446/J446,0)</f>
        <v>1.2137837732617</v>
      </c>
      <c r="O446" s="14" t="n">
        <f aca="false">IFERROR(H446/K446,0)</f>
        <v>26.7157240788346</v>
      </c>
      <c r="P446" s="15" t="n">
        <f aca="false">IFERROR(L446/H446,0)</f>
        <v>34.3433696044391</v>
      </c>
      <c r="Q446" s="13" t="n">
        <f aca="false">IFERROR(K446/J446,0)</f>
        <v>0.0454333099743051</v>
      </c>
      <c r="R446" s="11" t="str">
        <f aca="false">IF(COUNTIF($A$2:A446,A446)&gt;1,"Duplicate - Remove","Unique")</f>
        <v>Unique</v>
      </c>
      <c r="S446" s="11" t="str">
        <f aca="false">TRIM(IF(Raw_Data!G446="","Region missing; ","")&amp;IF(Raw_Data!H446="","Spend imputed; ","")&amp;IF(Raw_Data!L446="","Revenue imputed; ","")&amp;IF(Raw_Data!J446&lt;0,"Clicks corrected; ",""))</f>
        <v/>
      </c>
    </row>
    <row r="447" customFormat="false" ht="15" hidden="false" customHeight="true" outlineLevel="0" collapsed="false">
      <c r="A447" s="11" t="n">
        <f aca="false">Raw_Data!A447</f>
        <v>1534</v>
      </c>
      <c r="B447" s="11" t="str">
        <f aca="false">PROPER(TRIM(Raw_Data!B447))</f>
        <v>Clearance Sale Push</v>
      </c>
      <c r="C447" s="11" t="str">
        <f aca="false">IFERROR(INDEX(Lookup_Tables!$B$2:$B$26,MATCH(UPPER(TRIM(Raw_Data!C447)),Lookup_Tables!$C$2:$C$26,0)),"Unknown")</f>
        <v>Email</v>
      </c>
      <c r="D447" s="12" t="n">
        <f aca="false">IFERROR(IF(ISNUMBER(SEARCH("/",Raw_Data!D447)),DATE(VALUE(RIGHT(Raw_Data!D447,4)),VALUE(MID(Raw_Data!D447,FIND("/",Raw_Data!D447)+1,FIND("/",Raw_Data!D447,FIND("/",Raw_Data!D447)+1)-FIND("/",Raw_Data!D447)-1)),VALUE(LEFT(Raw_Data!D447,FIND("/",Raw_Data!D447)-1))),IF(ISNUMBER(VALUE(LEFT(Raw_Data!D447,4))),DATE(VALUE(LEFT(Raw_Data!D447,4)),VALUE(MID(Raw_Data!D447,6,2)),VALUE(MID(Raw_Data!D447,9,2))),DATEVALUE(Raw_Data!D447))),"")</f>
        <v>45591</v>
      </c>
      <c r="E447" s="12" t="n">
        <f aca="false">IFERROR(IF(ISNUMBER(SEARCH("/",Raw_Data!E447)),DATE(VALUE(RIGHT(Raw_Data!E447,4)),VALUE(MID(Raw_Data!E447,FIND("/",Raw_Data!E447)+1,FIND("/",Raw_Data!E447,FIND("/",Raw_Data!E447)+1)-FIND("/",Raw_Data!E447)-1)),VALUE(LEFT(Raw_Data!E447,FIND("/",Raw_Data!E447)-1))),IF(ISNUMBER(VALUE(LEFT(Raw_Data!E447,4))),DATE(VALUE(LEFT(Raw_Data!E447,4)),VALUE(MID(Raw_Data!E447,6,2)),VALUE(MID(Raw_Data!E447,9,2))),DATEVALUE(Raw_Data!E447))),"")</f>
        <v>45609</v>
      </c>
      <c r="F447" s="11" t="str">
        <f aca="false">Raw_Data!F447</f>
        <v>Female 35-44</v>
      </c>
      <c r="G447" s="11" t="str">
        <f aca="false">IF(TRIM(Raw_Data!G447)="","Unspecified",IFERROR(INDEX(Lookup_Tables!$F$2:$F$24,MATCH(UPPER(TRIM(Raw_Data!G447)),Lookup_Tables!$G$2:$G$24,0)),"Unknown"))</f>
        <v>West</v>
      </c>
      <c r="H447" s="11" t="n">
        <f aca="false">IF(Raw_Data!H447="",ROUND(AVERAGEIFS(Raw_Data!$H$2:$H$839,Raw_Data!$C$2:$C$839,Raw_Data!C447),2),Raw_Data!H447)</f>
        <v>4127.46</v>
      </c>
      <c r="I447" s="11" t="n">
        <f aca="false">Raw_Data!I447</f>
        <v>74539</v>
      </c>
      <c r="J447" s="11" t="n">
        <f aca="false">IF(Raw_Data!J447&lt;0,ABS(Raw_Data!J447),Raw_Data!J447)</f>
        <v>1552</v>
      </c>
      <c r="K447" s="11" t="n">
        <f aca="false">Raw_Data!K447</f>
        <v>78</v>
      </c>
      <c r="L447" s="11" t="n">
        <f aca="false">IF(Raw_Data!L447="",ROUND(AVERAGEIFS(Raw_Data!$L$2:$L$839,Raw_Data!$C$2:$C$839,Raw_Data!C447),2),Raw_Data!L447)</f>
        <v>102089.52</v>
      </c>
      <c r="M447" s="13" t="n">
        <f aca="false">IFERROR(J447/I447,0)</f>
        <v>0.0208213150163002</v>
      </c>
      <c r="N447" s="14" t="n">
        <f aca="false">IFERROR(H447/J447,0)</f>
        <v>2.65944587628866</v>
      </c>
      <c r="O447" s="14" t="n">
        <f aca="false">IFERROR(H447/K447,0)</f>
        <v>52.9161538461539</v>
      </c>
      <c r="P447" s="15" t="n">
        <f aca="false">IFERROR(L447/H447,0)</f>
        <v>24.7342239537149</v>
      </c>
      <c r="Q447" s="13" t="n">
        <f aca="false">IFERROR(K447/J447,0)</f>
        <v>0.0502577319587629</v>
      </c>
      <c r="R447" s="11" t="str">
        <f aca="false">IF(COUNTIF($A$2:A447,A447)&gt;1,"Duplicate - Remove","Unique")</f>
        <v>Unique</v>
      </c>
      <c r="S447" s="11" t="str">
        <f aca="false">TRIM(IF(Raw_Data!G447="","Region missing; ","")&amp;IF(Raw_Data!H447="","Spend imputed; ","")&amp;IF(Raw_Data!L447="","Revenue imputed; ","")&amp;IF(Raw_Data!J447&lt;0,"Clicks corrected; ",""))</f>
        <v/>
      </c>
    </row>
    <row r="448" customFormat="false" ht="15" hidden="false" customHeight="true" outlineLevel="0" collapsed="false">
      <c r="A448" s="11" t="n">
        <f aca="false">Raw_Data!A448</f>
        <v>1198</v>
      </c>
      <c r="B448" s="11" t="str">
        <f aca="false">PROPER(TRIM(Raw_Data!B448))</f>
        <v>Summer Glow Launch</v>
      </c>
      <c r="C448" s="11" t="str">
        <f aca="false">IFERROR(INDEX(Lookup_Tables!$B$2:$B$26,MATCH(UPPER(TRIM(Raw_Data!C448)),Lookup_Tables!$C$2:$C$26,0)),"Unknown")</f>
        <v>YouTube</v>
      </c>
      <c r="D448" s="12" t="n">
        <f aca="false">IFERROR(IF(ISNUMBER(SEARCH("/",Raw_Data!D448)),DATE(VALUE(RIGHT(Raw_Data!D448,4)),VALUE(MID(Raw_Data!D448,FIND("/",Raw_Data!D448)+1,FIND("/",Raw_Data!D448,FIND("/",Raw_Data!D448)+1)-FIND("/",Raw_Data!D448)-1)),VALUE(LEFT(Raw_Data!D448,FIND("/",Raw_Data!D448)-1))),IF(ISNUMBER(VALUE(LEFT(Raw_Data!D448,4))),DATE(VALUE(LEFT(Raw_Data!D448,4)),VALUE(MID(Raw_Data!D448,6,2)),VALUE(MID(Raw_Data!D448,9,2))),DATEVALUE(Raw_Data!D448))),"")</f>
        <v>45330</v>
      </c>
      <c r="E448" s="12" t="n">
        <f aca="false">IFERROR(IF(ISNUMBER(SEARCH("/",Raw_Data!E448)),DATE(VALUE(RIGHT(Raw_Data!E448,4)),VALUE(MID(Raw_Data!E448,FIND("/",Raw_Data!E448)+1,FIND("/",Raw_Data!E448,FIND("/",Raw_Data!E448)+1)-FIND("/",Raw_Data!E448)-1)),VALUE(LEFT(Raw_Data!E448,FIND("/",Raw_Data!E448)-1))),IF(ISNUMBER(VALUE(LEFT(Raw_Data!E448,4))),DATE(VALUE(LEFT(Raw_Data!E448,4)),VALUE(MID(Raw_Data!E448,6,2)),VALUE(MID(Raw_Data!E448,9,2))),DATEVALUE(Raw_Data!E448))),"")</f>
        <v>45359</v>
      </c>
      <c r="F448" s="11" t="str">
        <f aca="false">Raw_Data!F448</f>
        <v>Female 35-44</v>
      </c>
      <c r="G448" s="11" t="str">
        <f aca="false">IF(TRIM(Raw_Data!G448)="","Unspecified",IFERROR(INDEX(Lookup_Tables!$F$2:$F$24,MATCH(UPPER(TRIM(Raw_Data!G448)),Lookup_Tables!$G$2:$G$24,0)),"Unknown"))</f>
        <v>Central</v>
      </c>
      <c r="H448" s="11" t="n">
        <f aca="false">IF(Raw_Data!H448="",ROUND(AVERAGEIFS(Raw_Data!$H$2:$H$839,Raw_Data!$C$2:$C$839,Raw_Data!C448),2),Raw_Data!H448)</f>
        <v>39047.54</v>
      </c>
      <c r="I448" s="11" t="n">
        <f aca="false">Raw_Data!I448</f>
        <v>908728</v>
      </c>
      <c r="J448" s="11" t="n">
        <f aca="false">IF(Raw_Data!J448&lt;0,ABS(Raw_Data!J448),Raw_Data!J448)</f>
        <v>12126</v>
      </c>
      <c r="K448" s="11" t="n">
        <f aca="false">Raw_Data!K448</f>
        <v>551</v>
      </c>
      <c r="L448" s="11" t="n">
        <f aca="false">IF(Raw_Data!L448="",ROUND(AVERAGEIFS(Raw_Data!$L$2:$L$839,Raw_Data!$C$2:$C$839,Raw_Data!C448),2),Raw_Data!L448)</f>
        <v>632668.44</v>
      </c>
      <c r="M448" s="13" t="n">
        <f aca="false">IFERROR(J448/I448,0)</f>
        <v>0.0133439268956167</v>
      </c>
      <c r="N448" s="14" t="n">
        <f aca="false">IFERROR(H448/J448,0)</f>
        <v>3.22015009071417</v>
      </c>
      <c r="O448" s="14" t="n">
        <f aca="false">IFERROR(H448/K448,0)</f>
        <v>70.8666787658802</v>
      </c>
      <c r="P448" s="15" t="n">
        <f aca="false">IFERROR(L448/H448,0)</f>
        <v>16.2025172392422</v>
      </c>
      <c r="Q448" s="13" t="n">
        <f aca="false">IFERROR(K448/J448,0)</f>
        <v>0.045439551377206</v>
      </c>
      <c r="R448" s="11" t="str">
        <f aca="false">IF(COUNTIF($A$2:A448,A448)&gt;1,"Duplicate - Remove","Unique")</f>
        <v>Unique</v>
      </c>
      <c r="S448" s="11" t="str">
        <f aca="false">TRIM(IF(Raw_Data!G448="","Region missing; ","")&amp;IF(Raw_Data!H448="","Spend imputed; ","")&amp;IF(Raw_Data!L448="","Revenue imputed; ","")&amp;IF(Raw_Data!J448&lt;0,"Clicks corrected; ",""))</f>
        <v/>
      </c>
    </row>
    <row r="449" customFormat="false" ht="15" hidden="false" customHeight="true" outlineLevel="0" collapsed="false">
      <c r="A449" s="11" t="n">
        <f aca="false">Raw_Data!A449</f>
        <v>1551</v>
      </c>
      <c r="B449" s="11" t="str">
        <f aca="false">PROPER(TRIM(Raw_Data!B449))</f>
        <v>Clearance Sale Push</v>
      </c>
      <c r="C449" s="11" t="str">
        <f aca="false">IFERROR(INDEX(Lookup_Tables!$B$2:$B$26,MATCH(UPPER(TRIM(Raw_Data!C449)),Lookup_Tables!$C$2:$C$26,0)),"Unknown")</f>
        <v>YouTube</v>
      </c>
      <c r="D449" s="12" t="n">
        <f aca="false">IFERROR(IF(ISNUMBER(SEARCH("/",Raw_Data!D449)),DATE(VALUE(RIGHT(Raw_Data!D449,4)),VALUE(MID(Raw_Data!D449,FIND("/",Raw_Data!D449)+1,FIND("/",Raw_Data!D449,FIND("/",Raw_Data!D449)+1)-FIND("/",Raw_Data!D449)-1)),VALUE(LEFT(Raw_Data!D449,FIND("/",Raw_Data!D449)-1))),IF(ISNUMBER(VALUE(LEFT(Raw_Data!D449,4))),DATE(VALUE(LEFT(Raw_Data!D449,4)),VALUE(MID(Raw_Data!D449,6,2)),VALUE(MID(Raw_Data!D449,9,2))),DATEVALUE(Raw_Data!D449))),"")</f>
        <v>45446</v>
      </c>
      <c r="E449" s="12" t="n">
        <f aca="false">IFERROR(IF(ISNUMBER(SEARCH("/",Raw_Data!E449)),DATE(VALUE(RIGHT(Raw_Data!E449,4)),VALUE(MID(Raw_Data!E449,FIND("/",Raw_Data!E449)+1,FIND("/",Raw_Data!E449,FIND("/",Raw_Data!E449)+1)-FIND("/",Raw_Data!E449)-1)),VALUE(LEFT(Raw_Data!E449,FIND("/",Raw_Data!E449)-1))),IF(ISNUMBER(VALUE(LEFT(Raw_Data!E449,4))),DATE(VALUE(LEFT(Raw_Data!E449,4)),VALUE(MID(Raw_Data!E449,6,2)),VALUE(MID(Raw_Data!E449,9,2))),DATEVALUE(Raw_Data!E449))),"")</f>
        <v>45471</v>
      </c>
      <c r="F449" s="11" t="str">
        <f aca="false">Raw_Data!F449</f>
        <v>Female 35-44</v>
      </c>
      <c r="G449" s="11" t="str">
        <f aca="false">IF(TRIM(Raw_Data!G449)="","Unspecified",IFERROR(INDEX(Lookup_Tables!$F$2:$F$24,MATCH(UPPER(TRIM(Raw_Data!G449)),Lookup_Tables!$G$2:$G$24,0)),"Unknown"))</f>
        <v>West</v>
      </c>
      <c r="H449" s="11" t="n">
        <f aca="false">IF(Raw_Data!H449="",ROUND(AVERAGEIFS(Raw_Data!$H$2:$H$839,Raw_Data!$C$2:$C$839,Raw_Data!C449),2),Raw_Data!H449)</f>
        <v>68935.65</v>
      </c>
      <c r="I449" s="11" t="n">
        <f aca="false">Raw_Data!I449</f>
        <v>2648044</v>
      </c>
      <c r="J449" s="11" t="n">
        <f aca="false">IF(Raw_Data!J449&lt;0,ABS(Raw_Data!J449),Raw_Data!J449)</f>
        <v>77239</v>
      </c>
      <c r="K449" s="11" t="n">
        <f aca="false">Raw_Data!K449</f>
        <v>4144</v>
      </c>
      <c r="L449" s="11" t="n">
        <f aca="false">IF(Raw_Data!L449="",ROUND(AVERAGEIFS(Raw_Data!$L$2:$L$839,Raw_Data!$C$2:$C$839,Raw_Data!C449),2),Raw_Data!L449)</f>
        <v>2656365.4</v>
      </c>
      <c r="M449" s="13" t="n">
        <f aca="false">IFERROR(J449/I449,0)</f>
        <v>0.029168321976523</v>
      </c>
      <c r="N449" s="14" t="n">
        <f aca="false">IFERROR(H449/J449,0)</f>
        <v>0.892497960874688</v>
      </c>
      <c r="O449" s="14" t="n">
        <f aca="false">IFERROR(H449/K449,0)</f>
        <v>16.6350506756757</v>
      </c>
      <c r="P449" s="15" t="n">
        <f aca="false">IFERROR(L449/H449,0)</f>
        <v>38.5339864061629</v>
      </c>
      <c r="Q449" s="13" t="n">
        <f aca="false">IFERROR(K449/J449,0)</f>
        <v>0.0536516526625151</v>
      </c>
      <c r="R449" s="11" t="str">
        <f aca="false">IF(COUNTIF($A$2:A449,A449)&gt;1,"Duplicate - Remove","Unique")</f>
        <v>Unique</v>
      </c>
      <c r="S449" s="11" t="str">
        <f aca="false">TRIM(IF(Raw_Data!G449="","Region missing; ","")&amp;IF(Raw_Data!H449="","Spend imputed; ","")&amp;IF(Raw_Data!L449="","Revenue imputed; ","")&amp;IF(Raw_Data!J449&lt;0,"Clicks corrected; ",""))</f>
        <v/>
      </c>
    </row>
    <row r="450" customFormat="false" ht="15" hidden="false" customHeight="true" outlineLevel="0" collapsed="false">
      <c r="A450" s="11" t="n">
        <f aca="false">Raw_Data!A450</f>
        <v>1391</v>
      </c>
      <c r="B450" s="11" t="str">
        <f aca="false">PROPER(TRIM(Raw_Data!B450))</f>
        <v>Anti-Ageing Serum Push</v>
      </c>
      <c r="C450" s="11" t="str">
        <f aca="false">IFERROR(INDEX(Lookup_Tables!$B$2:$B$26,MATCH(UPPER(TRIM(Raw_Data!C450)),Lookup_Tables!$C$2:$C$26,0)),"Unknown")</f>
        <v>YouTube</v>
      </c>
      <c r="D450" s="12" t="n">
        <f aca="false">IFERROR(IF(ISNUMBER(SEARCH("/",Raw_Data!D450)),DATE(VALUE(RIGHT(Raw_Data!D450,4)),VALUE(MID(Raw_Data!D450,FIND("/",Raw_Data!D450)+1,FIND("/",Raw_Data!D450,FIND("/",Raw_Data!D450)+1)-FIND("/",Raw_Data!D450)-1)),VALUE(LEFT(Raw_Data!D450,FIND("/",Raw_Data!D450)-1))),IF(ISNUMBER(VALUE(LEFT(Raw_Data!D450,4))),DATE(VALUE(LEFT(Raw_Data!D450,4)),VALUE(MID(Raw_Data!D450,6,2)),VALUE(MID(Raw_Data!D450,9,2))),DATEVALUE(Raw_Data!D450))),"")</f>
        <v>45468</v>
      </c>
      <c r="E450" s="12" t="n">
        <f aca="false">IFERROR(IF(ISNUMBER(SEARCH("/",Raw_Data!E450)),DATE(VALUE(RIGHT(Raw_Data!E450,4)),VALUE(MID(Raw_Data!E450,FIND("/",Raw_Data!E450)+1,FIND("/",Raw_Data!E450,FIND("/",Raw_Data!E450)+1)-FIND("/",Raw_Data!E450)-1)),VALUE(LEFT(Raw_Data!E450,FIND("/",Raw_Data!E450)-1))),IF(ISNUMBER(VALUE(LEFT(Raw_Data!E450,4))),DATE(VALUE(LEFT(Raw_Data!E450,4)),VALUE(MID(Raw_Data!E450,6,2)),VALUE(MID(Raw_Data!E450,9,2))),DATEVALUE(Raw_Data!E450))),"")</f>
        <v>45473</v>
      </c>
      <c r="F450" s="11" t="str">
        <f aca="false">Raw_Data!F450</f>
        <v>Male 35-44</v>
      </c>
      <c r="G450" s="11" t="str">
        <f aca="false">IF(TRIM(Raw_Data!G450)="","Unspecified",IFERROR(INDEX(Lookup_Tables!$F$2:$F$24,MATCH(UPPER(TRIM(Raw_Data!G450)),Lookup_Tables!$G$2:$G$24,0)),"Unknown"))</f>
        <v>Central</v>
      </c>
      <c r="H450" s="11" t="n">
        <f aca="false">IF(Raw_Data!H450="",ROUND(AVERAGEIFS(Raw_Data!$H$2:$H$839,Raw_Data!$C$2:$C$839,Raw_Data!C450),2),Raw_Data!H450)</f>
        <v>82515.64</v>
      </c>
      <c r="I450" s="11" t="n">
        <f aca="false">Raw_Data!I450</f>
        <v>2496925</v>
      </c>
      <c r="J450" s="11" t="n">
        <f aca="false">IF(Raw_Data!J450&lt;0,ABS(Raw_Data!J450),Raw_Data!J450)</f>
        <v>23485</v>
      </c>
      <c r="K450" s="11" t="n">
        <f aca="false">Raw_Data!K450</f>
        <v>898</v>
      </c>
      <c r="L450" s="11" t="n">
        <f aca="false">IF(Raw_Data!L450="",ROUND(AVERAGEIFS(Raw_Data!$L$2:$L$839,Raw_Data!$C$2:$C$839,Raw_Data!C450),2),Raw_Data!L450)</f>
        <v>1152695.3</v>
      </c>
      <c r="M450" s="13" t="n">
        <f aca="false">IFERROR(J450/I450,0)</f>
        <v>0.00940556884968511</v>
      </c>
      <c r="N450" s="14" t="n">
        <f aca="false">IFERROR(H450/J450,0)</f>
        <v>3.51354651905472</v>
      </c>
      <c r="O450" s="14" t="n">
        <f aca="false">IFERROR(H450/K450,0)</f>
        <v>91.8882405345212</v>
      </c>
      <c r="P450" s="15" t="n">
        <f aca="false">IFERROR(L450/H450,0)</f>
        <v>13.969415979807</v>
      </c>
      <c r="Q450" s="13" t="n">
        <f aca="false">IFERROR(K450/J450,0)</f>
        <v>0.0382371726634022</v>
      </c>
      <c r="R450" s="11" t="str">
        <f aca="false">IF(COUNTIF($A$2:A450,A450)&gt;1,"Duplicate - Remove","Unique")</f>
        <v>Unique</v>
      </c>
      <c r="S450" s="11" t="str">
        <f aca="false">TRIM(IF(Raw_Data!G450="","Region missing; ","")&amp;IF(Raw_Data!H450="","Spend imputed; ","")&amp;IF(Raw_Data!L450="","Revenue imputed; ","")&amp;IF(Raw_Data!J450&lt;0,"Clicks corrected; ",""))</f>
        <v/>
      </c>
    </row>
    <row r="451" customFormat="false" ht="15" hidden="false" customHeight="true" outlineLevel="0" collapsed="false">
      <c r="A451" s="11" t="n">
        <f aca="false">Raw_Data!A451</f>
        <v>1447</v>
      </c>
      <c r="B451" s="11" t="str">
        <f aca="false">PROPER(TRIM(Raw_Data!B451))</f>
        <v>Wedding Season Special</v>
      </c>
      <c r="C451" s="11" t="str">
        <f aca="false">IFERROR(INDEX(Lookup_Tables!$B$2:$B$26,MATCH(UPPER(TRIM(Raw_Data!C451)),Lookup_Tables!$C$2:$C$26,0)),"Unknown")</f>
        <v>Instagram</v>
      </c>
      <c r="D451" s="12" t="n">
        <f aca="false">IFERROR(IF(ISNUMBER(SEARCH("/",Raw_Data!D451)),DATE(VALUE(RIGHT(Raw_Data!D451,4)),VALUE(MID(Raw_Data!D451,FIND("/",Raw_Data!D451)+1,FIND("/",Raw_Data!D451,FIND("/",Raw_Data!D451)+1)-FIND("/",Raw_Data!D451)-1)),VALUE(LEFT(Raw_Data!D451,FIND("/",Raw_Data!D451)-1))),IF(ISNUMBER(VALUE(LEFT(Raw_Data!D451,4))),DATE(VALUE(LEFT(Raw_Data!D451,4)),VALUE(MID(Raw_Data!D451,6,2)),VALUE(MID(Raw_Data!D451,9,2))),DATEVALUE(Raw_Data!D451))),"")</f>
        <v>45552</v>
      </c>
      <c r="E451" s="12" t="n">
        <f aca="false">IFERROR(IF(ISNUMBER(SEARCH("/",Raw_Data!E451)),DATE(VALUE(RIGHT(Raw_Data!E451,4)),VALUE(MID(Raw_Data!E451,FIND("/",Raw_Data!E451)+1,FIND("/",Raw_Data!E451,FIND("/",Raw_Data!E451)+1)-FIND("/",Raw_Data!E451)-1)),VALUE(LEFT(Raw_Data!E451,FIND("/",Raw_Data!E451)-1))),IF(ISNUMBER(VALUE(LEFT(Raw_Data!E451,4))),DATE(VALUE(LEFT(Raw_Data!E451,4)),VALUE(MID(Raw_Data!E451,6,2)),VALUE(MID(Raw_Data!E451,9,2))),DATEVALUE(Raw_Data!E451))),"")</f>
        <v>45579</v>
      </c>
      <c r="F451" s="11" t="str">
        <f aca="false">Raw_Data!F451</f>
        <v>Male 35-44</v>
      </c>
      <c r="G451" s="11" t="str">
        <f aca="false">IF(TRIM(Raw_Data!G451)="","Unspecified",IFERROR(INDEX(Lookup_Tables!$F$2:$F$24,MATCH(UPPER(TRIM(Raw_Data!G451)),Lookup_Tables!$G$2:$G$24,0)),"Unknown"))</f>
        <v>West</v>
      </c>
      <c r="H451" s="11" t="n">
        <f aca="false">IF(Raw_Data!H451="",ROUND(AVERAGEIFS(Raw_Data!$H$2:$H$839,Raw_Data!$C$2:$C$839,Raw_Data!C451),2),Raw_Data!H451)</f>
        <v>41018.95</v>
      </c>
      <c r="I451" s="11" t="n">
        <f aca="false">Raw_Data!I451</f>
        <v>992843</v>
      </c>
      <c r="J451" s="11" t="n">
        <f aca="false">IF(Raw_Data!J451&lt;0,ABS(Raw_Data!J451),Raw_Data!J451)</f>
        <v>6682</v>
      </c>
      <c r="K451" s="11" t="n">
        <f aca="false">Raw_Data!K451</f>
        <v>247</v>
      </c>
      <c r="L451" s="11" t="n">
        <f aca="false">IF(Raw_Data!L451="",ROUND(AVERAGEIFS(Raw_Data!$L$2:$L$839,Raw_Data!$C$2:$C$839,Raw_Data!C451),2),Raw_Data!L451)</f>
        <v>238320.05</v>
      </c>
      <c r="M451" s="13" t="n">
        <f aca="false">IFERROR(J451/I451,0)</f>
        <v>0.0067301678110235</v>
      </c>
      <c r="N451" s="14" t="n">
        <f aca="false">IFERROR(H451/J451,0)</f>
        <v>6.13872343609698</v>
      </c>
      <c r="O451" s="14" t="n">
        <f aca="false">IFERROR(H451/K451,0)</f>
        <v>166.068623481781</v>
      </c>
      <c r="P451" s="15" t="n">
        <f aca="false">IFERROR(L451/H451,0)</f>
        <v>5.80999879324069</v>
      </c>
      <c r="Q451" s="13" t="n">
        <f aca="false">IFERROR(K451/J451,0)</f>
        <v>0.0369649805447471</v>
      </c>
      <c r="R451" s="11" t="str">
        <f aca="false">IF(COUNTIF($A$2:A451,A451)&gt;1,"Duplicate - Remove","Unique")</f>
        <v>Unique</v>
      </c>
      <c r="S451" s="11" t="str">
        <f aca="false">TRIM(IF(Raw_Data!G451="","Region missing; ","")&amp;IF(Raw_Data!H451="","Spend imputed; ","")&amp;IF(Raw_Data!L451="","Revenue imputed; ","")&amp;IF(Raw_Data!J451&lt;0,"Clicks corrected; ",""))</f>
        <v/>
      </c>
    </row>
    <row r="452" customFormat="false" ht="15" hidden="false" customHeight="true" outlineLevel="0" collapsed="false">
      <c r="A452" s="11" t="n">
        <f aca="false">Raw_Data!A452</f>
        <v>1419</v>
      </c>
      <c r="B452" s="11" t="str">
        <f aca="false">PROPER(TRIM(Raw_Data!B452))</f>
        <v>New Year Wellness</v>
      </c>
      <c r="C452" s="11" t="str">
        <f aca="false">IFERROR(INDEX(Lookup_Tables!$B$2:$B$26,MATCH(UPPER(TRIM(Raw_Data!C452)),Lookup_Tables!$C$2:$C$26,0)),"Unknown")</f>
        <v>Email</v>
      </c>
      <c r="D452" s="12" t="n">
        <f aca="false">IFERROR(IF(ISNUMBER(SEARCH("/",Raw_Data!D452)),DATE(VALUE(RIGHT(Raw_Data!D452,4)),VALUE(MID(Raw_Data!D452,FIND("/",Raw_Data!D452)+1,FIND("/",Raw_Data!D452,FIND("/",Raw_Data!D452)+1)-FIND("/",Raw_Data!D452)-1)),VALUE(LEFT(Raw_Data!D452,FIND("/",Raw_Data!D452)-1))),IF(ISNUMBER(VALUE(LEFT(Raw_Data!D452,4))),DATE(VALUE(LEFT(Raw_Data!D452,4)),VALUE(MID(Raw_Data!D452,6,2)),VALUE(MID(Raw_Data!D452,9,2))),DATEVALUE(Raw_Data!D452))),"")</f>
        <v>45295</v>
      </c>
      <c r="E452" s="12" t="n">
        <f aca="false">IFERROR(IF(ISNUMBER(SEARCH("/",Raw_Data!E452)),DATE(VALUE(RIGHT(Raw_Data!E452,4)),VALUE(MID(Raw_Data!E452,FIND("/",Raw_Data!E452)+1,FIND("/",Raw_Data!E452,FIND("/",Raw_Data!E452)+1)-FIND("/",Raw_Data!E452)-1)),VALUE(LEFT(Raw_Data!E452,FIND("/",Raw_Data!E452)-1))),IF(ISNUMBER(VALUE(LEFT(Raw_Data!E452,4))),DATE(VALUE(LEFT(Raw_Data!E452,4)),VALUE(MID(Raw_Data!E452,6,2)),VALUE(MID(Raw_Data!E452,9,2))),DATEVALUE(Raw_Data!E452))),"")</f>
        <v>45311</v>
      </c>
      <c r="F452" s="11" t="str">
        <f aca="false">Raw_Data!F452</f>
        <v>Female 35-44</v>
      </c>
      <c r="G452" s="11" t="str">
        <f aca="false">IF(TRIM(Raw_Data!G452)="","Unspecified",IFERROR(INDEX(Lookup_Tables!$F$2:$F$24,MATCH(UPPER(TRIM(Raw_Data!G452)),Lookup_Tables!$G$2:$G$24,0)),"Unknown"))</f>
        <v>East</v>
      </c>
      <c r="H452" s="11" t="n">
        <f aca="false">IF(Raw_Data!H452="",ROUND(AVERAGEIFS(Raw_Data!$H$2:$H$839,Raw_Data!$C$2:$C$839,Raw_Data!C452),2),Raw_Data!H452)</f>
        <v>1516.12</v>
      </c>
      <c r="I452" s="11" t="n">
        <f aca="false">Raw_Data!I452</f>
        <v>23879</v>
      </c>
      <c r="J452" s="11" t="n">
        <f aca="false">IF(Raw_Data!J452&lt;0,ABS(Raw_Data!J452),Raw_Data!J452)</f>
        <v>201</v>
      </c>
      <c r="K452" s="11" t="n">
        <f aca="false">Raw_Data!K452</f>
        <v>6</v>
      </c>
      <c r="L452" s="11" t="n">
        <f aca="false">IF(Raw_Data!L452="",ROUND(AVERAGEIFS(Raw_Data!$L$2:$L$839,Raw_Data!$C$2:$C$839,Raw_Data!C452),2),Raw_Data!L452)</f>
        <v>3791.31</v>
      </c>
      <c r="M452" s="13" t="n">
        <f aca="false">IFERROR(J452/I452,0)</f>
        <v>0.00841743791616064</v>
      </c>
      <c r="N452" s="14" t="n">
        <f aca="false">IFERROR(H452/J452,0)</f>
        <v>7.5428855721393</v>
      </c>
      <c r="O452" s="14" t="n">
        <f aca="false">IFERROR(H452/K452,0)</f>
        <v>252.686666666667</v>
      </c>
      <c r="P452" s="15" t="n">
        <f aca="false">IFERROR(L452/H452,0)</f>
        <v>2.50066617418146</v>
      </c>
      <c r="Q452" s="13" t="n">
        <f aca="false">IFERROR(K452/J452,0)</f>
        <v>0.0298507462686567</v>
      </c>
      <c r="R452" s="11" t="str">
        <f aca="false">IF(COUNTIF($A$2:A452,A452)&gt;1,"Duplicate - Remove","Unique")</f>
        <v>Unique</v>
      </c>
      <c r="S452" s="11" t="str">
        <f aca="false">TRIM(IF(Raw_Data!G452="","Region missing; ","")&amp;IF(Raw_Data!H452="","Spend imputed; ","")&amp;IF(Raw_Data!L452="","Revenue imputed; ","")&amp;IF(Raw_Data!J452&lt;0,"Clicks corrected; ",""))</f>
        <v/>
      </c>
    </row>
    <row r="453" customFormat="false" ht="15" hidden="false" customHeight="true" outlineLevel="0" collapsed="false">
      <c r="A453" s="11" t="n">
        <f aca="false">Raw_Data!A453</f>
        <v>1778</v>
      </c>
      <c r="B453" s="11" t="str">
        <f aca="false">PROPER(TRIM(Raw_Data!B453))</f>
        <v>Wedding Season Special</v>
      </c>
      <c r="C453" s="11" t="str">
        <f aca="false">IFERROR(INDEX(Lookup_Tables!$B$2:$B$26,MATCH(UPPER(TRIM(Raw_Data!C453)),Lookup_Tables!$C$2:$C$26,0)),"Unknown")</f>
        <v>Facebook</v>
      </c>
      <c r="D453" s="12" t="n">
        <f aca="false">IFERROR(IF(ISNUMBER(SEARCH("/",Raw_Data!D453)),DATE(VALUE(RIGHT(Raw_Data!D453,4)),VALUE(MID(Raw_Data!D453,FIND("/",Raw_Data!D453)+1,FIND("/",Raw_Data!D453,FIND("/",Raw_Data!D453)+1)-FIND("/",Raw_Data!D453)-1)),VALUE(LEFT(Raw_Data!D453,FIND("/",Raw_Data!D453)-1))),IF(ISNUMBER(VALUE(LEFT(Raw_Data!D453,4))),DATE(VALUE(LEFT(Raw_Data!D453,4)),VALUE(MID(Raw_Data!D453,6,2)),VALUE(MID(Raw_Data!D453,9,2))),DATEVALUE(Raw_Data!D453))),"")</f>
        <v>45467</v>
      </c>
      <c r="E453" s="12" t="n">
        <f aca="false">IFERROR(IF(ISNUMBER(SEARCH("/",Raw_Data!E453)),DATE(VALUE(RIGHT(Raw_Data!E453,4)),VALUE(MID(Raw_Data!E453,FIND("/",Raw_Data!E453)+1,FIND("/",Raw_Data!E453,FIND("/",Raw_Data!E453)+1)-FIND("/",Raw_Data!E453)-1)),VALUE(LEFT(Raw_Data!E453,FIND("/",Raw_Data!E453)-1))),IF(ISNUMBER(VALUE(LEFT(Raw_Data!E453,4))),DATE(VALUE(LEFT(Raw_Data!E453,4)),VALUE(MID(Raw_Data!E453,6,2)),VALUE(MID(Raw_Data!E453,9,2))),DATEVALUE(Raw_Data!E453))),"")</f>
        <v>45491</v>
      </c>
      <c r="F453" s="11" t="str">
        <f aca="false">Raw_Data!F453</f>
        <v>Male 45+</v>
      </c>
      <c r="G453" s="11" t="str">
        <f aca="false">IF(TRIM(Raw_Data!G453)="","Unspecified",IFERROR(INDEX(Lookup_Tables!$F$2:$F$24,MATCH(UPPER(TRIM(Raw_Data!G453)),Lookup_Tables!$G$2:$G$24,0)),"Unknown"))</f>
        <v>West</v>
      </c>
      <c r="H453" s="11" t="n">
        <f aca="false">IF(Raw_Data!H453="",ROUND(AVERAGEIFS(Raw_Data!$H$2:$H$839,Raw_Data!$C$2:$C$839,Raw_Data!C453),2),Raw_Data!H453)</f>
        <v>49096.16</v>
      </c>
      <c r="I453" s="11" t="n">
        <f aca="false">Raw_Data!I453</f>
        <v>1780464</v>
      </c>
      <c r="J453" s="11" t="n">
        <f aca="false">IF(Raw_Data!J453&lt;0,ABS(Raw_Data!J453),Raw_Data!J453)</f>
        <v>59948</v>
      </c>
      <c r="K453" s="11" t="n">
        <f aca="false">Raw_Data!K453</f>
        <v>1682</v>
      </c>
      <c r="L453" s="11" t="n">
        <f aca="false">IF(Raw_Data!L453="",ROUND(AVERAGEIFS(Raw_Data!$L$2:$L$839,Raw_Data!$C$2:$C$839,Raw_Data!C453),2),Raw_Data!L453)</f>
        <v>1950992.92</v>
      </c>
      <c r="M453" s="13" t="n">
        <f aca="false">IFERROR(J453/I453,0)</f>
        <v>0.0336698748191483</v>
      </c>
      <c r="N453" s="14" t="n">
        <f aca="false">IFERROR(H453/J453,0)</f>
        <v>0.818979115233202</v>
      </c>
      <c r="O453" s="14" t="n">
        <f aca="false">IFERROR(H453/K453,0)</f>
        <v>29.1891557669441</v>
      </c>
      <c r="P453" s="15" t="n">
        <f aca="false">IFERROR(L453/H453,0)</f>
        <v>39.738197854985</v>
      </c>
      <c r="Q453" s="13" t="n">
        <f aca="false">IFERROR(K453/J453,0)</f>
        <v>0.0280576499633015</v>
      </c>
      <c r="R453" s="11" t="str">
        <f aca="false">IF(COUNTIF($A$2:A453,A453)&gt;1,"Duplicate - Remove","Unique")</f>
        <v>Unique</v>
      </c>
      <c r="S453" s="11" t="str">
        <f aca="false">TRIM(IF(Raw_Data!G453="","Region missing; ","")&amp;IF(Raw_Data!H453="","Spend imputed; ","")&amp;IF(Raw_Data!L453="","Revenue imputed; ","")&amp;IF(Raw_Data!J453&lt;0,"Clicks corrected; ",""))</f>
        <v/>
      </c>
    </row>
    <row r="454" customFormat="false" ht="15" hidden="false" customHeight="true" outlineLevel="0" collapsed="false">
      <c r="A454" s="11" t="n">
        <f aca="false">Raw_Data!A454</f>
        <v>1312</v>
      </c>
      <c r="B454" s="11" t="str">
        <f aca="false">PROPER(TRIM(Raw_Data!B454))</f>
        <v>Herbal Range Awareness</v>
      </c>
      <c r="C454" s="11" t="str">
        <f aca="false">IFERROR(INDEX(Lookup_Tables!$B$2:$B$26,MATCH(UPPER(TRIM(Raw_Data!C454)),Lookup_Tables!$C$2:$C$26,0)),"Unknown")</f>
        <v>Instagram</v>
      </c>
      <c r="D454" s="12" t="n">
        <f aca="false">IFERROR(IF(ISNUMBER(SEARCH("/",Raw_Data!D454)),DATE(VALUE(RIGHT(Raw_Data!D454,4)),VALUE(MID(Raw_Data!D454,FIND("/",Raw_Data!D454)+1,FIND("/",Raw_Data!D454,FIND("/",Raw_Data!D454)+1)-FIND("/",Raw_Data!D454)-1)),VALUE(LEFT(Raw_Data!D454,FIND("/",Raw_Data!D454)-1))),IF(ISNUMBER(VALUE(LEFT(Raw_Data!D454,4))),DATE(VALUE(LEFT(Raw_Data!D454,4)),VALUE(MID(Raw_Data!D454,6,2)),VALUE(MID(Raw_Data!D454,9,2))),DATEVALUE(Raw_Data!D454))),"")</f>
        <v>45623</v>
      </c>
      <c r="E454" s="12" t="n">
        <f aca="false">IFERROR(IF(ISNUMBER(SEARCH("/",Raw_Data!E454)),DATE(VALUE(RIGHT(Raw_Data!E454,4)),VALUE(MID(Raw_Data!E454,FIND("/",Raw_Data!E454)+1,FIND("/",Raw_Data!E454,FIND("/",Raw_Data!E454)+1)-FIND("/",Raw_Data!E454)-1)),VALUE(LEFT(Raw_Data!E454,FIND("/",Raw_Data!E454)-1))),IF(ISNUMBER(VALUE(LEFT(Raw_Data!E454,4))),DATE(VALUE(LEFT(Raw_Data!E454,4)),VALUE(MID(Raw_Data!E454,6,2)),VALUE(MID(Raw_Data!E454,9,2))),DATEVALUE(Raw_Data!E454))),"")</f>
        <v>45634</v>
      </c>
      <c r="F454" s="11" t="str">
        <f aca="false">Raw_Data!F454</f>
        <v>Male 25-34</v>
      </c>
      <c r="G454" s="11" t="str">
        <f aca="false">IF(TRIM(Raw_Data!G454)="","Unspecified",IFERROR(INDEX(Lookup_Tables!$F$2:$F$24,MATCH(UPPER(TRIM(Raw_Data!G454)),Lookup_Tables!$G$2:$G$24,0)),"Unknown"))</f>
        <v>North</v>
      </c>
      <c r="H454" s="11" t="n">
        <f aca="false">IF(Raw_Data!H454="",ROUND(AVERAGEIFS(Raw_Data!$H$2:$H$839,Raw_Data!$C$2:$C$839,Raw_Data!C454),2),Raw_Data!H454)</f>
        <v>36832.72</v>
      </c>
      <c r="I454" s="11" t="n">
        <f aca="false">Raw_Data!I454</f>
        <v>1443394</v>
      </c>
      <c r="J454" s="11" t="n">
        <f aca="false">IF(Raw_Data!J454&lt;0,ABS(Raw_Data!J454),Raw_Data!J454)</f>
        <v>35827</v>
      </c>
      <c r="K454" s="11" t="n">
        <f aca="false">Raw_Data!K454</f>
        <v>1107</v>
      </c>
      <c r="L454" s="11" t="n">
        <f aca="false">IF(Raw_Data!L454="",ROUND(AVERAGEIFS(Raw_Data!$L$2:$L$839,Raw_Data!$C$2:$C$839,Raw_Data!C454),2),Raw_Data!L454)</f>
        <v>1013626.6</v>
      </c>
      <c r="M454" s="13" t="n">
        <f aca="false">IFERROR(J454/I454,0)</f>
        <v>0.0248213585479779</v>
      </c>
      <c r="N454" s="14" t="n">
        <f aca="false">IFERROR(H454/J454,0)</f>
        <v>1.02807156613727</v>
      </c>
      <c r="O454" s="14" t="n">
        <f aca="false">IFERROR(H454/K454,0)</f>
        <v>33.2725564588979</v>
      </c>
      <c r="P454" s="15" t="n">
        <f aca="false">IFERROR(L454/H454,0)</f>
        <v>27.5197324552735</v>
      </c>
      <c r="Q454" s="13" t="n">
        <f aca="false">IFERROR(K454/J454,0)</f>
        <v>0.0308984843832863</v>
      </c>
      <c r="R454" s="11" t="str">
        <f aca="false">IF(COUNTIF($A$2:A454,A454)&gt;1,"Duplicate - Remove","Unique")</f>
        <v>Unique</v>
      </c>
      <c r="S454" s="11" t="str">
        <f aca="false">TRIM(IF(Raw_Data!G454="","Region missing; ","")&amp;IF(Raw_Data!H454="","Spend imputed; ","")&amp;IF(Raw_Data!L454="","Revenue imputed; ","")&amp;IF(Raw_Data!J454&lt;0,"Clicks corrected; ",""))</f>
        <v/>
      </c>
    </row>
    <row r="455" customFormat="false" ht="15" hidden="false" customHeight="true" outlineLevel="0" collapsed="false">
      <c r="A455" s="11" t="n">
        <f aca="false">Raw_Data!A455</f>
        <v>1453</v>
      </c>
      <c r="B455" s="11" t="str">
        <f aca="false">PROPER(TRIM(Raw_Data!B455))</f>
        <v>Ayurvedic Range Launch</v>
      </c>
      <c r="C455" s="11" t="str">
        <f aca="false">IFERROR(INDEX(Lookup_Tables!$B$2:$B$26,MATCH(UPPER(TRIM(Raw_Data!C455)),Lookup_Tables!$C$2:$C$26,0)),"Unknown")</f>
        <v>Google Ads</v>
      </c>
      <c r="D455" s="12" t="n">
        <f aca="false">IFERROR(IF(ISNUMBER(SEARCH("/",Raw_Data!D455)),DATE(VALUE(RIGHT(Raw_Data!D455,4)),VALUE(MID(Raw_Data!D455,FIND("/",Raw_Data!D455)+1,FIND("/",Raw_Data!D455,FIND("/",Raw_Data!D455)+1)-FIND("/",Raw_Data!D455)-1)),VALUE(LEFT(Raw_Data!D455,FIND("/",Raw_Data!D455)-1))),IF(ISNUMBER(VALUE(LEFT(Raw_Data!D455,4))),DATE(VALUE(LEFT(Raw_Data!D455,4)),VALUE(MID(Raw_Data!D455,6,2)),VALUE(MID(Raw_Data!D455,9,2))),DATEVALUE(Raw_Data!D455))),"")</f>
        <v>45604</v>
      </c>
      <c r="E455" s="12" t="n">
        <f aca="false">IFERROR(IF(ISNUMBER(SEARCH("/",Raw_Data!E455)),DATE(VALUE(RIGHT(Raw_Data!E455,4)),VALUE(MID(Raw_Data!E455,FIND("/",Raw_Data!E455)+1,FIND("/",Raw_Data!E455,FIND("/",Raw_Data!E455)+1)-FIND("/",Raw_Data!E455)-1)),VALUE(LEFT(Raw_Data!E455,FIND("/",Raw_Data!E455)-1))),IF(ISNUMBER(VALUE(LEFT(Raw_Data!E455,4))),DATE(VALUE(LEFT(Raw_Data!E455,4)),VALUE(MID(Raw_Data!E455,6,2)),VALUE(MID(Raw_Data!E455,9,2))),DATEVALUE(Raw_Data!E455))),"")</f>
        <v>45610</v>
      </c>
      <c r="F455" s="11" t="str">
        <f aca="false">Raw_Data!F455</f>
        <v>Female 45+</v>
      </c>
      <c r="G455" s="11" t="str">
        <f aca="false">IF(TRIM(Raw_Data!G455)="","Unspecified",IFERROR(INDEX(Lookup_Tables!$F$2:$F$24,MATCH(UPPER(TRIM(Raw_Data!G455)),Lookup_Tables!$G$2:$G$24,0)),"Unknown"))</f>
        <v>South</v>
      </c>
      <c r="H455" s="11" t="n">
        <f aca="false">IF(Raw_Data!H455="",ROUND(AVERAGEIFS(Raw_Data!$H$2:$H$839,Raw_Data!$C$2:$C$839,Raw_Data!C455),2),Raw_Data!H455)</f>
        <v>71115.42</v>
      </c>
      <c r="I455" s="11" t="n">
        <f aca="false">Raw_Data!I455</f>
        <v>2500187</v>
      </c>
      <c r="J455" s="11" t="n">
        <f aca="false">IF(Raw_Data!J455&lt;0,ABS(Raw_Data!J455),Raw_Data!J455)</f>
        <v>12732</v>
      </c>
      <c r="K455" s="11" t="n">
        <f aca="false">Raw_Data!K455</f>
        <v>903</v>
      </c>
      <c r="L455" s="11" t="n">
        <f aca="false">IF(Raw_Data!L455="",ROUND(AVERAGEIFS(Raw_Data!$L$2:$L$839,Raw_Data!$C$2:$C$839,Raw_Data!C455),2),Raw_Data!L455)</f>
        <v>842157.77</v>
      </c>
      <c r="M455" s="13" t="n">
        <f aca="false">IFERROR(J455/I455,0)</f>
        <v>0.00509241908705229</v>
      </c>
      <c r="N455" s="14" t="n">
        <f aca="false">IFERROR(H455/J455,0)</f>
        <v>5.58556550424128</v>
      </c>
      <c r="O455" s="14" t="n">
        <f aca="false">IFERROR(H455/K455,0)</f>
        <v>78.7546179401993</v>
      </c>
      <c r="P455" s="15" t="n">
        <f aca="false">IFERROR(L455/H455,0)</f>
        <v>11.8421260817977</v>
      </c>
      <c r="Q455" s="13" t="n">
        <f aca="false">IFERROR(K455/J455,0)</f>
        <v>0.070923656927427</v>
      </c>
      <c r="R455" s="11" t="str">
        <f aca="false">IF(COUNTIF($A$2:A455,A455)&gt;1,"Duplicate - Remove","Unique")</f>
        <v>Unique</v>
      </c>
      <c r="S455" s="11" t="str">
        <f aca="false">TRIM(IF(Raw_Data!G455="","Region missing; ","")&amp;IF(Raw_Data!H455="","Spend imputed; ","")&amp;IF(Raw_Data!L455="","Revenue imputed; ","")&amp;IF(Raw_Data!J455&lt;0,"Clicks corrected; ",""))</f>
        <v/>
      </c>
    </row>
    <row r="456" customFormat="false" ht="15" hidden="false" customHeight="true" outlineLevel="0" collapsed="false">
      <c r="A456" s="11" t="n">
        <f aca="false">Raw_Data!A456</f>
        <v>1587</v>
      </c>
      <c r="B456" s="11" t="str">
        <f aca="false">PROPER(TRIM(Raw_Data!B456))</f>
        <v>Festive Gift Bundle</v>
      </c>
      <c r="C456" s="11" t="str">
        <f aca="false">IFERROR(INDEX(Lookup_Tables!$B$2:$B$26,MATCH(UPPER(TRIM(Raw_Data!C456)),Lookup_Tables!$C$2:$C$26,0)),"Unknown")</f>
        <v>Instagram</v>
      </c>
      <c r="D456" s="12" t="n">
        <f aca="false">IFERROR(IF(ISNUMBER(SEARCH("/",Raw_Data!D456)),DATE(VALUE(RIGHT(Raw_Data!D456,4)),VALUE(MID(Raw_Data!D456,FIND("/",Raw_Data!D456)+1,FIND("/",Raw_Data!D456,FIND("/",Raw_Data!D456)+1)-FIND("/",Raw_Data!D456)-1)),VALUE(LEFT(Raw_Data!D456,FIND("/",Raw_Data!D456)-1))),IF(ISNUMBER(VALUE(LEFT(Raw_Data!D456,4))),DATE(VALUE(LEFT(Raw_Data!D456,4)),VALUE(MID(Raw_Data!D456,6,2)),VALUE(MID(Raw_Data!D456,9,2))),DATEVALUE(Raw_Data!D456))),"")</f>
        <v>45540</v>
      </c>
      <c r="E456" s="12" t="n">
        <f aca="false">IFERROR(IF(ISNUMBER(SEARCH("/",Raw_Data!E456)),DATE(VALUE(RIGHT(Raw_Data!E456,4)),VALUE(MID(Raw_Data!E456,FIND("/",Raw_Data!E456)+1,FIND("/",Raw_Data!E456,FIND("/",Raw_Data!E456)+1)-FIND("/",Raw_Data!E456)-1)),VALUE(LEFT(Raw_Data!E456,FIND("/",Raw_Data!E456)-1))),IF(ISNUMBER(VALUE(LEFT(Raw_Data!E456,4))),DATE(VALUE(LEFT(Raw_Data!E456,4)),VALUE(MID(Raw_Data!E456,6,2)),VALUE(MID(Raw_Data!E456,9,2))),DATEVALUE(Raw_Data!E456))),"")</f>
        <v>45550</v>
      </c>
      <c r="F456" s="11" t="str">
        <f aca="false">Raw_Data!F456</f>
        <v>Female 35-44</v>
      </c>
      <c r="G456" s="11" t="str">
        <f aca="false">IF(TRIM(Raw_Data!G456)="","Unspecified",IFERROR(INDEX(Lookup_Tables!$F$2:$F$24,MATCH(UPPER(TRIM(Raw_Data!G456)),Lookup_Tables!$G$2:$G$24,0)),"Unknown"))</f>
        <v>South</v>
      </c>
      <c r="H456" s="11" t="n">
        <f aca="false">IF(Raw_Data!H456="",ROUND(AVERAGEIFS(Raw_Data!$H$2:$H$839,Raw_Data!$C$2:$C$839,Raw_Data!C456),2),Raw_Data!H456)</f>
        <v>33829.77</v>
      </c>
      <c r="I456" s="11" t="n">
        <f aca="false">Raw_Data!I456</f>
        <v>618908</v>
      </c>
      <c r="J456" s="11" t="n">
        <f aca="false">IF(Raw_Data!J456&lt;0,ABS(Raw_Data!J456),Raw_Data!J456)</f>
        <v>14880</v>
      </c>
      <c r="K456" s="11" t="n">
        <f aca="false">Raw_Data!K456</f>
        <v>241</v>
      </c>
      <c r="L456" s="11" t="n">
        <f aca="false">IF(Raw_Data!L456="",ROUND(AVERAGEIFS(Raw_Data!$L$2:$L$839,Raw_Data!$C$2:$C$839,Raw_Data!C456),2),Raw_Data!L456)</f>
        <v>264773.21</v>
      </c>
      <c r="M456" s="13" t="n">
        <f aca="false">IFERROR(J456/I456,0)</f>
        <v>0.0240423455505503</v>
      </c>
      <c r="N456" s="14" t="n">
        <f aca="false">IFERROR(H456/J456,0)</f>
        <v>2.2735060483871</v>
      </c>
      <c r="O456" s="14" t="n">
        <f aca="false">IFERROR(H456/K456,0)</f>
        <v>140.372489626556</v>
      </c>
      <c r="P456" s="15" t="n">
        <f aca="false">IFERROR(L456/H456,0)</f>
        <v>7.82663346514032</v>
      </c>
      <c r="Q456" s="13" t="n">
        <f aca="false">IFERROR(K456/J456,0)</f>
        <v>0.0161962365591398</v>
      </c>
      <c r="R456" s="11" t="str">
        <f aca="false">IF(COUNTIF($A$2:A456,A456)&gt;1,"Duplicate - Remove","Unique")</f>
        <v>Unique</v>
      </c>
      <c r="S456" s="11" t="str">
        <f aca="false">TRIM(IF(Raw_Data!G456="","Region missing; ","")&amp;IF(Raw_Data!H456="","Spend imputed; ","")&amp;IF(Raw_Data!L456="","Revenue imputed; ","")&amp;IF(Raw_Data!J456&lt;0,"Clicks corrected; ",""))</f>
        <v/>
      </c>
    </row>
    <row r="457" customFormat="false" ht="15" hidden="false" customHeight="true" outlineLevel="0" collapsed="false">
      <c r="A457" s="11" t="n">
        <f aca="false">Raw_Data!A457</f>
        <v>1519</v>
      </c>
      <c r="B457" s="11" t="str">
        <f aca="false">PROPER(TRIM(Raw_Data!B457))</f>
        <v>Herbal Range Awareness</v>
      </c>
      <c r="C457" s="11" t="str">
        <f aca="false">IFERROR(INDEX(Lookup_Tables!$B$2:$B$26,MATCH(UPPER(TRIM(Raw_Data!C457)),Lookup_Tables!$C$2:$C$26,0)),"Unknown")</f>
        <v>Email</v>
      </c>
      <c r="D457" s="12" t="n">
        <f aca="false">IFERROR(IF(ISNUMBER(SEARCH("/",Raw_Data!D457)),DATE(VALUE(RIGHT(Raw_Data!D457,4)),VALUE(MID(Raw_Data!D457,FIND("/",Raw_Data!D457)+1,FIND("/",Raw_Data!D457,FIND("/",Raw_Data!D457)+1)-FIND("/",Raw_Data!D457)-1)),VALUE(LEFT(Raw_Data!D457,FIND("/",Raw_Data!D457)-1))),IF(ISNUMBER(VALUE(LEFT(Raw_Data!D457,4))),DATE(VALUE(LEFT(Raw_Data!D457,4)),VALUE(MID(Raw_Data!D457,6,2)),VALUE(MID(Raw_Data!D457,9,2))),DATEVALUE(Raw_Data!D457))),"")</f>
        <v>45406</v>
      </c>
      <c r="E457" s="12" t="n">
        <f aca="false">IFERROR(IF(ISNUMBER(SEARCH("/",Raw_Data!E457)),DATE(VALUE(RIGHT(Raw_Data!E457,4)),VALUE(MID(Raw_Data!E457,FIND("/",Raw_Data!E457)+1,FIND("/",Raw_Data!E457,FIND("/",Raw_Data!E457)+1)-FIND("/",Raw_Data!E457)-1)),VALUE(LEFT(Raw_Data!E457,FIND("/",Raw_Data!E457)-1))),IF(ISNUMBER(VALUE(LEFT(Raw_Data!E457,4))),DATE(VALUE(LEFT(Raw_Data!E457,4)),VALUE(MID(Raw_Data!E457,6,2)),VALUE(MID(Raw_Data!E457,9,2))),DATEVALUE(Raw_Data!E457))),"")</f>
        <v>45427</v>
      </c>
      <c r="F457" s="11" t="str">
        <f aca="false">Raw_Data!F457</f>
        <v>Male 35-44</v>
      </c>
      <c r="G457" s="11" t="str">
        <f aca="false">IF(TRIM(Raw_Data!G457)="","Unspecified",IFERROR(INDEX(Lookup_Tables!$F$2:$F$24,MATCH(UPPER(TRIM(Raw_Data!G457)),Lookup_Tables!$G$2:$G$24,0)),"Unknown"))</f>
        <v>Unspecified</v>
      </c>
      <c r="H457" s="11" t="n">
        <f aca="false">IF(Raw_Data!H457="",ROUND(AVERAGEIFS(Raw_Data!$H$2:$H$839,Raw_Data!$C$2:$C$839,Raw_Data!C457),2),Raw_Data!H457)</f>
        <v>4621.06</v>
      </c>
      <c r="I457" s="11" t="n">
        <f aca="false">Raw_Data!I457</f>
        <v>90413</v>
      </c>
      <c r="J457" s="11" t="n">
        <f aca="false">IF(Raw_Data!J457&lt;0,ABS(Raw_Data!J457),Raw_Data!J457)</f>
        <v>1285</v>
      </c>
      <c r="K457" s="11" t="n">
        <f aca="false">Raw_Data!K457</f>
        <v>94</v>
      </c>
      <c r="L457" s="11" t="n">
        <f aca="false">IF(Raw_Data!L457="",ROUND(AVERAGEIFS(Raw_Data!$L$2:$L$839,Raw_Data!$C$2:$C$839,Raw_Data!C457),2),Raw_Data!L457)</f>
        <v>156842.73</v>
      </c>
      <c r="M457" s="13" t="n">
        <f aca="false">IFERROR(J457/I457,0)</f>
        <v>0.0142125579286165</v>
      </c>
      <c r="N457" s="14" t="n">
        <f aca="false">IFERROR(H457/J457,0)</f>
        <v>3.59615564202335</v>
      </c>
      <c r="O457" s="14" t="n">
        <f aca="false">IFERROR(H457/K457,0)</f>
        <v>49.1602127659575</v>
      </c>
      <c r="P457" s="15" t="n">
        <f aca="false">IFERROR(L457/H457,0)</f>
        <v>33.9408555612782</v>
      </c>
      <c r="Q457" s="13" t="n">
        <f aca="false">IFERROR(K457/J457,0)</f>
        <v>0.0731517509727627</v>
      </c>
      <c r="R457" s="11" t="str">
        <f aca="false">IF(COUNTIF($A$2:A457,A457)&gt;1,"Duplicate - Remove","Unique")</f>
        <v>Unique</v>
      </c>
      <c r="S457" s="11" t="str">
        <f aca="false">TRIM(IF(Raw_Data!G457="","Region missing; ","")&amp;IF(Raw_Data!H457="","Spend imputed; ","")&amp;IF(Raw_Data!L457="","Revenue imputed; ","")&amp;IF(Raw_Data!J457&lt;0,"Clicks corrected; ",""))</f>
        <v>Region missing; Spend imputed;</v>
      </c>
    </row>
    <row r="458" customFormat="false" ht="15" hidden="false" customHeight="true" outlineLevel="0" collapsed="false">
      <c r="A458" s="11" t="n">
        <f aca="false">Raw_Data!A458</f>
        <v>1185</v>
      </c>
      <c r="B458" s="11" t="str">
        <f aca="false">PROPER(TRIM(Raw_Data!B458))</f>
        <v>Ayurvedic Range Launch</v>
      </c>
      <c r="C458" s="11" t="str">
        <f aca="false">IFERROR(INDEX(Lookup_Tables!$B$2:$B$26,MATCH(UPPER(TRIM(Raw_Data!C458)),Lookup_Tables!$C$2:$C$26,0)),"Unknown")</f>
        <v>Facebook</v>
      </c>
      <c r="D458" s="12" t="n">
        <f aca="false">IFERROR(IF(ISNUMBER(SEARCH("/",Raw_Data!D458)),DATE(VALUE(RIGHT(Raw_Data!D458,4)),VALUE(MID(Raw_Data!D458,FIND("/",Raw_Data!D458)+1,FIND("/",Raw_Data!D458,FIND("/",Raw_Data!D458)+1)-FIND("/",Raw_Data!D458)-1)),VALUE(LEFT(Raw_Data!D458,FIND("/",Raw_Data!D458)-1))),IF(ISNUMBER(VALUE(LEFT(Raw_Data!D458,4))),DATE(VALUE(LEFT(Raw_Data!D458,4)),VALUE(MID(Raw_Data!D458,6,2)),VALUE(MID(Raw_Data!D458,9,2))),DATEVALUE(Raw_Data!D458))),"")</f>
        <v>45577</v>
      </c>
      <c r="E458" s="12" t="n">
        <f aca="false">IFERROR(IF(ISNUMBER(SEARCH("/",Raw_Data!E458)),DATE(VALUE(RIGHT(Raw_Data!E458,4)),VALUE(MID(Raw_Data!E458,FIND("/",Raw_Data!E458)+1,FIND("/",Raw_Data!E458,FIND("/",Raw_Data!E458)+1)-FIND("/",Raw_Data!E458)-1)),VALUE(LEFT(Raw_Data!E458,FIND("/",Raw_Data!E458)-1))),IF(ISNUMBER(VALUE(LEFT(Raw_Data!E458,4))),DATE(VALUE(LEFT(Raw_Data!E458,4)),VALUE(MID(Raw_Data!E458,6,2)),VALUE(MID(Raw_Data!E458,9,2))),DATEVALUE(Raw_Data!E458))),"")</f>
        <v>45587</v>
      </c>
      <c r="F458" s="11" t="str">
        <f aca="false">Raw_Data!F458</f>
        <v>Female 35-44</v>
      </c>
      <c r="G458" s="11" t="str">
        <f aca="false">IF(TRIM(Raw_Data!G458)="","Unspecified",IFERROR(INDEX(Lookup_Tables!$F$2:$F$24,MATCH(UPPER(TRIM(Raw_Data!G458)),Lookup_Tables!$G$2:$G$24,0)),"Unknown"))</f>
        <v>East</v>
      </c>
      <c r="H458" s="11" t="n">
        <f aca="false">IF(Raw_Data!H458="",ROUND(AVERAGEIFS(Raw_Data!$H$2:$H$839,Raw_Data!$C$2:$C$839,Raw_Data!C458),2),Raw_Data!H458)</f>
        <v>10294.53</v>
      </c>
      <c r="I458" s="11" t="n">
        <f aca="false">Raw_Data!I458</f>
        <v>187346</v>
      </c>
      <c r="J458" s="11" t="n">
        <f aca="false">IF(Raw_Data!J458&lt;0,ABS(Raw_Data!J458),Raw_Data!J458)</f>
        <v>2390</v>
      </c>
      <c r="K458" s="11" t="n">
        <f aca="false">Raw_Data!K458</f>
        <v>159</v>
      </c>
      <c r="L458" s="11" t="n">
        <f aca="false">IF(Raw_Data!L458="",ROUND(AVERAGEIFS(Raw_Data!$L$2:$L$839,Raw_Data!$C$2:$C$839,Raw_Data!C458),2),Raw_Data!L458)</f>
        <v>231540.8</v>
      </c>
      <c r="M458" s="13" t="n">
        <f aca="false">IFERROR(J458/I458,0)</f>
        <v>0.0127571445347112</v>
      </c>
      <c r="N458" s="14" t="n">
        <f aca="false">IFERROR(H458/J458,0)</f>
        <v>4.30733472803347</v>
      </c>
      <c r="O458" s="14" t="n">
        <f aca="false">IFERROR(H458/K458,0)</f>
        <v>64.7454716981132</v>
      </c>
      <c r="P458" s="15" t="n">
        <f aca="false">IFERROR(L458/H458,0)</f>
        <v>22.4916339065504</v>
      </c>
      <c r="Q458" s="13" t="n">
        <f aca="false">IFERROR(K458/J458,0)</f>
        <v>0.0665271966527197</v>
      </c>
      <c r="R458" s="11" t="str">
        <f aca="false">IF(COUNTIF($A$2:A458,A458)&gt;1,"Duplicate - Remove","Unique")</f>
        <v>Unique</v>
      </c>
      <c r="S458" s="11" t="str">
        <f aca="false">TRIM(IF(Raw_Data!G458="","Region missing; ","")&amp;IF(Raw_Data!H458="","Spend imputed; ","")&amp;IF(Raw_Data!L458="","Revenue imputed; ","")&amp;IF(Raw_Data!J458&lt;0,"Clicks corrected; ",""))</f>
        <v/>
      </c>
    </row>
    <row r="459" customFormat="false" ht="15" hidden="false" customHeight="true" outlineLevel="0" collapsed="false">
      <c r="A459" s="11" t="n">
        <f aca="false">Raw_Data!A459</f>
        <v>1596</v>
      </c>
      <c r="B459" s="11" t="str">
        <f aca="false">PROPER(TRIM(Raw_Data!B459))</f>
        <v>Sunscreen Season Campaign</v>
      </c>
      <c r="C459" s="11" t="str">
        <f aca="false">IFERROR(INDEX(Lookup_Tables!$B$2:$B$26,MATCH(UPPER(TRIM(Raw_Data!C459)),Lookup_Tables!$C$2:$C$26,0)),"Unknown")</f>
        <v>Email</v>
      </c>
      <c r="D459" s="12" t="n">
        <f aca="false">IFERROR(IF(ISNUMBER(SEARCH("/",Raw_Data!D459)),DATE(VALUE(RIGHT(Raw_Data!D459,4)),VALUE(MID(Raw_Data!D459,FIND("/",Raw_Data!D459)+1,FIND("/",Raw_Data!D459,FIND("/",Raw_Data!D459)+1)-FIND("/",Raw_Data!D459)-1)),VALUE(LEFT(Raw_Data!D459,FIND("/",Raw_Data!D459)-1))),IF(ISNUMBER(VALUE(LEFT(Raw_Data!D459,4))),DATE(VALUE(LEFT(Raw_Data!D459,4)),VALUE(MID(Raw_Data!D459,6,2)),VALUE(MID(Raw_Data!D459,9,2))),DATEVALUE(Raw_Data!D459))),"")</f>
        <v>45340</v>
      </c>
      <c r="E459" s="12" t="n">
        <f aca="false">IFERROR(IF(ISNUMBER(SEARCH("/",Raw_Data!E459)),DATE(VALUE(RIGHT(Raw_Data!E459,4)),VALUE(MID(Raw_Data!E459,FIND("/",Raw_Data!E459)+1,FIND("/",Raw_Data!E459,FIND("/",Raw_Data!E459)+1)-FIND("/",Raw_Data!E459)-1)),VALUE(LEFT(Raw_Data!E459,FIND("/",Raw_Data!E459)-1))),IF(ISNUMBER(VALUE(LEFT(Raw_Data!E459,4))),DATE(VALUE(LEFT(Raw_Data!E459,4)),VALUE(MID(Raw_Data!E459,6,2)),VALUE(MID(Raw_Data!E459,9,2))),DATEVALUE(Raw_Data!E459))),"")</f>
        <v>45362</v>
      </c>
      <c r="F459" s="11" t="str">
        <f aca="false">Raw_Data!F459</f>
        <v>Female 25-34</v>
      </c>
      <c r="G459" s="11" t="str">
        <f aca="false">IF(TRIM(Raw_Data!G459)="","Unspecified",IFERROR(INDEX(Lookup_Tables!$F$2:$F$24,MATCH(UPPER(TRIM(Raw_Data!G459)),Lookup_Tables!$G$2:$G$24,0)),"Unknown"))</f>
        <v>East</v>
      </c>
      <c r="H459" s="11" t="n">
        <f aca="false">IF(Raw_Data!H459="",ROUND(AVERAGEIFS(Raw_Data!$H$2:$H$839,Raw_Data!$C$2:$C$839,Raw_Data!C459),2),Raw_Data!H459)</f>
        <v>2453.77</v>
      </c>
      <c r="I459" s="11" t="n">
        <f aca="false">Raw_Data!I459</f>
        <v>94598</v>
      </c>
      <c r="J459" s="11" t="n">
        <f aca="false">IF(Raw_Data!J459&lt;0,ABS(Raw_Data!J459),Raw_Data!J459)</f>
        <v>2157</v>
      </c>
      <c r="K459" s="11" t="n">
        <f aca="false">Raw_Data!K459</f>
        <v>34</v>
      </c>
      <c r="L459" s="11" t="n">
        <f aca="false">IF(Raw_Data!L459="",ROUND(AVERAGEIFS(Raw_Data!$L$2:$L$839,Raw_Data!$C$2:$C$839,Raw_Data!C459),2),Raw_Data!L459)</f>
        <v>31777.52</v>
      </c>
      <c r="M459" s="13" t="n">
        <f aca="false">IFERROR(J459/I459,0)</f>
        <v>0.0228017505655511</v>
      </c>
      <c r="N459" s="14" t="n">
        <f aca="false">IFERROR(H459/J459,0)</f>
        <v>1.1375846082522</v>
      </c>
      <c r="O459" s="14" t="n">
        <f aca="false">IFERROR(H459/K459,0)</f>
        <v>72.1697058823529</v>
      </c>
      <c r="P459" s="15" t="n">
        <f aca="false">IFERROR(L459/H459,0)</f>
        <v>12.9504884320861</v>
      </c>
      <c r="Q459" s="13" t="n">
        <f aca="false">IFERROR(K459/J459,0)</f>
        <v>0.0157626332869727</v>
      </c>
      <c r="R459" s="11" t="str">
        <f aca="false">IF(COUNTIF($A$2:A459,A459)&gt;1,"Duplicate - Remove","Unique")</f>
        <v>Unique</v>
      </c>
      <c r="S459" s="11" t="str">
        <f aca="false">TRIM(IF(Raw_Data!G459="","Region missing; ","")&amp;IF(Raw_Data!H459="","Spend imputed; ","")&amp;IF(Raw_Data!L459="","Revenue imputed; ","")&amp;IF(Raw_Data!J459&lt;0,"Clicks corrected; ",""))</f>
        <v/>
      </c>
    </row>
    <row r="460" customFormat="false" ht="15" hidden="false" customHeight="true" outlineLevel="0" collapsed="false">
      <c r="A460" s="11" t="n">
        <f aca="false">Raw_Data!A460</f>
        <v>1454</v>
      </c>
      <c r="B460" s="11" t="str">
        <f aca="false">PROPER(TRIM(Raw_Data!B460))</f>
        <v>Men'S Grooming Drive</v>
      </c>
      <c r="C460" s="11" t="str">
        <f aca="false">IFERROR(INDEX(Lookup_Tables!$B$2:$B$26,MATCH(UPPER(TRIM(Raw_Data!C460)),Lookup_Tables!$C$2:$C$26,0)),"Unknown")</f>
        <v>Instagram</v>
      </c>
      <c r="D460" s="12" t="n">
        <f aca="false">IFERROR(IF(ISNUMBER(SEARCH("/",Raw_Data!D460)),DATE(VALUE(RIGHT(Raw_Data!D460,4)),VALUE(MID(Raw_Data!D460,FIND("/",Raw_Data!D460)+1,FIND("/",Raw_Data!D460,FIND("/",Raw_Data!D460)+1)-FIND("/",Raw_Data!D460)-1)),VALUE(LEFT(Raw_Data!D460,FIND("/",Raw_Data!D460)-1))),IF(ISNUMBER(VALUE(LEFT(Raw_Data!D460,4))),DATE(VALUE(LEFT(Raw_Data!D460,4)),VALUE(MID(Raw_Data!D460,6,2)),VALUE(MID(Raw_Data!D460,9,2))),DATEVALUE(Raw_Data!D460))),"")</f>
        <v>45555</v>
      </c>
      <c r="E460" s="12" t="n">
        <f aca="false">IFERROR(IF(ISNUMBER(SEARCH("/",Raw_Data!E460)),DATE(VALUE(RIGHT(Raw_Data!E460,4)),VALUE(MID(Raw_Data!E460,FIND("/",Raw_Data!E460)+1,FIND("/",Raw_Data!E460,FIND("/",Raw_Data!E460)+1)-FIND("/",Raw_Data!E460)-1)),VALUE(LEFT(Raw_Data!E460,FIND("/",Raw_Data!E460)-1))),IF(ISNUMBER(VALUE(LEFT(Raw_Data!E460,4))),DATE(VALUE(LEFT(Raw_Data!E460,4)),VALUE(MID(Raw_Data!E460,6,2)),VALUE(MID(Raw_Data!E460,9,2))),DATEVALUE(Raw_Data!E460))),"")</f>
        <v>45573</v>
      </c>
      <c r="F460" s="11" t="str">
        <f aca="false">Raw_Data!F460</f>
        <v>Male 45+</v>
      </c>
      <c r="G460" s="11" t="str">
        <f aca="false">IF(TRIM(Raw_Data!G460)="","Unspecified",IFERROR(INDEX(Lookup_Tables!$F$2:$F$24,MATCH(UPPER(TRIM(Raw_Data!G460)),Lookup_Tables!$G$2:$G$24,0)),"Unknown"))</f>
        <v>South</v>
      </c>
      <c r="H460" s="11" t="n">
        <f aca="false">IF(Raw_Data!H460="",ROUND(AVERAGEIFS(Raw_Data!$H$2:$H$839,Raw_Data!$C$2:$C$839,Raw_Data!C460),2),Raw_Data!H460)</f>
        <v>17772.62</v>
      </c>
      <c r="I460" s="11" t="n">
        <f aca="false">Raw_Data!I460</f>
        <v>704764</v>
      </c>
      <c r="J460" s="11" t="n">
        <f aca="false">IF(Raw_Data!J460&lt;0,ABS(Raw_Data!J460),Raw_Data!J460)</f>
        <v>23769</v>
      </c>
      <c r="K460" s="11" t="n">
        <f aca="false">Raw_Data!K460</f>
        <v>1589</v>
      </c>
      <c r="L460" s="11" t="n">
        <f aca="false">IF(Raw_Data!L460="",ROUND(AVERAGEIFS(Raw_Data!$L$2:$L$839,Raw_Data!$C$2:$C$839,Raw_Data!C460),2),Raw_Data!L460)</f>
        <v>594467.05</v>
      </c>
      <c r="M460" s="13" t="n">
        <f aca="false">IFERROR(J460/I460,0)</f>
        <v>0.0337261835167517</v>
      </c>
      <c r="N460" s="14" t="n">
        <f aca="false">IFERROR(H460/J460,0)</f>
        <v>0.747722663974084</v>
      </c>
      <c r="O460" s="14" t="n">
        <f aca="false">IFERROR(H460/K460,0)</f>
        <v>11.1847828823159</v>
      </c>
      <c r="P460" s="15" t="n">
        <f aca="false">IFERROR(L460/H460,0)</f>
        <v>33.4484758015419</v>
      </c>
      <c r="Q460" s="13" t="n">
        <f aca="false">IFERROR(K460/J460,0)</f>
        <v>0.0668517817325087</v>
      </c>
      <c r="R460" s="11" t="str">
        <f aca="false">IF(COUNTIF($A$2:A460,A460)&gt;1,"Duplicate - Remove","Unique")</f>
        <v>Unique</v>
      </c>
      <c r="S460" s="11" t="str">
        <f aca="false">TRIM(IF(Raw_Data!G460="","Region missing; ","")&amp;IF(Raw_Data!H460="","Spend imputed; ","")&amp;IF(Raw_Data!L460="","Revenue imputed; ","")&amp;IF(Raw_Data!J460&lt;0,"Clicks corrected; ",""))</f>
        <v/>
      </c>
    </row>
    <row r="461" customFormat="false" ht="15" hidden="false" customHeight="true" outlineLevel="0" collapsed="false">
      <c r="A461" s="11" t="n">
        <f aca="false">Raw_Data!A461</f>
        <v>1496</v>
      </c>
      <c r="B461" s="11" t="str">
        <f aca="false">PROPER(TRIM(Raw_Data!B461))</f>
        <v>Back To College Offer</v>
      </c>
      <c r="C461" s="11" t="str">
        <f aca="false">IFERROR(INDEX(Lookup_Tables!$B$2:$B$26,MATCH(UPPER(TRIM(Raw_Data!C461)),Lookup_Tables!$C$2:$C$26,0)),"Unknown")</f>
        <v>Google Ads</v>
      </c>
      <c r="D461" s="12" t="n">
        <f aca="false">IFERROR(IF(ISNUMBER(SEARCH("/",Raw_Data!D461)),DATE(VALUE(RIGHT(Raw_Data!D461,4)),VALUE(MID(Raw_Data!D461,FIND("/",Raw_Data!D461)+1,FIND("/",Raw_Data!D461,FIND("/",Raw_Data!D461)+1)-FIND("/",Raw_Data!D461)-1)),VALUE(LEFT(Raw_Data!D461,FIND("/",Raw_Data!D461)-1))),IF(ISNUMBER(VALUE(LEFT(Raw_Data!D461,4))),DATE(VALUE(LEFT(Raw_Data!D461,4)),VALUE(MID(Raw_Data!D461,6,2)),VALUE(MID(Raw_Data!D461,9,2))),DATEVALUE(Raw_Data!D461))),"")</f>
        <v>45331</v>
      </c>
      <c r="E461" s="12" t="n">
        <f aca="false">IFERROR(IF(ISNUMBER(SEARCH("/",Raw_Data!E461)),DATE(VALUE(RIGHT(Raw_Data!E461,4)),VALUE(MID(Raw_Data!E461,FIND("/",Raw_Data!E461)+1,FIND("/",Raw_Data!E461,FIND("/",Raw_Data!E461)+1)-FIND("/",Raw_Data!E461)-1)),VALUE(LEFT(Raw_Data!E461,FIND("/",Raw_Data!E461)-1))),IF(ISNUMBER(VALUE(LEFT(Raw_Data!E461,4))),DATE(VALUE(LEFT(Raw_Data!E461,4)),VALUE(MID(Raw_Data!E461,6,2)),VALUE(MID(Raw_Data!E461,9,2))),DATEVALUE(Raw_Data!E461))),"")</f>
        <v>45361</v>
      </c>
      <c r="F461" s="11" t="str">
        <f aca="false">Raw_Data!F461</f>
        <v>Male 25-34</v>
      </c>
      <c r="G461" s="11" t="str">
        <f aca="false">IF(TRIM(Raw_Data!G461)="","Unspecified",IFERROR(INDEX(Lookup_Tables!$F$2:$F$24,MATCH(UPPER(TRIM(Raw_Data!G461)),Lookup_Tables!$G$2:$G$24,0)),"Unknown"))</f>
        <v>East</v>
      </c>
      <c r="H461" s="11" t="n">
        <f aca="false">IF(Raw_Data!H461="",ROUND(AVERAGEIFS(Raw_Data!$H$2:$H$839,Raw_Data!$C$2:$C$839,Raw_Data!C461),2),Raw_Data!H461)</f>
        <v>70319.98</v>
      </c>
      <c r="I461" s="11" t="n">
        <f aca="false">Raw_Data!I461</f>
        <v>2774210</v>
      </c>
      <c r="J461" s="11" t="n">
        <f aca="false">IF(Raw_Data!J461&lt;0,ABS(Raw_Data!J461),Raw_Data!J461)</f>
        <v>78603</v>
      </c>
      <c r="K461" s="11" t="n">
        <f aca="false">Raw_Data!K461</f>
        <v>1592</v>
      </c>
      <c r="L461" s="11" t="n">
        <f aca="false">IF(Raw_Data!L461="",ROUND(AVERAGEIFS(Raw_Data!$L$2:$L$839,Raw_Data!$C$2:$C$839,Raw_Data!C461),2),Raw_Data!L461)</f>
        <v>898335.77</v>
      </c>
      <c r="M461" s="13" t="n">
        <f aca="false">IFERROR(J461/I461,0)</f>
        <v>0.0283334715108085</v>
      </c>
      <c r="N461" s="14" t="n">
        <f aca="false">IFERROR(H461/J461,0)</f>
        <v>0.894622088215462</v>
      </c>
      <c r="O461" s="14" t="n">
        <f aca="false">IFERROR(H461/K461,0)</f>
        <v>44.1708417085427</v>
      </c>
      <c r="P461" s="15" t="n">
        <f aca="false">IFERROR(L461/H461,0)</f>
        <v>12.7749719212093</v>
      </c>
      <c r="Q461" s="13" t="n">
        <f aca="false">IFERROR(K461/J461,0)</f>
        <v>0.0202536798849917</v>
      </c>
      <c r="R461" s="11" t="str">
        <f aca="false">IF(COUNTIF($A$2:A461,A461)&gt;1,"Duplicate - Remove","Unique")</f>
        <v>Unique</v>
      </c>
      <c r="S461" s="11" t="str">
        <f aca="false">TRIM(IF(Raw_Data!G461="","Region missing; ","")&amp;IF(Raw_Data!H461="","Spend imputed; ","")&amp;IF(Raw_Data!L461="","Revenue imputed; ","")&amp;IF(Raw_Data!J461&lt;0,"Clicks corrected; ",""))</f>
        <v/>
      </c>
    </row>
    <row r="462" customFormat="false" ht="15" hidden="false" customHeight="true" outlineLevel="0" collapsed="false">
      <c r="A462" s="11" t="n">
        <f aca="false">Raw_Data!A462</f>
        <v>1029</v>
      </c>
      <c r="B462" s="11" t="str">
        <f aca="false">PROPER(TRIM(Raw_Data!B462))</f>
        <v>Summer Glow Launch</v>
      </c>
      <c r="C462" s="11" t="str">
        <f aca="false">IFERROR(INDEX(Lookup_Tables!$B$2:$B$26,MATCH(UPPER(TRIM(Raw_Data!C462)),Lookup_Tables!$C$2:$C$26,0)),"Unknown")</f>
        <v>YouTube</v>
      </c>
      <c r="D462" s="12" t="n">
        <f aca="false">IFERROR(IF(ISNUMBER(SEARCH("/",Raw_Data!D462)),DATE(VALUE(RIGHT(Raw_Data!D462,4)),VALUE(MID(Raw_Data!D462,FIND("/",Raw_Data!D462)+1,FIND("/",Raw_Data!D462,FIND("/",Raw_Data!D462)+1)-FIND("/",Raw_Data!D462)-1)),VALUE(LEFT(Raw_Data!D462,FIND("/",Raw_Data!D462)-1))),IF(ISNUMBER(VALUE(LEFT(Raw_Data!D462,4))),DATE(VALUE(LEFT(Raw_Data!D462,4)),VALUE(MID(Raw_Data!D462,6,2)),VALUE(MID(Raw_Data!D462,9,2))),DATEVALUE(Raw_Data!D462))),"")</f>
        <v>45528</v>
      </c>
      <c r="E462" s="12" t="n">
        <f aca="false">IFERROR(IF(ISNUMBER(SEARCH("/",Raw_Data!E462)),DATE(VALUE(RIGHT(Raw_Data!E462,4)),VALUE(MID(Raw_Data!E462,FIND("/",Raw_Data!E462)+1,FIND("/",Raw_Data!E462,FIND("/",Raw_Data!E462)+1)-FIND("/",Raw_Data!E462)-1)),VALUE(LEFT(Raw_Data!E462,FIND("/",Raw_Data!E462)-1))),IF(ISNUMBER(VALUE(LEFT(Raw_Data!E462,4))),DATE(VALUE(LEFT(Raw_Data!E462,4)),VALUE(MID(Raw_Data!E462,6,2)),VALUE(MID(Raw_Data!E462,9,2))),DATEVALUE(Raw_Data!E462))),"")</f>
        <v>45538</v>
      </c>
      <c r="F462" s="11" t="str">
        <f aca="false">Raw_Data!F462</f>
        <v>Female 35-44</v>
      </c>
      <c r="G462" s="11" t="str">
        <f aca="false">IF(TRIM(Raw_Data!G462)="","Unspecified",IFERROR(INDEX(Lookup_Tables!$F$2:$F$24,MATCH(UPPER(TRIM(Raw_Data!G462)),Lookup_Tables!$G$2:$G$24,0)),"Unknown"))</f>
        <v>North</v>
      </c>
      <c r="H462" s="11" t="n">
        <f aca="false">IF(Raw_Data!H462="",ROUND(AVERAGEIFS(Raw_Data!$H$2:$H$839,Raw_Data!$C$2:$C$839,Raw_Data!C462),2),Raw_Data!H462)</f>
        <v>34511.72</v>
      </c>
      <c r="I462" s="11" t="n">
        <f aca="false">Raw_Data!I462</f>
        <v>800113</v>
      </c>
      <c r="J462" s="11" t="n">
        <f aca="false">IF(Raw_Data!J462&lt;0,ABS(Raw_Data!J462),Raw_Data!J462)</f>
        <v>14914</v>
      </c>
      <c r="K462" s="11" t="n">
        <f aca="false">Raw_Data!K462</f>
        <v>501</v>
      </c>
      <c r="L462" s="11" t="n">
        <f aca="false">IF(Raw_Data!L462="",ROUND(AVERAGEIFS(Raw_Data!$L$2:$L$839,Raw_Data!$C$2:$C$839,Raw_Data!C462),2),Raw_Data!L462)</f>
        <v>814364.47</v>
      </c>
      <c r="M462" s="13" t="n">
        <f aca="false">IFERROR(J462/I462,0)</f>
        <v>0.0186398671187695</v>
      </c>
      <c r="N462" s="14" t="n">
        <f aca="false">IFERROR(H462/J462,0)</f>
        <v>2.31404854499128</v>
      </c>
      <c r="O462" s="14" t="n">
        <f aca="false">IFERROR(H462/K462,0)</f>
        <v>68.8856686626747</v>
      </c>
      <c r="P462" s="15" t="n">
        <f aca="false">IFERROR(L462/H462,0)</f>
        <v>23.59675119061</v>
      </c>
      <c r="Q462" s="13" t="n">
        <f aca="false">IFERROR(K462/J462,0)</f>
        <v>0.0335925975593402</v>
      </c>
      <c r="R462" s="11" t="str">
        <f aca="false">IF(COUNTIF($A$2:A462,A462)&gt;1,"Duplicate - Remove","Unique")</f>
        <v>Unique</v>
      </c>
      <c r="S462" s="11" t="str">
        <f aca="false">TRIM(IF(Raw_Data!G462="","Region missing; ","")&amp;IF(Raw_Data!H462="","Spend imputed; ","")&amp;IF(Raw_Data!L462="","Revenue imputed; ","")&amp;IF(Raw_Data!J462&lt;0,"Clicks corrected; ",""))</f>
        <v/>
      </c>
    </row>
    <row r="463" customFormat="false" ht="15" hidden="false" customHeight="true" outlineLevel="0" collapsed="false">
      <c r="A463" s="11" t="n">
        <f aca="false">Raw_Data!A463</f>
        <v>1448</v>
      </c>
      <c r="B463" s="11" t="str">
        <f aca="false">PROPER(TRIM(Raw_Data!B463))</f>
        <v>Clearance Sale Push</v>
      </c>
      <c r="C463" s="11" t="str">
        <f aca="false">IFERROR(INDEX(Lookup_Tables!$B$2:$B$26,MATCH(UPPER(TRIM(Raw_Data!C463)),Lookup_Tables!$C$2:$C$26,0)),"Unknown")</f>
        <v>Google Ads</v>
      </c>
      <c r="D463" s="12" t="n">
        <f aca="false">IFERROR(IF(ISNUMBER(SEARCH("/",Raw_Data!D463)),DATE(VALUE(RIGHT(Raw_Data!D463,4)),VALUE(MID(Raw_Data!D463,FIND("/",Raw_Data!D463)+1,FIND("/",Raw_Data!D463,FIND("/",Raw_Data!D463)+1)-FIND("/",Raw_Data!D463)-1)),VALUE(LEFT(Raw_Data!D463,FIND("/",Raw_Data!D463)-1))),IF(ISNUMBER(VALUE(LEFT(Raw_Data!D463,4))),DATE(VALUE(LEFT(Raw_Data!D463,4)),VALUE(MID(Raw_Data!D463,6,2)),VALUE(MID(Raw_Data!D463,9,2))),DATEVALUE(Raw_Data!D463))),"")</f>
        <v>45422</v>
      </c>
      <c r="E463" s="12" t="n">
        <f aca="false">IFERROR(IF(ISNUMBER(SEARCH("/",Raw_Data!E463)),DATE(VALUE(RIGHT(Raw_Data!E463,4)),VALUE(MID(Raw_Data!E463,FIND("/",Raw_Data!E463)+1,FIND("/",Raw_Data!E463,FIND("/",Raw_Data!E463)+1)-FIND("/",Raw_Data!E463)-1)),VALUE(LEFT(Raw_Data!E463,FIND("/",Raw_Data!E463)-1))),IF(ISNUMBER(VALUE(LEFT(Raw_Data!E463,4))),DATE(VALUE(LEFT(Raw_Data!E463,4)),VALUE(MID(Raw_Data!E463,6,2)),VALUE(MID(Raw_Data!E463,9,2))),DATEVALUE(Raw_Data!E463))),"")</f>
        <v>45434</v>
      </c>
      <c r="F463" s="11" t="str">
        <f aca="false">Raw_Data!F463</f>
        <v>Female 35-44</v>
      </c>
      <c r="G463" s="11" t="str">
        <f aca="false">IF(TRIM(Raw_Data!G463)="","Unspecified",IFERROR(INDEX(Lookup_Tables!$F$2:$F$24,MATCH(UPPER(TRIM(Raw_Data!G463)),Lookup_Tables!$G$2:$G$24,0)),"Unknown"))</f>
        <v>Central</v>
      </c>
      <c r="H463" s="11" t="n">
        <f aca="false">IF(Raw_Data!H463="",ROUND(AVERAGEIFS(Raw_Data!$H$2:$H$839,Raw_Data!$C$2:$C$839,Raw_Data!C463),2),Raw_Data!H463)</f>
        <v>50483.93</v>
      </c>
      <c r="I463" s="11" t="n">
        <f aca="false">Raw_Data!I463</f>
        <v>1593531</v>
      </c>
      <c r="J463" s="11" t="n">
        <f aca="false">IF(Raw_Data!J463&lt;0,ABS(Raw_Data!J463),Raw_Data!J463)</f>
        <v>15684</v>
      </c>
      <c r="K463" s="11" t="n">
        <f aca="false">Raw_Data!K463</f>
        <v>284</v>
      </c>
      <c r="L463" s="11" t="n">
        <f aca="false">IF(Raw_Data!L463="",ROUND(AVERAGEIFS(Raw_Data!$L$2:$L$839,Raw_Data!$C$2:$C$839,Raw_Data!C463),2),Raw_Data!L463)</f>
        <v>137411.53</v>
      </c>
      <c r="M463" s="13" t="n">
        <f aca="false">IFERROR(J463/I463,0)</f>
        <v>0.00984229362340613</v>
      </c>
      <c r="N463" s="14" t="n">
        <f aca="false">IFERROR(H463/J463,0)</f>
        <v>3.21881726600357</v>
      </c>
      <c r="O463" s="14" t="n">
        <f aca="false">IFERROR(H463/K463,0)</f>
        <v>177.760316901408</v>
      </c>
      <c r="P463" s="15" t="n">
        <f aca="false">IFERROR(L463/H463,0)</f>
        <v>2.72188654884832</v>
      </c>
      <c r="Q463" s="13" t="n">
        <f aca="false">IFERROR(K463/J463,0)</f>
        <v>0.0181076256057128</v>
      </c>
      <c r="R463" s="11" t="str">
        <f aca="false">IF(COUNTIF($A$2:A463,A463)&gt;1,"Duplicate - Remove","Unique")</f>
        <v>Unique</v>
      </c>
      <c r="S463" s="11" t="str">
        <f aca="false">TRIM(IF(Raw_Data!G463="","Region missing; ","")&amp;IF(Raw_Data!H463="","Spend imputed; ","")&amp;IF(Raw_Data!L463="","Revenue imputed; ","")&amp;IF(Raw_Data!J463&lt;0,"Clicks corrected; ",""))</f>
        <v/>
      </c>
    </row>
    <row r="464" customFormat="false" ht="15" hidden="false" customHeight="true" outlineLevel="0" collapsed="false">
      <c r="A464" s="11" t="n">
        <f aca="false">Raw_Data!A464</f>
        <v>1099</v>
      </c>
      <c r="B464" s="11" t="str">
        <f aca="false">PROPER(TRIM(Raw_Data!B464))</f>
        <v>Summer Glow Launch</v>
      </c>
      <c r="C464" s="11" t="str">
        <f aca="false">IFERROR(INDEX(Lookup_Tables!$B$2:$B$26,MATCH(UPPER(TRIM(Raw_Data!C464)),Lookup_Tables!$C$2:$C$26,0)),"Unknown")</f>
        <v>Instagram</v>
      </c>
      <c r="D464" s="12" t="n">
        <f aca="false">IFERROR(IF(ISNUMBER(SEARCH("/",Raw_Data!D464)),DATE(VALUE(RIGHT(Raw_Data!D464,4)),VALUE(MID(Raw_Data!D464,FIND("/",Raw_Data!D464)+1,FIND("/",Raw_Data!D464,FIND("/",Raw_Data!D464)+1)-FIND("/",Raw_Data!D464)-1)),VALUE(LEFT(Raw_Data!D464,FIND("/",Raw_Data!D464)-1))),IF(ISNUMBER(VALUE(LEFT(Raw_Data!D464,4))),DATE(VALUE(LEFT(Raw_Data!D464,4)),VALUE(MID(Raw_Data!D464,6,2)),VALUE(MID(Raw_Data!D464,9,2))),DATEVALUE(Raw_Data!D464))),"")</f>
        <v>45323</v>
      </c>
      <c r="E464" s="12" t="n">
        <f aca="false">IFERROR(IF(ISNUMBER(SEARCH("/",Raw_Data!E464)),DATE(VALUE(RIGHT(Raw_Data!E464,4)),VALUE(MID(Raw_Data!E464,FIND("/",Raw_Data!E464)+1,FIND("/",Raw_Data!E464,FIND("/",Raw_Data!E464)+1)-FIND("/",Raw_Data!E464)-1)),VALUE(LEFT(Raw_Data!E464,FIND("/",Raw_Data!E464)-1))),IF(ISNUMBER(VALUE(LEFT(Raw_Data!E464,4))),DATE(VALUE(LEFT(Raw_Data!E464,4)),VALUE(MID(Raw_Data!E464,6,2)),VALUE(MID(Raw_Data!E464,9,2))),DATEVALUE(Raw_Data!E464))),"")</f>
        <v>45350</v>
      </c>
      <c r="F464" s="11" t="str">
        <f aca="false">Raw_Data!F464</f>
        <v>Male 45+</v>
      </c>
      <c r="G464" s="11" t="str">
        <f aca="false">IF(TRIM(Raw_Data!G464)="","Unspecified",IFERROR(INDEX(Lookup_Tables!$F$2:$F$24,MATCH(UPPER(TRIM(Raw_Data!G464)),Lookup_Tables!$G$2:$G$24,0)),"Unknown"))</f>
        <v>West</v>
      </c>
      <c r="H464" s="11" t="n">
        <f aca="false">IF(Raw_Data!H464="",ROUND(AVERAGEIFS(Raw_Data!$H$2:$H$839,Raw_Data!$C$2:$C$839,Raw_Data!C464),2),Raw_Data!H464)</f>
        <v>34971.53</v>
      </c>
      <c r="I464" s="11" t="n">
        <f aca="false">Raw_Data!I464</f>
        <v>1014949</v>
      </c>
      <c r="J464" s="11" t="n">
        <f aca="false">IF(Raw_Data!J464&lt;0,ABS(Raw_Data!J464),Raw_Data!J464)</f>
        <v>35466</v>
      </c>
      <c r="K464" s="11" t="n">
        <f aca="false">Raw_Data!K464</f>
        <v>1542</v>
      </c>
      <c r="L464" s="11" t="n">
        <f aca="false">IF(Raw_Data!L464="",ROUND(AVERAGEIFS(Raw_Data!$L$2:$L$839,Raw_Data!$C$2:$C$839,Raw_Data!C464),2),Raw_Data!L464)</f>
        <v>1382242.52</v>
      </c>
      <c r="M464" s="13" t="n">
        <f aca="false">IFERROR(J464/I464,0)</f>
        <v>0.0349436277093726</v>
      </c>
      <c r="N464" s="14" t="n">
        <f aca="false">IFERROR(H464/J464,0)</f>
        <v>0.986057914622455</v>
      </c>
      <c r="O464" s="14" t="n">
        <f aca="false">IFERROR(H464/K464,0)</f>
        <v>22.6793320363165</v>
      </c>
      <c r="P464" s="15" t="n">
        <f aca="false">IFERROR(L464/H464,0)</f>
        <v>39.5247940253115</v>
      </c>
      <c r="Q464" s="13" t="n">
        <f aca="false">IFERROR(K464/J464,0)</f>
        <v>0.0434782608695652</v>
      </c>
      <c r="R464" s="11" t="str">
        <f aca="false">IF(COUNTIF($A$2:A464,A464)&gt;1,"Duplicate - Remove","Unique")</f>
        <v>Unique</v>
      </c>
      <c r="S464" s="11" t="str">
        <f aca="false">TRIM(IF(Raw_Data!G464="","Region missing; ","")&amp;IF(Raw_Data!H464="","Spend imputed; ","")&amp;IF(Raw_Data!L464="","Revenue imputed; ","")&amp;IF(Raw_Data!J464&lt;0,"Clicks corrected; ",""))</f>
        <v/>
      </c>
    </row>
    <row r="465" customFormat="false" ht="15" hidden="false" customHeight="true" outlineLevel="0" collapsed="false">
      <c r="A465" s="11" t="n">
        <f aca="false">Raw_Data!A465</f>
        <v>1491</v>
      </c>
      <c r="B465" s="11" t="str">
        <f aca="false">PROPER(TRIM(Raw_Data!B465))</f>
        <v>New Year Wellness</v>
      </c>
      <c r="C465" s="11" t="str">
        <f aca="false">IFERROR(INDEX(Lookup_Tables!$B$2:$B$26,MATCH(UPPER(TRIM(Raw_Data!C465)),Lookup_Tables!$C$2:$C$26,0)),"Unknown")</f>
        <v>Facebook</v>
      </c>
      <c r="D465" s="12" t="n">
        <f aca="false">IFERROR(IF(ISNUMBER(SEARCH("/",Raw_Data!D465)),DATE(VALUE(RIGHT(Raw_Data!D465,4)),VALUE(MID(Raw_Data!D465,FIND("/",Raw_Data!D465)+1,FIND("/",Raw_Data!D465,FIND("/",Raw_Data!D465)+1)-FIND("/",Raw_Data!D465)-1)),VALUE(LEFT(Raw_Data!D465,FIND("/",Raw_Data!D465)-1))),IF(ISNUMBER(VALUE(LEFT(Raw_Data!D465,4))),DATE(VALUE(LEFT(Raw_Data!D465,4)),VALUE(MID(Raw_Data!D465,6,2)),VALUE(MID(Raw_Data!D465,9,2))),DATEVALUE(Raw_Data!D465))),"")</f>
        <v>45527</v>
      </c>
      <c r="E465" s="12" t="n">
        <f aca="false">IFERROR(IF(ISNUMBER(SEARCH("/",Raw_Data!E465)),DATE(VALUE(RIGHT(Raw_Data!E465,4)),VALUE(MID(Raw_Data!E465,FIND("/",Raw_Data!E465)+1,FIND("/",Raw_Data!E465,FIND("/",Raw_Data!E465)+1)-FIND("/",Raw_Data!E465)-1)),VALUE(LEFT(Raw_Data!E465,FIND("/",Raw_Data!E465)-1))),IF(ISNUMBER(VALUE(LEFT(Raw_Data!E465,4))),DATE(VALUE(LEFT(Raw_Data!E465,4)),VALUE(MID(Raw_Data!E465,6,2)),VALUE(MID(Raw_Data!E465,9,2))),DATEVALUE(Raw_Data!E465))),"")</f>
        <v>45537</v>
      </c>
      <c r="F465" s="11" t="str">
        <f aca="false">Raw_Data!F465</f>
        <v>Female 35-44</v>
      </c>
      <c r="G465" s="11" t="str">
        <f aca="false">IF(TRIM(Raw_Data!G465)="","Unspecified",IFERROR(INDEX(Lookup_Tables!$F$2:$F$24,MATCH(UPPER(TRIM(Raw_Data!G465)),Lookup_Tables!$G$2:$G$24,0)),"Unknown"))</f>
        <v>South</v>
      </c>
      <c r="H465" s="11" t="n">
        <f aca="false">IF(Raw_Data!H465="",ROUND(AVERAGEIFS(Raw_Data!$H$2:$H$839,Raw_Data!$C$2:$C$839,Raw_Data!C465),2),Raw_Data!H465)</f>
        <v>14309.84</v>
      </c>
      <c r="I465" s="11" t="n">
        <f aca="false">Raw_Data!I465</f>
        <v>390128</v>
      </c>
      <c r="J465" s="11" t="n">
        <f aca="false">IF(Raw_Data!J465&lt;0,ABS(Raw_Data!J465),Raw_Data!J465)</f>
        <v>10488</v>
      </c>
      <c r="K465" s="11" t="n">
        <f aca="false">Raw_Data!K465</f>
        <v>580</v>
      </c>
      <c r="L465" s="11" t="n">
        <f aca="false">IF(Raw_Data!L465="",ROUND(AVERAGEIFS(Raw_Data!$L$2:$L$839,Raw_Data!$C$2:$C$839,Raw_Data!C465),2),Raw_Data!L465)</f>
        <v>220700.78</v>
      </c>
      <c r="M465" s="13" t="n">
        <f aca="false">IFERROR(J465/I465,0)</f>
        <v>0.0268834843948653</v>
      </c>
      <c r="N465" s="14" t="n">
        <f aca="false">IFERROR(H465/J465,0)</f>
        <v>1.36440122044241</v>
      </c>
      <c r="O465" s="14" t="n">
        <f aca="false">IFERROR(H465/K465,0)</f>
        <v>24.6721379310345</v>
      </c>
      <c r="P465" s="15" t="n">
        <f aca="false">IFERROR(L465/H465,0)</f>
        <v>15.4230082237118</v>
      </c>
      <c r="Q465" s="13" t="n">
        <f aca="false">IFERROR(K465/J465,0)</f>
        <v>0.055301296720061</v>
      </c>
      <c r="R465" s="11" t="str">
        <f aca="false">IF(COUNTIF($A$2:A465,A465)&gt;1,"Duplicate - Remove","Unique")</f>
        <v>Unique</v>
      </c>
      <c r="S465" s="11" t="str">
        <f aca="false">TRIM(IF(Raw_Data!G465="","Region missing; ","")&amp;IF(Raw_Data!H465="","Spend imputed; ","")&amp;IF(Raw_Data!L465="","Revenue imputed; ","")&amp;IF(Raw_Data!J465&lt;0,"Clicks corrected; ",""))</f>
        <v/>
      </c>
    </row>
    <row r="466" customFormat="false" ht="15" hidden="false" customHeight="true" outlineLevel="0" collapsed="false">
      <c r="A466" s="11" t="n">
        <f aca="false">Raw_Data!A466</f>
        <v>1010</v>
      </c>
      <c r="B466" s="11" t="str">
        <f aca="false">PROPER(TRIM(Raw_Data!B466))</f>
        <v>Hair Care Revamp</v>
      </c>
      <c r="C466" s="11" t="str">
        <f aca="false">IFERROR(INDEX(Lookup_Tables!$B$2:$B$26,MATCH(UPPER(TRIM(Raw_Data!C466)),Lookup_Tables!$C$2:$C$26,0)),"Unknown")</f>
        <v>Google Ads</v>
      </c>
      <c r="D466" s="12" t="n">
        <f aca="false">IFERROR(IF(ISNUMBER(SEARCH("/",Raw_Data!D466)),DATE(VALUE(RIGHT(Raw_Data!D466,4)),VALUE(MID(Raw_Data!D466,FIND("/",Raw_Data!D466)+1,FIND("/",Raw_Data!D466,FIND("/",Raw_Data!D466)+1)-FIND("/",Raw_Data!D466)-1)),VALUE(LEFT(Raw_Data!D466,FIND("/",Raw_Data!D466)-1))),IF(ISNUMBER(VALUE(LEFT(Raw_Data!D466,4))),DATE(VALUE(LEFT(Raw_Data!D466,4)),VALUE(MID(Raw_Data!D466,6,2)),VALUE(MID(Raw_Data!D466,9,2))),DATEVALUE(Raw_Data!D466))),"")</f>
        <v>45416</v>
      </c>
      <c r="E466" s="12" t="n">
        <f aca="false">IFERROR(IF(ISNUMBER(SEARCH("/",Raw_Data!E466)),DATE(VALUE(RIGHT(Raw_Data!E466,4)),VALUE(MID(Raw_Data!E466,FIND("/",Raw_Data!E466)+1,FIND("/",Raw_Data!E466,FIND("/",Raw_Data!E466)+1)-FIND("/",Raw_Data!E466)-1)),VALUE(LEFT(Raw_Data!E466,FIND("/",Raw_Data!E466)-1))),IF(ISNUMBER(VALUE(LEFT(Raw_Data!E466,4))),DATE(VALUE(LEFT(Raw_Data!E466,4)),VALUE(MID(Raw_Data!E466,6,2)),VALUE(MID(Raw_Data!E466,9,2))),DATEVALUE(Raw_Data!E466))),"")</f>
        <v>45446</v>
      </c>
      <c r="F466" s="11" t="str">
        <f aca="false">Raw_Data!F466</f>
        <v>Male 45+</v>
      </c>
      <c r="G466" s="11" t="str">
        <f aca="false">IF(TRIM(Raw_Data!G466)="","Unspecified",IFERROR(INDEX(Lookup_Tables!$F$2:$F$24,MATCH(UPPER(TRIM(Raw_Data!G466)),Lookup_Tables!$G$2:$G$24,0)),"Unknown"))</f>
        <v>South</v>
      </c>
      <c r="H466" s="11" t="n">
        <f aca="false">IF(Raw_Data!H466="",ROUND(AVERAGEIFS(Raw_Data!$H$2:$H$839,Raw_Data!$C$2:$C$839,Raw_Data!C466),2),Raw_Data!H466)</f>
        <v>66524.79</v>
      </c>
      <c r="I466" s="11" t="n">
        <f aca="false">Raw_Data!I466</f>
        <v>1314546</v>
      </c>
      <c r="J466" s="11" t="n">
        <f aca="false">IF(Raw_Data!J466&lt;0,ABS(Raw_Data!J466),Raw_Data!J466)</f>
        <v>10395</v>
      </c>
      <c r="K466" s="11" t="n">
        <f aca="false">Raw_Data!K466</f>
        <v>417</v>
      </c>
      <c r="L466" s="11" t="n">
        <f aca="false">IF(Raw_Data!L466="",ROUND(AVERAGEIFS(Raw_Data!$L$2:$L$839,Raw_Data!$C$2:$C$839,Raw_Data!C466),2),Raw_Data!L466)</f>
        <v>402066.81</v>
      </c>
      <c r="M466" s="13" t="n">
        <f aca="false">IFERROR(J466/I466,0)</f>
        <v>0.00790767306735557</v>
      </c>
      <c r="N466" s="14" t="n">
        <f aca="false">IFERROR(H466/J466,0)</f>
        <v>6.3996911976912</v>
      </c>
      <c r="O466" s="14" t="n">
        <f aca="false">IFERROR(H466/K466,0)</f>
        <v>159.531870503597</v>
      </c>
      <c r="P466" s="15" t="n">
        <f aca="false">IFERROR(L466/H466,0)</f>
        <v>6.04386440002291</v>
      </c>
      <c r="Q466" s="13" t="n">
        <f aca="false">IFERROR(K466/J466,0)</f>
        <v>0.0401154401154401</v>
      </c>
      <c r="R466" s="11" t="str">
        <f aca="false">IF(COUNTIF($A$2:A466,A466)&gt;1,"Duplicate - Remove","Unique")</f>
        <v>Unique</v>
      </c>
      <c r="S466" s="11" t="str">
        <f aca="false">TRIM(IF(Raw_Data!G466="","Region missing; ","")&amp;IF(Raw_Data!H466="","Spend imputed; ","")&amp;IF(Raw_Data!L466="","Revenue imputed; ","")&amp;IF(Raw_Data!J466&lt;0,"Clicks corrected; ",""))</f>
        <v/>
      </c>
    </row>
    <row r="467" customFormat="false" ht="15" hidden="false" customHeight="true" outlineLevel="0" collapsed="false">
      <c r="A467" s="11" t="n">
        <f aca="false">Raw_Data!A467</f>
        <v>1434</v>
      </c>
      <c r="B467" s="11" t="str">
        <f aca="false">PROPER(TRIM(Raw_Data!B467))</f>
        <v>Anti-Ageing Serum Push</v>
      </c>
      <c r="C467" s="11" t="str">
        <f aca="false">IFERROR(INDEX(Lookup_Tables!$B$2:$B$26,MATCH(UPPER(TRIM(Raw_Data!C467)),Lookup_Tables!$C$2:$C$26,0)),"Unknown")</f>
        <v>Facebook</v>
      </c>
      <c r="D467" s="12" t="n">
        <f aca="false">IFERROR(IF(ISNUMBER(SEARCH("/",Raw_Data!D467)),DATE(VALUE(RIGHT(Raw_Data!D467,4)),VALUE(MID(Raw_Data!D467,FIND("/",Raw_Data!D467)+1,FIND("/",Raw_Data!D467,FIND("/",Raw_Data!D467)+1)-FIND("/",Raw_Data!D467)-1)),VALUE(LEFT(Raw_Data!D467,FIND("/",Raw_Data!D467)-1))),IF(ISNUMBER(VALUE(LEFT(Raw_Data!D467,4))),DATE(VALUE(LEFT(Raw_Data!D467,4)),VALUE(MID(Raw_Data!D467,6,2)),VALUE(MID(Raw_Data!D467,9,2))),DATEVALUE(Raw_Data!D467))),"")</f>
        <v>45501</v>
      </c>
      <c r="E467" s="12" t="n">
        <f aca="false">IFERROR(IF(ISNUMBER(SEARCH("/",Raw_Data!E467)),DATE(VALUE(RIGHT(Raw_Data!E467,4)),VALUE(MID(Raw_Data!E467,FIND("/",Raw_Data!E467)+1,FIND("/",Raw_Data!E467,FIND("/",Raw_Data!E467)+1)-FIND("/",Raw_Data!E467)-1)),VALUE(LEFT(Raw_Data!E467,FIND("/",Raw_Data!E467)-1))),IF(ISNUMBER(VALUE(LEFT(Raw_Data!E467,4))),DATE(VALUE(LEFT(Raw_Data!E467,4)),VALUE(MID(Raw_Data!E467,6,2)),VALUE(MID(Raw_Data!E467,9,2))),DATEVALUE(Raw_Data!E467))),"")</f>
        <v>45520</v>
      </c>
      <c r="F467" s="11" t="str">
        <f aca="false">Raw_Data!F467</f>
        <v>Male 35-44</v>
      </c>
      <c r="G467" s="11" t="str">
        <f aca="false">IF(TRIM(Raw_Data!G467)="","Unspecified",IFERROR(INDEX(Lookup_Tables!$F$2:$F$24,MATCH(UPPER(TRIM(Raw_Data!G467)),Lookup_Tables!$G$2:$G$24,0)),"Unknown"))</f>
        <v>East</v>
      </c>
      <c r="H467" s="11" t="n">
        <f aca="false">IF(Raw_Data!H467="",ROUND(AVERAGEIFS(Raw_Data!$H$2:$H$839,Raw_Data!$C$2:$C$839,Raw_Data!C467),2),Raw_Data!H467)</f>
        <v>17121.73</v>
      </c>
      <c r="I467" s="11" t="n">
        <f aca="false">Raw_Data!I467</f>
        <v>473443</v>
      </c>
      <c r="J467" s="11" t="n">
        <f aca="false">IF(Raw_Data!J467&lt;0,ABS(Raw_Data!J467),Raw_Data!J467)</f>
        <v>8931</v>
      </c>
      <c r="K467" s="11" t="n">
        <f aca="false">Raw_Data!K467</f>
        <v>135</v>
      </c>
      <c r="L467" s="11" t="n">
        <f aca="false">IF(Raw_Data!L467="",ROUND(AVERAGEIFS(Raw_Data!$L$2:$L$839,Raw_Data!$C$2:$C$839,Raw_Data!C467),2),Raw_Data!L467)</f>
        <v>183195.58</v>
      </c>
      <c r="M467" s="13" t="n">
        <f aca="false">IFERROR(J467/I467,0)</f>
        <v>0.0188639392704085</v>
      </c>
      <c r="N467" s="14" t="n">
        <f aca="false">IFERROR(H467/J467,0)</f>
        <v>1.91711230545292</v>
      </c>
      <c r="O467" s="14" t="n">
        <f aca="false">IFERROR(H467/K467,0)</f>
        <v>126.82762962963</v>
      </c>
      <c r="P467" s="15" t="n">
        <f aca="false">IFERROR(L467/H467,0)</f>
        <v>10.6995951927755</v>
      </c>
      <c r="Q467" s="13" t="n">
        <f aca="false">IFERROR(K467/J467,0)</f>
        <v>0.0151158884783339</v>
      </c>
      <c r="R467" s="11" t="str">
        <f aca="false">IF(COUNTIF($A$2:A467,A467)&gt;1,"Duplicate - Remove","Unique")</f>
        <v>Unique</v>
      </c>
      <c r="S467" s="11" t="str">
        <f aca="false">TRIM(IF(Raw_Data!G467="","Region missing; ","")&amp;IF(Raw_Data!H467="","Spend imputed; ","")&amp;IF(Raw_Data!L467="","Revenue imputed; ","")&amp;IF(Raw_Data!J467&lt;0,"Clicks corrected; ",""))</f>
        <v/>
      </c>
    </row>
    <row r="468" customFormat="false" ht="15" hidden="false" customHeight="true" outlineLevel="0" collapsed="false">
      <c r="A468" s="11" t="n">
        <f aca="false">Raw_Data!A468</f>
        <v>1656</v>
      </c>
      <c r="B468" s="11" t="str">
        <f aca="false">PROPER(TRIM(Raw_Data!B468))</f>
        <v>Wedding Season Special</v>
      </c>
      <c r="C468" s="11" t="str">
        <f aca="false">IFERROR(INDEX(Lookup_Tables!$B$2:$B$26,MATCH(UPPER(TRIM(Raw_Data!C468)),Lookup_Tables!$C$2:$C$26,0)),"Unknown")</f>
        <v>Google Ads</v>
      </c>
      <c r="D468" s="12" t="n">
        <f aca="false">IFERROR(IF(ISNUMBER(SEARCH("/",Raw_Data!D468)),DATE(VALUE(RIGHT(Raw_Data!D468,4)),VALUE(MID(Raw_Data!D468,FIND("/",Raw_Data!D468)+1,FIND("/",Raw_Data!D468,FIND("/",Raw_Data!D468)+1)-FIND("/",Raw_Data!D468)-1)),VALUE(LEFT(Raw_Data!D468,FIND("/",Raw_Data!D468)-1))),IF(ISNUMBER(VALUE(LEFT(Raw_Data!D468,4))),DATE(VALUE(LEFT(Raw_Data!D468,4)),VALUE(MID(Raw_Data!D468,6,2)),VALUE(MID(Raw_Data!D468,9,2))),DATEVALUE(Raw_Data!D468))),"")</f>
        <v>45411</v>
      </c>
      <c r="E468" s="12" t="n">
        <f aca="false">IFERROR(IF(ISNUMBER(SEARCH("/",Raw_Data!E468)),DATE(VALUE(RIGHT(Raw_Data!E468,4)),VALUE(MID(Raw_Data!E468,FIND("/",Raw_Data!E468)+1,FIND("/",Raw_Data!E468,FIND("/",Raw_Data!E468)+1)-FIND("/",Raw_Data!E468)-1)),VALUE(LEFT(Raw_Data!E468,FIND("/",Raw_Data!E468)-1))),IF(ISNUMBER(VALUE(LEFT(Raw_Data!E468,4))),DATE(VALUE(LEFT(Raw_Data!E468,4)),VALUE(MID(Raw_Data!E468,6,2)),VALUE(MID(Raw_Data!E468,9,2))),DATEVALUE(Raw_Data!E468))),"")</f>
        <v>45422</v>
      </c>
      <c r="F468" s="11" t="str">
        <f aca="false">Raw_Data!F468</f>
        <v>Male 25-34</v>
      </c>
      <c r="G468" s="11" t="str">
        <f aca="false">IF(TRIM(Raw_Data!G468)="","Unspecified",IFERROR(INDEX(Lookup_Tables!$F$2:$F$24,MATCH(UPPER(TRIM(Raw_Data!G468)),Lookup_Tables!$G$2:$G$24,0)),"Unknown"))</f>
        <v>East</v>
      </c>
      <c r="H468" s="11" t="n">
        <f aca="false">IF(Raw_Data!H468="",ROUND(AVERAGEIFS(Raw_Data!$H$2:$H$839,Raw_Data!$C$2:$C$839,Raw_Data!C468),2),Raw_Data!H468)</f>
        <v>11910.75</v>
      </c>
      <c r="I468" s="11" t="n">
        <f aca="false">Raw_Data!I468</f>
        <v>439994</v>
      </c>
      <c r="J468" s="11" t="n">
        <f aca="false">IF(Raw_Data!J468&lt;0,ABS(Raw_Data!J468),Raw_Data!J468)</f>
        <v>14665</v>
      </c>
      <c r="K468" s="11" t="n">
        <f aca="false">Raw_Data!K468</f>
        <v>273</v>
      </c>
      <c r="L468" s="11" t="n">
        <f aca="false">IF(Raw_Data!L468="",ROUND(AVERAGEIFS(Raw_Data!$L$2:$L$839,Raw_Data!$C$2:$C$839,Raw_Data!C468),2),Raw_Data!L468)</f>
        <v>1193969.55</v>
      </c>
      <c r="M468" s="13" t="n">
        <f aca="false">IFERROR(J468/I468,0)</f>
        <v>0.0333299999545448</v>
      </c>
      <c r="N468" s="14" t="n">
        <f aca="false">IFERROR(H468/J468,0)</f>
        <v>0.81218888510058</v>
      </c>
      <c r="O468" s="14" t="n">
        <f aca="false">IFERROR(H468/K468,0)</f>
        <v>43.6291208791209</v>
      </c>
      <c r="P468" s="15" t="n">
        <f aca="false">IFERROR(L468/H468,0)</f>
        <v>100.24301996096</v>
      </c>
      <c r="Q468" s="13" t="n">
        <f aca="false">IFERROR(K468/J468,0)</f>
        <v>0.0186157517899761</v>
      </c>
      <c r="R468" s="11" t="str">
        <f aca="false">IF(COUNTIF($A$2:A468,A468)&gt;1,"Duplicate - Remove","Unique")</f>
        <v>Unique</v>
      </c>
      <c r="S468" s="11" t="str">
        <f aca="false">TRIM(IF(Raw_Data!G468="","Region missing; ","")&amp;IF(Raw_Data!H468="","Spend imputed; ","")&amp;IF(Raw_Data!L468="","Revenue imputed; ","")&amp;IF(Raw_Data!J468&lt;0,"Clicks corrected; ",""))</f>
        <v>Revenue imputed;</v>
      </c>
    </row>
    <row r="469" customFormat="false" ht="15" hidden="false" customHeight="true" outlineLevel="0" collapsed="false">
      <c r="A469" s="11" t="n">
        <f aca="false">Raw_Data!A469</f>
        <v>1540</v>
      </c>
      <c r="B469" s="11" t="str">
        <f aca="false">PROPER(TRIM(Raw_Data!B469))</f>
        <v>Ayurvedic Range Launch</v>
      </c>
      <c r="C469" s="11" t="str">
        <f aca="false">IFERROR(INDEX(Lookup_Tables!$B$2:$B$26,MATCH(UPPER(TRIM(Raw_Data!C469)),Lookup_Tables!$C$2:$C$26,0)),"Unknown")</f>
        <v>Facebook</v>
      </c>
      <c r="D469" s="12" t="n">
        <f aca="false">IFERROR(IF(ISNUMBER(SEARCH("/",Raw_Data!D469)),DATE(VALUE(RIGHT(Raw_Data!D469,4)),VALUE(MID(Raw_Data!D469,FIND("/",Raw_Data!D469)+1,FIND("/",Raw_Data!D469,FIND("/",Raw_Data!D469)+1)-FIND("/",Raw_Data!D469)-1)),VALUE(LEFT(Raw_Data!D469,FIND("/",Raw_Data!D469)-1))),IF(ISNUMBER(VALUE(LEFT(Raw_Data!D469,4))),DATE(VALUE(LEFT(Raw_Data!D469,4)),VALUE(MID(Raw_Data!D469,6,2)),VALUE(MID(Raw_Data!D469,9,2))),DATEVALUE(Raw_Data!D469))),"")</f>
        <v>45448</v>
      </c>
      <c r="E469" s="12" t="n">
        <f aca="false">IFERROR(IF(ISNUMBER(SEARCH("/",Raw_Data!E469)),DATE(VALUE(RIGHT(Raw_Data!E469,4)),VALUE(MID(Raw_Data!E469,FIND("/",Raw_Data!E469)+1,FIND("/",Raw_Data!E469,FIND("/",Raw_Data!E469)+1)-FIND("/",Raw_Data!E469)-1)),VALUE(LEFT(Raw_Data!E469,FIND("/",Raw_Data!E469)-1))),IF(ISNUMBER(VALUE(LEFT(Raw_Data!E469,4))),DATE(VALUE(LEFT(Raw_Data!E469,4)),VALUE(MID(Raw_Data!E469,6,2)),VALUE(MID(Raw_Data!E469,9,2))),DATEVALUE(Raw_Data!E469))),"")</f>
        <v>45475</v>
      </c>
      <c r="F469" s="11" t="str">
        <f aca="false">Raw_Data!F469</f>
        <v>Male 45+</v>
      </c>
      <c r="G469" s="11" t="str">
        <f aca="false">IF(TRIM(Raw_Data!G469)="","Unspecified",IFERROR(INDEX(Lookup_Tables!$F$2:$F$24,MATCH(UPPER(TRIM(Raw_Data!G469)),Lookup_Tables!$G$2:$G$24,0)),"Unknown"))</f>
        <v>North</v>
      </c>
      <c r="H469" s="11" t="n">
        <f aca="false">IF(Raw_Data!H469="",ROUND(AVERAGEIFS(Raw_Data!$H$2:$H$839,Raw_Data!$C$2:$C$839,Raw_Data!C469),2),Raw_Data!H469)</f>
        <v>13490.23</v>
      </c>
      <c r="I469" s="11" t="n">
        <f aca="false">Raw_Data!I469</f>
        <v>432173</v>
      </c>
      <c r="J469" s="11" t="n">
        <f aca="false">IF(Raw_Data!J469&lt;0,ABS(Raw_Data!J469),Raw_Data!J469)</f>
        <v>4321</v>
      </c>
      <c r="K469" s="11" t="n">
        <f aca="false">Raw_Data!K469</f>
        <v>143</v>
      </c>
      <c r="L469" s="11" t="n">
        <f aca="false">IF(Raw_Data!L469="",ROUND(AVERAGEIFS(Raw_Data!$L$2:$L$839,Raw_Data!$C$2:$C$839,Raw_Data!C469),2),Raw_Data!L469)</f>
        <v>144439.1</v>
      </c>
      <c r="M469" s="13" t="n">
        <f aca="false">IFERROR(J469/I469,0)</f>
        <v>0.00999831086162254</v>
      </c>
      <c r="N469" s="14" t="n">
        <f aca="false">IFERROR(H469/J469,0)</f>
        <v>3.12201573709789</v>
      </c>
      <c r="O469" s="14" t="n">
        <f aca="false">IFERROR(H469/K469,0)</f>
        <v>94.3372727272727</v>
      </c>
      <c r="P469" s="15" t="n">
        <f aca="false">IFERROR(L469/H469,0)</f>
        <v>10.7069412456274</v>
      </c>
      <c r="Q469" s="13" t="n">
        <f aca="false">IFERROR(K469/J469,0)</f>
        <v>0.0330941911594538</v>
      </c>
      <c r="R469" s="11" t="str">
        <f aca="false">IF(COUNTIF($A$2:A469,A469)&gt;1,"Duplicate - Remove","Unique")</f>
        <v>Unique</v>
      </c>
      <c r="S469" s="11" t="str">
        <f aca="false">TRIM(IF(Raw_Data!G469="","Region missing; ","")&amp;IF(Raw_Data!H469="","Spend imputed; ","")&amp;IF(Raw_Data!L469="","Revenue imputed; ","")&amp;IF(Raw_Data!J469&lt;0,"Clicks corrected; ",""))</f>
        <v/>
      </c>
    </row>
    <row r="470" customFormat="false" ht="15" hidden="false" customHeight="true" outlineLevel="0" collapsed="false">
      <c r="A470" s="11" t="n">
        <f aca="false">Raw_Data!A470</f>
        <v>1691</v>
      </c>
      <c r="B470" s="11" t="str">
        <f aca="false">PROPER(TRIM(Raw_Data!B470))</f>
        <v>Back To College Offer</v>
      </c>
      <c r="C470" s="11" t="str">
        <f aca="false">IFERROR(INDEX(Lookup_Tables!$B$2:$B$26,MATCH(UPPER(TRIM(Raw_Data!C470)),Lookup_Tables!$C$2:$C$26,0)),"Unknown")</f>
        <v>YouTube</v>
      </c>
      <c r="D470" s="12" t="n">
        <f aca="false">IFERROR(IF(ISNUMBER(SEARCH("/",Raw_Data!D470)),DATE(VALUE(RIGHT(Raw_Data!D470,4)),VALUE(MID(Raw_Data!D470,FIND("/",Raw_Data!D470)+1,FIND("/",Raw_Data!D470,FIND("/",Raw_Data!D470)+1)-FIND("/",Raw_Data!D470)-1)),VALUE(LEFT(Raw_Data!D470,FIND("/",Raw_Data!D470)-1))),IF(ISNUMBER(VALUE(LEFT(Raw_Data!D470,4))),DATE(VALUE(LEFT(Raw_Data!D470,4)),VALUE(MID(Raw_Data!D470,6,2)),VALUE(MID(Raw_Data!D470,9,2))),DATEVALUE(Raw_Data!D470))),"")</f>
        <v>45571</v>
      </c>
      <c r="E470" s="12" t="n">
        <f aca="false">IFERROR(IF(ISNUMBER(SEARCH("/",Raw_Data!E470)),DATE(VALUE(RIGHT(Raw_Data!E470,4)),VALUE(MID(Raw_Data!E470,FIND("/",Raw_Data!E470)+1,FIND("/",Raw_Data!E470,FIND("/",Raw_Data!E470)+1)-FIND("/",Raw_Data!E470)-1)),VALUE(LEFT(Raw_Data!E470,FIND("/",Raw_Data!E470)-1))),IF(ISNUMBER(VALUE(LEFT(Raw_Data!E470,4))),DATE(VALUE(LEFT(Raw_Data!E470,4)),VALUE(MID(Raw_Data!E470,6,2)),VALUE(MID(Raw_Data!E470,9,2))),DATEVALUE(Raw_Data!E470))),"")</f>
        <v>45596</v>
      </c>
      <c r="F470" s="11" t="str">
        <f aca="false">Raw_Data!F470</f>
        <v>Female 45+</v>
      </c>
      <c r="G470" s="11" t="str">
        <f aca="false">IF(TRIM(Raw_Data!G470)="","Unspecified",IFERROR(INDEX(Lookup_Tables!$F$2:$F$24,MATCH(UPPER(TRIM(Raw_Data!G470)),Lookup_Tables!$G$2:$G$24,0)),"Unknown"))</f>
        <v>East</v>
      </c>
      <c r="H470" s="11" t="n">
        <f aca="false">IF(Raw_Data!H470="",ROUND(AVERAGEIFS(Raw_Data!$H$2:$H$839,Raw_Data!$C$2:$C$839,Raw_Data!C470),2),Raw_Data!H470)</f>
        <v>36192.12</v>
      </c>
      <c r="I470" s="11" t="n">
        <f aca="false">Raw_Data!I470</f>
        <v>665460</v>
      </c>
      <c r="J470" s="11" t="n">
        <f aca="false">IF(Raw_Data!J470&lt;0,ABS(Raw_Data!J470),Raw_Data!J470)</f>
        <v>18570</v>
      </c>
      <c r="K470" s="11" t="n">
        <f aca="false">Raw_Data!K470</f>
        <v>566</v>
      </c>
      <c r="L470" s="11" t="n">
        <f aca="false">IF(Raw_Data!L470="",ROUND(AVERAGEIFS(Raw_Data!$L$2:$L$839,Raw_Data!$C$2:$C$839,Raw_Data!C470),2),Raw_Data!L470)</f>
        <v>712136.64</v>
      </c>
      <c r="M470" s="13" t="n">
        <f aca="false">IFERROR(J470/I470,0)</f>
        <v>0.0279055089712379</v>
      </c>
      <c r="N470" s="14" t="n">
        <f aca="false">IFERROR(H470/J470,0)</f>
        <v>1.9489563812601</v>
      </c>
      <c r="O470" s="14" t="n">
        <f aca="false">IFERROR(H470/K470,0)</f>
        <v>63.9436749116608</v>
      </c>
      <c r="P470" s="15" t="n">
        <f aca="false">IFERROR(L470/H470,0)</f>
        <v>19.6765660591311</v>
      </c>
      <c r="Q470" s="13" t="n">
        <f aca="false">IFERROR(K470/J470,0)</f>
        <v>0.030479267635972</v>
      </c>
      <c r="R470" s="11" t="str">
        <f aca="false">IF(COUNTIF($A$2:A470,A470)&gt;1,"Duplicate - Remove","Unique")</f>
        <v>Unique</v>
      </c>
      <c r="S470" s="11" t="str">
        <f aca="false">TRIM(IF(Raw_Data!G470="","Region missing; ","")&amp;IF(Raw_Data!H470="","Spend imputed; ","")&amp;IF(Raw_Data!L470="","Revenue imputed; ","")&amp;IF(Raw_Data!J470&lt;0,"Clicks corrected; ",""))</f>
        <v/>
      </c>
    </row>
    <row r="471" customFormat="false" ht="15" hidden="false" customHeight="true" outlineLevel="0" collapsed="false">
      <c r="A471" s="11" t="n">
        <f aca="false">Raw_Data!A471</f>
        <v>1492</v>
      </c>
      <c r="B471" s="11" t="str">
        <f aca="false">PROPER(TRIM(Raw_Data!B471))</f>
        <v>Monsoon Skincare Push</v>
      </c>
      <c r="C471" s="11" t="str">
        <f aca="false">IFERROR(INDEX(Lookup_Tables!$B$2:$B$26,MATCH(UPPER(TRIM(Raw_Data!C471)),Lookup_Tables!$C$2:$C$26,0)),"Unknown")</f>
        <v>YouTube</v>
      </c>
      <c r="D471" s="12" t="n">
        <f aca="false">IFERROR(IF(ISNUMBER(SEARCH("/",Raw_Data!D471)),DATE(VALUE(RIGHT(Raw_Data!D471,4)),VALUE(MID(Raw_Data!D471,FIND("/",Raw_Data!D471)+1,FIND("/",Raw_Data!D471,FIND("/",Raw_Data!D471)+1)-FIND("/",Raw_Data!D471)-1)),VALUE(LEFT(Raw_Data!D471,FIND("/",Raw_Data!D471)-1))),IF(ISNUMBER(VALUE(LEFT(Raw_Data!D471,4))),DATE(VALUE(LEFT(Raw_Data!D471,4)),VALUE(MID(Raw_Data!D471,6,2)),VALUE(MID(Raw_Data!D471,9,2))),DATEVALUE(Raw_Data!D471))),"")</f>
        <v>45298</v>
      </c>
      <c r="E471" s="12" t="n">
        <f aca="false">IFERROR(IF(ISNUMBER(SEARCH("/",Raw_Data!E471)),DATE(VALUE(RIGHT(Raw_Data!E471,4)),VALUE(MID(Raw_Data!E471,FIND("/",Raw_Data!E471)+1,FIND("/",Raw_Data!E471,FIND("/",Raw_Data!E471)+1)-FIND("/",Raw_Data!E471)-1)),VALUE(LEFT(Raw_Data!E471,FIND("/",Raw_Data!E471)-1))),IF(ISNUMBER(VALUE(LEFT(Raw_Data!E471,4))),DATE(VALUE(LEFT(Raw_Data!E471,4)),VALUE(MID(Raw_Data!E471,6,2)),VALUE(MID(Raw_Data!E471,9,2))),DATEVALUE(Raw_Data!E471))),"")</f>
        <v>45322</v>
      </c>
      <c r="F471" s="11" t="str">
        <f aca="false">Raw_Data!F471</f>
        <v>Female 35-44</v>
      </c>
      <c r="G471" s="11" t="str">
        <f aca="false">IF(TRIM(Raw_Data!G471)="","Unspecified",IFERROR(INDEX(Lookup_Tables!$F$2:$F$24,MATCH(UPPER(TRIM(Raw_Data!G471)),Lookup_Tables!$G$2:$G$24,0)),"Unknown"))</f>
        <v>West</v>
      </c>
      <c r="H471" s="11" t="n">
        <f aca="false">IF(Raw_Data!H471="",ROUND(AVERAGEIFS(Raw_Data!$H$2:$H$839,Raw_Data!$C$2:$C$839,Raw_Data!C471),2),Raw_Data!H471)</f>
        <v>43340.63</v>
      </c>
      <c r="I471" s="11" t="n">
        <f aca="false">Raw_Data!I471</f>
        <v>672555</v>
      </c>
      <c r="J471" s="11" t="n">
        <f aca="false">IF(Raw_Data!J471&lt;0,ABS(Raw_Data!J471),Raw_Data!J471)</f>
        <v>20040</v>
      </c>
      <c r="K471" s="11" t="n">
        <f aca="false">Raw_Data!K471</f>
        <v>1271</v>
      </c>
      <c r="L471" s="11" t="n">
        <f aca="false">IF(Raw_Data!L471="",ROUND(AVERAGEIFS(Raw_Data!$L$2:$L$839,Raw_Data!$C$2:$C$839,Raw_Data!C471),2),Raw_Data!L471)</f>
        <v>1632598.31</v>
      </c>
      <c r="M471" s="13" t="n">
        <f aca="false">IFERROR(J471/I471,0)</f>
        <v>0.0297968195909628</v>
      </c>
      <c r="N471" s="14" t="n">
        <f aca="false">IFERROR(H471/J471,0)</f>
        <v>2.16270608782435</v>
      </c>
      <c r="O471" s="14" t="n">
        <f aca="false">IFERROR(H471/K471,0)</f>
        <v>34.0996302124312</v>
      </c>
      <c r="P471" s="15" t="n">
        <f aca="false">IFERROR(L471/H471,0)</f>
        <v>37.6690027348472</v>
      </c>
      <c r="Q471" s="13" t="n">
        <f aca="false">IFERROR(K471/J471,0)</f>
        <v>0.0634231536926148</v>
      </c>
      <c r="R471" s="11" t="str">
        <f aca="false">IF(COUNTIF($A$2:A471,A471)&gt;1,"Duplicate - Remove","Unique")</f>
        <v>Unique</v>
      </c>
      <c r="S471" s="11" t="str">
        <f aca="false">TRIM(IF(Raw_Data!G471="","Region missing; ","")&amp;IF(Raw_Data!H471="","Spend imputed; ","")&amp;IF(Raw_Data!L471="","Revenue imputed; ","")&amp;IF(Raw_Data!J471&lt;0,"Clicks corrected; ",""))</f>
        <v/>
      </c>
    </row>
    <row r="472" customFormat="false" ht="15" hidden="false" customHeight="true" outlineLevel="0" collapsed="false">
      <c r="A472" s="11" t="n">
        <f aca="false">Raw_Data!A472</f>
        <v>1680</v>
      </c>
      <c r="B472" s="11" t="str">
        <f aca="false">PROPER(TRIM(Raw_Data!B472))</f>
        <v>New Year Wellness</v>
      </c>
      <c r="C472" s="11" t="str">
        <f aca="false">IFERROR(INDEX(Lookup_Tables!$B$2:$B$26,MATCH(UPPER(TRIM(Raw_Data!C472)),Lookup_Tables!$C$2:$C$26,0)),"Unknown")</f>
        <v>Email</v>
      </c>
      <c r="D472" s="12" t="n">
        <f aca="false">IFERROR(IF(ISNUMBER(SEARCH("/",Raw_Data!D472)),DATE(VALUE(RIGHT(Raw_Data!D472,4)),VALUE(MID(Raw_Data!D472,FIND("/",Raw_Data!D472)+1,FIND("/",Raw_Data!D472,FIND("/",Raw_Data!D472)+1)-FIND("/",Raw_Data!D472)-1)),VALUE(LEFT(Raw_Data!D472,FIND("/",Raw_Data!D472)-1))),IF(ISNUMBER(VALUE(LEFT(Raw_Data!D472,4))),DATE(VALUE(LEFT(Raw_Data!D472,4)),VALUE(MID(Raw_Data!D472,6,2)),VALUE(MID(Raw_Data!D472,9,2))),DATEVALUE(Raw_Data!D472))),"")</f>
        <v>45417</v>
      </c>
      <c r="E472" s="12" t="n">
        <f aca="false">IFERROR(IF(ISNUMBER(SEARCH("/",Raw_Data!E472)),DATE(VALUE(RIGHT(Raw_Data!E472,4)),VALUE(MID(Raw_Data!E472,FIND("/",Raw_Data!E472)+1,FIND("/",Raw_Data!E472,FIND("/",Raw_Data!E472)+1)-FIND("/",Raw_Data!E472)-1)),VALUE(LEFT(Raw_Data!E472,FIND("/",Raw_Data!E472)-1))),IF(ISNUMBER(VALUE(LEFT(Raw_Data!E472,4))),DATE(VALUE(LEFT(Raw_Data!E472,4)),VALUE(MID(Raw_Data!E472,6,2)),VALUE(MID(Raw_Data!E472,9,2))),DATEVALUE(Raw_Data!E472))),"")</f>
        <v>45429</v>
      </c>
      <c r="F472" s="11" t="str">
        <f aca="false">Raw_Data!F472</f>
        <v>Male 18-24</v>
      </c>
      <c r="G472" s="11" t="str">
        <f aca="false">IF(TRIM(Raw_Data!G472)="","Unspecified",IFERROR(INDEX(Lookup_Tables!$F$2:$F$24,MATCH(UPPER(TRIM(Raw_Data!G472)),Lookup_Tables!$G$2:$G$24,0)),"Unknown"))</f>
        <v>East</v>
      </c>
      <c r="H472" s="11" t="n">
        <f aca="false">IF(Raw_Data!H472="",ROUND(AVERAGEIFS(Raw_Data!$H$2:$H$839,Raw_Data!$C$2:$C$839,Raw_Data!C472),2),Raw_Data!H472)</f>
        <v>5535.27</v>
      </c>
      <c r="I472" s="11" t="n">
        <f aca="false">Raw_Data!I472</f>
        <v>112915</v>
      </c>
      <c r="J472" s="11" t="n">
        <f aca="false">IF(Raw_Data!J472&lt;0,ABS(Raw_Data!J472),Raw_Data!J472)</f>
        <v>606</v>
      </c>
      <c r="K472" s="11" t="n">
        <f aca="false">Raw_Data!K472</f>
        <v>16</v>
      </c>
      <c r="L472" s="11" t="n">
        <f aca="false">IF(Raw_Data!L472="",ROUND(AVERAGEIFS(Raw_Data!$L$2:$L$839,Raw_Data!$C$2:$C$839,Raw_Data!C472),2),Raw_Data!L472)</f>
        <v>6081.96</v>
      </c>
      <c r="M472" s="13" t="n">
        <f aca="false">IFERROR(J472/I472,0)</f>
        <v>0.00536686888367356</v>
      </c>
      <c r="N472" s="14" t="n">
        <f aca="false">IFERROR(H472/J472,0)</f>
        <v>9.13410891089109</v>
      </c>
      <c r="O472" s="14" t="n">
        <f aca="false">IFERROR(H472/K472,0)</f>
        <v>345.954375</v>
      </c>
      <c r="P472" s="15" t="n">
        <f aca="false">IFERROR(L472/H472,0)</f>
        <v>1.0987648298999</v>
      </c>
      <c r="Q472" s="13" t="n">
        <f aca="false">IFERROR(K472/J472,0)</f>
        <v>0.0264026402640264</v>
      </c>
      <c r="R472" s="11" t="str">
        <f aca="false">IF(COUNTIF($A$2:A472,A472)&gt;1,"Duplicate - Remove","Unique")</f>
        <v>Unique</v>
      </c>
      <c r="S472" s="11" t="str">
        <f aca="false">TRIM(IF(Raw_Data!G472="","Region missing; ","")&amp;IF(Raw_Data!H472="","Spend imputed; ","")&amp;IF(Raw_Data!L472="","Revenue imputed; ","")&amp;IF(Raw_Data!J472&lt;0,"Clicks corrected; ",""))</f>
        <v/>
      </c>
    </row>
    <row r="473" customFormat="false" ht="15" hidden="false" customHeight="true" outlineLevel="0" collapsed="false">
      <c r="A473" s="11" t="n">
        <f aca="false">Raw_Data!A473</f>
        <v>1588</v>
      </c>
      <c r="B473" s="11" t="str">
        <f aca="false">PROPER(TRIM(Raw_Data!B473))</f>
        <v>Baby Care Trust Campaign</v>
      </c>
      <c r="C473" s="11" t="str">
        <f aca="false">IFERROR(INDEX(Lookup_Tables!$B$2:$B$26,MATCH(UPPER(TRIM(Raw_Data!C473)),Lookup_Tables!$C$2:$C$26,0)),"Unknown")</f>
        <v>Email</v>
      </c>
      <c r="D473" s="12" t="n">
        <f aca="false">IFERROR(IF(ISNUMBER(SEARCH("/",Raw_Data!D473)),DATE(VALUE(RIGHT(Raw_Data!D473,4)),VALUE(MID(Raw_Data!D473,FIND("/",Raw_Data!D473)+1,FIND("/",Raw_Data!D473,FIND("/",Raw_Data!D473)+1)-FIND("/",Raw_Data!D473)-1)),VALUE(LEFT(Raw_Data!D473,FIND("/",Raw_Data!D473)-1))),IF(ISNUMBER(VALUE(LEFT(Raw_Data!D473,4))),DATE(VALUE(LEFT(Raw_Data!D473,4)),VALUE(MID(Raw_Data!D473,6,2)),VALUE(MID(Raw_Data!D473,9,2))),DATEVALUE(Raw_Data!D473))),"")</f>
        <v>45618</v>
      </c>
      <c r="E473" s="12" t="n">
        <f aca="false">IFERROR(IF(ISNUMBER(SEARCH("/",Raw_Data!E473)),DATE(VALUE(RIGHT(Raw_Data!E473,4)),VALUE(MID(Raw_Data!E473,FIND("/",Raw_Data!E473)+1,FIND("/",Raw_Data!E473,FIND("/",Raw_Data!E473)+1)-FIND("/",Raw_Data!E473)-1)),VALUE(LEFT(Raw_Data!E473,FIND("/",Raw_Data!E473)-1))),IF(ISNUMBER(VALUE(LEFT(Raw_Data!E473,4))),DATE(VALUE(LEFT(Raw_Data!E473,4)),VALUE(MID(Raw_Data!E473,6,2)),VALUE(MID(Raw_Data!E473,9,2))),DATEVALUE(Raw_Data!E473))),"")</f>
        <v>45634</v>
      </c>
      <c r="F473" s="11" t="str">
        <f aca="false">Raw_Data!F473</f>
        <v>Male 18-24</v>
      </c>
      <c r="G473" s="11" t="str">
        <f aca="false">IF(TRIM(Raw_Data!G473)="","Unspecified",IFERROR(INDEX(Lookup_Tables!$F$2:$F$24,MATCH(UPPER(TRIM(Raw_Data!G473)),Lookup_Tables!$G$2:$G$24,0)),"Unknown"))</f>
        <v>West</v>
      </c>
      <c r="H473" s="11" t="n">
        <f aca="false">IF(Raw_Data!H473="",ROUND(AVERAGEIFS(Raw_Data!$H$2:$H$839,Raw_Data!$C$2:$C$839,Raw_Data!C473),2),Raw_Data!H473)</f>
        <v>4713.23</v>
      </c>
      <c r="I473" s="11" t="n">
        <f aca="false">Raw_Data!I473</f>
        <v>183148</v>
      </c>
      <c r="J473" s="11" t="n">
        <f aca="false">IF(Raw_Data!J473&lt;0,ABS(Raw_Data!J473),Raw_Data!J473)</f>
        <v>5739</v>
      </c>
      <c r="K473" s="11" t="n">
        <f aca="false">Raw_Data!K473</f>
        <v>395</v>
      </c>
      <c r="L473" s="11" t="n">
        <f aca="false">IF(Raw_Data!L473="",ROUND(AVERAGEIFS(Raw_Data!$L$2:$L$839,Raw_Data!$C$2:$C$839,Raw_Data!C473),2),Raw_Data!L473)</f>
        <v>639428.63</v>
      </c>
      <c r="M473" s="13" t="n">
        <f aca="false">IFERROR(J473/I473,0)</f>
        <v>0.0313353135169371</v>
      </c>
      <c r="N473" s="14" t="n">
        <f aca="false">IFERROR(H473/J473,0)</f>
        <v>0.821263286286809</v>
      </c>
      <c r="O473" s="14" t="n">
        <f aca="false">IFERROR(H473/K473,0)</f>
        <v>11.9322278481013</v>
      </c>
      <c r="P473" s="15" t="n">
        <f aca="false">IFERROR(L473/H473,0)</f>
        <v>135.666757191989</v>
      </c>
      <c r="Q473" s="13" t="n">
        <f aca="false">IFERROR(K473/J473,0)</f>
        <v>0.068827321833072</v>
      </c>
      <c r="R473" s="11" t="str">
        <f aca="false">IF(COUNTIF($A$2:A473,A473)&gt;1,"Duplicate - Remove","Unique")</f>
        <v>Unique</v>
      </c>
      <c r="S473" s="11" t="str">
        <f aca="false">TRIM(IF(Raw_Data!G473="","Region missing; ","")&amp;IF(Raw_Data!H473="","Spend imputed; ","")&amp;IF(Raw_Data!L473="","Revenue imputed; ","")&amp;IF(Raw_Data!J473&lt;0,"Clicks corrected; ",""))</f>
        <v/>
      </c>
    </row>
    <row r="474" customFormat="false" ht="15" hidden="false" customHeight="true" outlineLevel="0" collapsed="false">
      <c r="A474" s="11" t="n">
        <f aca="false">Raw_Data!A474</f>
        <v>1356</v>
      </c>
      <c r="B474" s="11" t="str">
        <f aca="false">PROPER(TRIM(Raw_Data!B474))</f>
        <v>Anti-Ageing Serum Push</v>
      </c>
      <c r="C474" s="11" t="str">
        <f aca="false">IFERROR(INDEX(Lookup_Tables!$B$2:$B$26,MATCH(UPPER(TRIM(Raw_Data!C474)),Lookup_Tables!$C$2:$C$26,0)),"Unknown")</f>
        <v>Facebook</v>
      </c>
      <c r="D474" s="12" t="n">
        <f aca="false">IFERROR(IF(ISNUMBER(SEARCH("/",Raw_Data!D474)),DATE(VALUE(RIGHT(Raw_Data!D474,4)),VALUE(MID(Raw_Data!D474,FIND("/",Raw_Data!D474)+1,FIND("/",Raw_Data!D474,FIND("/",Raw_Data!D474)+1)-FIND("/",Raw_Data!D474)-1)),VALUE(LEFT(Raw_Data!D474,FIND("/",Raw_Data!D474)-1))),IF(ISNUMBER(VALUE(LEFT(Raw_Data!D474,4))),DATE(VALUE(LEFT(Raw_Data!D474,4)),VALUE(MID(Raw_Data!D474,6,2)),VALUE(MID(Raw_Data!D474,9,2))),DATEVALUE(Raw_Data!D474))),"")</f>
        <v>45587</v>
      </c>
      <c r="E474" s="12" t="n">
        <f aca="false">IFERROR(IF(ISNUMBER(SEARCH("/",Raw_Data!E474)),DATE(VALUE(RIGHT(Raw_Data!E474,4)),VALUE(MID(Raw_Data!E474,FIND("/",Raw_Data!E474)+1,FIND("/",Raw_Data!E474,FIND("/",Raw_Data!E474)+1)-FIND("/",Raw_Data!E474)-1)),VALUE(LEFT(Raw_Data!E474,FIND("/",Raw_Data!E474)-1))),IF(ISNUMBER(VALUE(LEFT(Raw_Data!E474,4))),DATE(VALUE(LEFT(Raw_Data!E474,4)),VALUE(MID(Raw_Data!E474,6,2)),VALUE(MID(Raw_Data!E474,9,2))),DATEVALUE(Raw_Data!E474))),"")</f>
        <v>45607</v>
      </c>
      <c r="F474" s="11" t="str">
        <f aca="false">Raw_Data!F474</f>
        <v>Female 35-44</v>
      </c>
      <c r="G474" s="11" t="str">
        <f aca="false">IF(TRIM(Raw_Data!G474)="","Unspecified",IFERROR(INDEX(Lookup_Tables!$F$2:$F$24,MATCH(UPPER(TRIM(Raw_Data!G474)),Lookup_Tables!$G$2:$G$24,0)),"Unknown"))</f>
        <v>Central</v>
      </c>
      <c r="H474" s="11" t="n">
        <f aca="false">IF(Raw_Data!H474="",ROUND(AVERAGEIFS(Raw_Data!$H$2:$H$839,Raw_Data!$C$2:$C$839,Raw_Data!C474),2),Raw_Data!H474)</f>
        <v>35075.47</v>
      </c>
      <c r="I474" s="11" t="n">
        <f aca="false">Raw_Data!I474</f>
        <v>1248606</v>
      </c>
      <c r="J474" s="11" t="n">
        <f aca="false">IF(Raw_Data!J474&lt;0,ABS(Raw_Data!J474),Raw_Data!J474)</f>
        <v>41382</v>
      </c>
      <c r="K474" s="11" t="n">
        <f aca="false">Raw_Data!K474</f>
        <v>1189</v>
      </c>
      <c r="L474" s="11" t="n">
        <f aca="false">IF(Raw_Data!L474="",ROUND(AVERAGEIFS(Raw_Data!$L$2:$L$839,Raw_Data!$C$2:$C$839,Raw_Data!C474),2),Raw_Data!L474)</f>
        <v>1515966.94</v>
      </c>
      <c r="M474" s="13" t="n">
        <f aca="false">IFERROR(J474/I474,0)</f>
        <v>0.0331425605835628</v>
      </c>
      <c r="N474" s="14" t="n">
        <f aca="false">IFERROR(H474/J474,0)</f>
        <v>0.847602097530327</v>
      </c>
      <c r="O474" s="14" t="n">
        <f aca="false">IFERROR(H474/K474,0)</f>
        <v>29.4999747687132</v>
      </c>
      <c r="P474" s="15" t="n">
        <f aca="false">IFERROR(L474/H474,0)</f>
        <v>43.2201461591249</v>
      </c>
      <c r="Q474" s="13" t="n">
        <f aca="false">IFERROR(K474/J474,0)</f>
        <v>0.0287322990672273</v>
      </c>
      <c r="R474" s="11" t="str">
        <f aca="false">IF(COUNTIF($A$2:A474,A474)&gt;1,"Duplicate - Remove","Unique")</f>
        <v>Unique</v>
      </c>
      <c r="S474" s="11" t="str">
        <f aca="false">TRIM(IF(Raw_Data!G474="","Region missing; ","")&amp;IF(Raw_Data!H474="","Spend imputed; ","")&amp;IF(Raw_Data!L474="","Revenue imputed; ","")&amp;IF(Raw_Data!J474&lt;0,"Clicks corrected; ",""))</f>
        <v/>
      </c>
    </row>
    <row r="475" customFormat="false" ht="15" hidden="false" customHeight="true" outlineLevel="0" collapsed="false">
      <c r="A475" s="11" t="n">
        <f aca="false">Raw_Data!A475</f>
        <v>1266</v>
      </c>
      <c r="B475" s="11" t="str">
        <f aca="false">PROPER(TRIM(Raw_Data!B475))</f>
        <v>Herbal Range Awareness</v>
      </c>
      <c r="C475" s="11" t="str">
        <f aca="false">IFERROR(INDEX(Lookup_Tables!$B$2:$B$26,MATCH(UPPER(TRIM(Raw_Data!C475)),Lookup_Tables!$C$2:$C$26,0)),"Unknown")</f>
        <v>Google Ads</v>
      </c>
      <c r="D475" s="12" t="n">
        <f aca="false">IFERROR(IF(ISNUMBER(SEARCH("/",Raw_Data!D475)),DATE(VALUE(RIGHT(Raw_Data!D475,4)),VALUE(MID(Raw_Data!D475,FIND("/",Raw_Data!D475)+1,FIND("/",Raw_Data!D475,FIND("/",Raw_Data!D475)+1)-FIND("/",Raw_Data!D475)-1)),VALUE(LEFT(Raw_Data!D475,FIND("/",Raw_Data!D475)-1))),IF(ISNUMBER(VALUE(LEFT(Raw_Data!D475,4))),DATE(VALUE(LEFT(Raw_Data!D475,4)),VALUE(MID(Raw_Data!D475,6,2)),VALUE(MID(Raw_Data!D475,9,2))),DATEVALUE(Raw_Data!D475))),"")</f>
        <v>45411</v>
      </c>
      <c r="E475" s="12" t="n">
        <f aca="false">IFERROR(IF(ISNUMBER(SEARCH("/",Raw_Data!E475)),DATE(VALUE(RIGHT(Raw_Data!E475,4)),VALUE(MID(Raw_Data!E475,FIND("/",Raw_Data!E475)+1,FIND("/",Raw_Data!E475,FIND("/",Raw_Data!E475)+1)-FIND("/",Raw_Data!E475)-1)),VALUE(LEFT(Raw_Data!E475,FIND("/",Raw_Data!E475)-1))),IF(ISNUMBER(VALUE(LEFT(Raw_Data!E475,4))),DATE(VALUE(LEFT(Raw_Data!E475,4)),VALUE(MID(Raw_Data!E475,6,2)),VALUE(MID(Raw_Data!E475,9,2))),DATEVALUE(Raw_Data!E475))),"")</f>
        <v>45422</v>
      </c>
      <c r="F475" s="11" t="str">
        <f aca="false">Raw_Data!F475</f>
        <v>Female 18-24</v>
      </c>
      <c r="G475" s="11" t="str">
        <f aca="false">IF(TRIM(Raw_Data!G475)="","Unspecified",IFERROR(INDEX(Lookup_Tables!$F$2:$F$24,MATCH(UPPER(TRIM(Raw_Data!G475)),Lookup_Tables!$G$2:$G$24,0)),"Unknown"))</f>
        <v>West</v>
      </c>
      <c r="H475" s="11" t="n">
        <f aca="false">IF(Raw_Data!H475="",ROUND(AVERAGEIFS(Raw_Data!$H$2:$H$839,Raw_Data!$C$2:$C$839,Raw_Data!C475),2),Raw_Data!H475)</f>
        <v>36167.46</v>
      </c>
      <c r="I475" s="11" t="n">
        <f aca="false">Raw_Data!I475</f>
        <v>1227644</v>
      </c>
      <c r="J475" s="11" t="n">
        <f aca="false">IF(Raw_Data!J475&lt;0,ABS(Raw_Data!J475),Raw_Data!J475)</f>
        <v>37544</v>
      </c>
      <c r="K475" s="11" t="n">
        <f aca="false">Raw_Data!K475</f>
        <v>670</v>
      </c>
      <c r="L475" s="11" t="n">
        <f aca="false">IF(Raw_Data!L475="",ROUND(AVERAGEIFS(Raw_Data!$L$2:$L$839,Raw_Data!$C$2:$C$839,Raw_Data!C475),2),Raw_Data!L475)</f>
        <v>287483.68</v>
      </c>
      <c r="M475" s="13" t="n">
        <f aca="false">IFERROR(J475/I475,0)</f>
        <v>0.0305821557389602</v>
      </c>
      <c r="N475" s="14" t="n">
        <f aca="false">IFERROR(H475/J475,0)</f>
        <v>0.96333528659706</v>
      </c>
      <c r="O475" s="14" t="n">
        <f aca="false">IFERROR(H475/K475,0)</f>
        <v>53.9812835820896</v>
      </c>
      <c r="P475" s="15" t="n">
        <f aca="false">IFERROR(L475/H475,0)</f>
        <v>7.94868315330963</v>
      </c>
      <c r="Q475" s="13" t="n">
        <f aca="false">IFERROR(K475/J475,0)</f>
        <v>0.0178457276795227</v>
      </c>
      <c r="R475" s="11" t="str">
        <f aca="false">IF(COUNTIF($A$2:A475,A475)&gt;1,"Duplicate - Remove","Unique")</f>
        <v>Unique</v>
      </c>
      <c r="S475" s="11" t="str">
        <f aca="false">TRIM(IF(Raw_Data!G475="","Region missing; ","")&amp;IF(Raw_Data!H475="","Spend imputed; ","")&amp;IF(Raw_Data!L475="","Revenue imputed; ","")&amp;IF(Raw_Data!J475&lt;0,"Clicks corrected; ",""))</f>
        <v/>
      </c>
    </row>
    <row r="476" customFormat="false" ht="15" hidden="false" customHeight="true" outlineLevel="0" collapsed="false">
      <c r="A476" s="11" t="n">
        <f aca="false">Raw_Data!A476</f>
        <v>1729</v>
      </c>
      <c r="B476" s="11" t="str">
        <f aca="false">PROPER(TRIM(Raw_Data!B476))</f>
        <v>Monsoon Skincare Push</v>
      </c>
      <c r="C476" s="11" t="str">
        <f aca="false">IFERROR(INDEX(Lookup_Tables!$B$2:$B$26,MATCH(UPPER(TRIM(Raw_Data!C476)),Lookup_Tables!$C$2:$C$26,0)),"Unknown")</f>
        <v>Facebook</v>
      </c>
      <c r="D476" s="12" t="n">
        <f aca="false">IFERROR(IF(ISNUMBER(SEARCH("/",Raw_Data!D476)),DATE(VALUE(RIGHT(Raw_Data!D476,4)),VALUE(MID(Raw_Data!D476,FIND("/",Raw_Data!D476)+1,FIND("/",Raw_Data!D476,FIND("/",Raw_Data!D476)+1)-FIND("/",Raw_Data!D476)-1)),VALUE(LEFT(Raw_Data!D476,FIND("/",Raw_Data!D476)-1))),IF(ISNUMBER(VALUE(LEFT(Raw_Data!D476,4))),DATE(VALUE(LEFT(Raw_Data!D476,4)),VALUE(MID(Raw_Data!D476,6,2)),VALUE(MID(Raw_Data!D476,9,2))),DATEVALUE(Raw_Data!D476))),"")</f>
        <v>45339</v>
      </c>
      <c r="E476" s="12" t="n">
        <f aca="false">IFERROR(IF(ISNUMBER(SEARCH("/",Raw_Data!E476)),DATE(VALUE(RIGHT(Raw_Data!E476,4)),VALUE(MID(Raw_Data!E476,FIND("/",Raw_Data!E476)+1,FIND("/",Raw_Data!E476,FIND("/",Raw_Data!E476)+1)-FIND("/",Raw_Data!E476)-1)),VALUE(LEFT(Raw_Data!E476,FIND("/",Raw_Data!E476)-1))),IF(ISNUMBER(VALUE(LEFT(Raw_Data!E476,4))),DATE(VALUE(LEFT(Raw_Data!E476,4)),VALUE(MID(Raw_Data!E476,6,2)),VALUE(MID(Raw_Data!E476,9,2))),DATEVALUE(Raw_Data!E476))),"")</f>
        <v>45368</v>
      </c>
      <c r="F476" s="11" t="str">
        <f aca="false">Raw_Data!F476</f>
        <v>Male 18-24</v>
      </c>
      <c r="G476" s="11" t="str">
        <f aca="false">IF(TRIM(Raw_Data!G476)="","Unspecified",IFERROR(INDEX(Lookup_Tables!$F$2:$F$24,MATCH(UPPER(TRIM(Raw_Data!G476)),Lookup_Tables!$G$2:$G$24,0)),"Unknown"))</f>
        <v>North</v>
      </c>
      <c r="H476" s="11" t="n">
        <f aca="false">IF(Raw_Data!H476="",ROUND(AVERAGEIFS(Raw_Data!$H$2:$H$839,Raw_Data!$C$2:$C$839,Raw_Data!C476),2),Raw_Data!H476)</f>
        <v>48782.06</v>
      </c>
      <c r="I476" s="11" t="n">
        <f aca="false">Raw_Data!I476</f>
        <v>1144132</v>
      </c>
      <c r="J476" s="11" t="n">
        <f aca="false">IF(Raw_Data!J476&lt;0,ABS(Raw_Data!J476),Raw_Data!J476)</f>
        <v>19884</v>
      </c>
      <c r="K476" s="11" t="n">
        <f aca="false">Raw_Data!K476</f>
        <v>1243</v>
      </c>
      <c r="L476" s="11" t="n">
        <f aca="false">IF(Raw_Data!L476="",ROUND(AVERAGEIFS(Raw_Data!$L$2:$L$839,Raw_Data!$C$2:$C$839,Raw_Data!C476),2),Raw_Data!L476)</f>
        <v>1322627.53</v>
      </c>
      <c r="M476" s="13" t="n">
        <f aca="false">IFERROR(J476/I476,0)</f>
        <v>0.0173791135987806</v>
      </c>
      <c r="N476" s="14" t="n">
        <f aca="false">IFERROR(H476/J476,0)</f>
        <v>2.4533323274995</v>
      </c>
      <c r="O476" s="14" t="n">
        <f aca="false">IFERROR(H476/K476,0)</f>
        <v>39.2454223652454</v>
      </c>
      <c r="P476" s="15" t="n">
        <f aca="false">IFERROR(L476/H476,0)</f>
        <v>27.1129905133158</v>
      </c>
      <c r="Q476" s="13" t="n">
        <f aca="false">IFERROR(K476/J476,0)</f>
        <v>0.0625125729229531</v>
      </c>
      <c r="R476" s="11" t="str">
        <f aca="false">IF(COUNTIF($A$2:A476,A476)&gt;1,"Duplicate - Remove","Unique")</f>
        <v>Unique</v>
      </c>
      <c r="S476" s="11" t="str">
        <f aca="false">TRIM(IF(Raw_Data!G476="","Region missing; ","")&amp;IF(Raw_Data!H476="","Spend imputed; ","")&amp;IF(Raw_Data!L476="","Revenue imputed; ","")&amp;IF(Raw_Data!J476&lt;0,"Clicks corrected; ",""))</f>
        <v/>
      </c>
    </row>
    <row r="477" customFormat="false" ht="15" hidden="false" customHeight="true" outlineLevel="0" collapsed="false">
      <c r="A477" s="11" t="n">
        <f aca="false">Raw_Data!A477</f>
        <v>1741</v>
      </c>
      <c r="B477" s="11" t="str">
        <f aca="false">PROPER(TRIM(Raw_Data!B477))</f>
        <v>Herbal Range Awareness</v>
      </c>
      <c r="C477" s="11" t="str">
        <f aca="false">IFERROR(INDEX(Lookup_Tables!$B$2:$B$26,MATCH(UPPER(TRIM(Raw_Data!C477)),Lookup_Tables!$C$2:$C$26,0)),"Unknown")</f>
        <v>Google Ads</v>
      </c>
      <c r="D477" s="12" t="n">
        <f aca="false">IFERROR(IF(ISNUMBER(SEARCH("/",Raw_Data!D477)),DATE(VALUE(RIGHT(Raw_Data!D477,4)),VALUE(MID(Raw_Data!D477,FIND("/",Raw_Data!D477)+1,FIND("/",Raw_Data!D477,FIND("/",Raw_Data!D477)+1)-FIND("/",Raw_Data!D477)-1)),VALUE(LEFT(Raw_Data!D477,FIND("/",Raw_Data!D477)-1))),IF(ISNUMBER(VALUE(LEFT(Raw_Data!D477,4))),DATE(VALUE(LEFT(Raw_Data!D477,4)),VALUE(MID(Raw_Data!D477,6,2)),VALUE(MID(Raw_Data!D477,9,2))),DATEVALUE(Raw_Data!D477))),"")</f>
        <v>45313</v>
      </c>
      <c r="E477" s="12" t="n">
        <f aca="false">IFERROR(IF(ISNUMBER(SEARCH("/",Raw_Data!E477)),DATE(VALUE(RIGHT(Raw_Data!E477,4)),VALUE(MID(Raw_Data!E477,FIND("/",Raw_Data!E477)+1,FIND("/",Raw_Data!E477,FIND("/",Raw_Data!E477)+1)-FIND("/",Raw_Data!E477)-1)),VALUE(LEFT(Raw_Data!E477,FIND("/",Raw_Data!E477)-1))),IF(ISNUMBER(VALUE(LEFT(Raw_Data!E477,4))),DATE(VALUE(LEFT(Raw_Data!E477,4)),VALUE(MID(Raw_Data!E477,6,2)),VALUE(MID(Raw_Data!E477,9,2))),DATEVALUE(Raw_Data!E477))),"")</f>
        <v>45328</v>
      </c>
      <c r="F477" s="11" t="str">
        <f aca="false">Raw_Data!F477</f>
        <v>Female 35-44</v>
      </c>
      <c r="G477" s="11" t="str">
        <f aca="false">IF(TRIM(Raw_Data!G477)="","Unspecified",IFERROR(INDEX(Lookup_Tables!$F$2:$F$24,MATCH(UPPER(TRIM(Raw_Data!G477)),Lookup_Tables!$G$2:$G$24,0)),"Unknown"))</f>
        <v>West</v>
      </c>
      <c r="H477" s="11" t="n">
        <f aca="false">IF(Raw_Data!H477="",ROUND(AVERAGEIFS(Raw_Data!$H$2:$H$839,Raw_Data!$C$2:$C$839,Raw_Data!C477),2),Raw_Data!H477)</f>
        <v>74280.91</v>
      </c>
      <c r="I477" s="11" t="n">
        <f aca="false">Raw_Data!I477</f>
        <v>2939136</v>
      </c>
      <c r="J477" s="11" t="n">
        <f aca="false">IF(Raw_Data!J477&lt;0,ABS(Raw_Data!J477),Raw_Data!J477)</f>
        <v>27485</v>
      </c>
      <c r="K477" s="11" t="n">
        <f aca="false">Raw_Data!K477</f>
        <v>932</v>
      </c>
      <c r="L477" s="11" t="n">
        <f aca="false">IF(Raw_Data!L477="",ROUND(AVERAGEIFS(Raw_Data!$L$2:$L$839,Raw_Data!$C$2:$C$839,Raw_Data!C477),2),Raw_Data!L477)</f>
        <v>1181227.33</v>
      </c>
      <c r="M477" s="13" t="n">
        <f aca="false">IFERROR(J477/I477,0)</f>
        <v>0.00935138761867433</v>
      </c>
      <c r="N477" s="14" t="n">
        <f aca="false">IFERROR(H477/J477,0)</f>
        <v>2.70259814444242</v>
      </c>
      <c r="O477" s="14" t="n">
        <f aca="false">IFERROR(H477/K477,0)</f>
        <v>79.7005472103004</v>
      </c>
      <c r="P477" s="15" t="n">
        <f aca="false">IFERROR(L477/H477,0)</f>
        <v>15.902165576593</v>
      </c>
      <c r="Q477" s="13" t="n">
        <f aca="false">IFERROR(K477/J477,0)</f>
        <v>0.033909405130071</v>
      </c>
      <c r="R477" s="11" t="str">
        <f aca="false">IF(COUNTIF($A$2:A477,A477)&gt;1,"Duplicate - Remove","Unique")</f>
        <v>Duplicate - Remove</v>
      </c>
      <c r="S477" s="11" t="str">
        <f aca="false">TRIM(IF(Raw_Data!G477="","Region missing; ","")&amp;IF(Raw_Data!H477="","Spend imputed; ","")&amp;IF(Raw_Data!L477="","Revenue imputed; ","")&amp;IF(Raw_Data!J477&lt;0,"Clicks corrected; ",""))</f>
        <v/>
      </c>
    </row>
    <row r="478" customFormat="false" ht="15" hidden="false" customHeight="true" outlineLevel="0" collapsed="false">
      <c r="A478" s="11" t="n">
        <f aca="false">Raw_Data!A478</f>
        <v>1599</v>
      </c>
      <c r="B478" s="11" t="str">
        <f aca="false">PROPER(TRIM(Raw_Data!B478))</f>
        <v>Anti-Ageing Serum Push</v>
      </c>
      <c r="C478" s="11" t="str">
        <f aca="false">IFERROR(INDEX(Lookup_Tables!$B$2:$B$26,MATCH(UPPER(TRIM(Raw_Data!C478)),Lookup_Tables!$C$2:$C$26,0)),"Unknown")</f>
        <v>YouTube</v>
      </c>
      <c r="D478" s="12" t="n">
        <f aca="false">IFERROR(IF(ISNUMBER(SEARCH("/",Raw_Data!D478)),DATE(VALUE(RIGHT(Raw_Data!D478,4)),VALUE(MID(Raw_Data!D478,FIND("/",Raw_Data!D478)+1,FIND("/",Raw_Data!D478,FIND("/",Raw_Data!D478)+1)-FIND("/",Raw_Data!D478)-1)),VALUE(LEFT(Raw_Data!D478,FIND("/",Raw_Data!D478)-1))),IF(ISNUMBER(VALUE(LEFT(Raw_Data!D478,4))),DATE(VALUE(LEFT(Raw_Data!D478,4)),VALUE(MID(Raw_Data!D478,6,2)),VALUE(MID(Raw_Data!D478,9,2))),DATEVALUE(Raw_Data!D478))),"")</f>
        <v>45580</v>
      </c>
      <c r="E478" s="12" t="n">
        <f aca="false">IFERROR(IF(ISNUMBER(SEARCH("/",Raw_Data!E478)),DATE(VALUE(RIGHT(Raw_Data!E478,4)),VALUE(MID(Raw_Data!E478,FIND("/",Raw_Data!E478)+1,FIND("/",Raw_Data!E478,FIND("/",Raw_Data!E478)+1)-FIND("/",Raw_Data!E478)-1)),VALUE(LEFT(Raw_Data!E478,FIND("/",Raw_Data!E478)-1))),IF(ISNUMBER(VALUE(LEFT(Raw_Data!E478,4))),DATE(VALUE(LEFT(Raw_Data!E478,4)),VALUE(MID(Raw_Data!E478,6,2)),VALUE(MID(Raw_Data!E478,9,2))),DATEVALUE(Raw_Data!E478))),"")</f>
        <v>45605</v>
      </c>
      <c r="F478" s="11" t="str">
        <f aca="false">Raw_Data!F478</f>
        <v>Male 35-44</v>
      </c>
      <c r="G478" s="11" t="str">
        <f aca="false">IF(TRIM(Raw_Data!G478)="","Unspecified",IFERROR(INDEX(Lookup_Tables!$F$2:$F$24,MATCH(UPPER(TRIM(Raw_Data!G478)),Lookup_Tables!$G$2:$G$24,0)),"Unknown"))</f>
        <v>East</v>
      </c>
      <c r="H478" s="11" t="n">
        <f aca="false">IF(Raw_Data!H478="",ROUND(AVERAGEIFS(Raw_Data!$H$2:$H$839,Raw_Data!$C$2:$C$839,Raw_Data!C478),2),Raw_Data!H478)</f>
        <v>25613.82</v>
      </c>
      <c r="I478" s="11" t="n">
        <f aca="false">Raw_Data!I478</f>
        <v>719268</v>
      </c>
      <c r="J478" s="11" t="n">
        <f aca="false">IF(Raw_Data!J478&lt;0,ABS(Raw_Data!J478),Raw_Data!J478)</f>
        <v>8008</v>
      </c>
      <c r="K478" s="11" t="n">
        <f aca="false">Raw_Data!K478</f>
        <v>424</v>
      </c>
      <c r="L478" s="11" t="n">
        <f aca="false">IF(Raw_Data!L478="",ROUND(AVERAGEIFS(Raw_Data!$L$2:$L$839,Raw_Data!$C$2:$C$839,Raw_Data!C478),2),Raw_Data!L478)</f>
        <v>587659.11</v>
      </c>
      <c r="M478" s="13" t="n">
        <f aca="false">IFERROR(J478/I478,0)</f>
        <v>0.0111335413225668</v>
      </c>
      <c r="N478" s="14" t="n">
        <f aca="false">IFERROR(H478/J478,0)</f>
        <v>3.19852897102897</v>
      </c>
      <c r="O478" s="14" t="n">
        <f aca="false">IFERROR(H478/K478,0)</f>
        <v>60.4099528301887</v>
      </c>
      <c r="P478" s="15" t="n">
        <f aca="false">IFERROR(L478/H478,0)</f>
        <v>22.9430483231318</v>
      </c>
      <c r="Q478" s="13" t="n">
        <f aca="false">IFERROR(K478/J478,0)</f>
        <v>0.0529470529470529</v>
      </c>
      <c r="R478" s="11" t="str">
        <f aca="false">IF(COUNTIF($A$2:A478,A478)&gt;1,"Duplicate - Remove","Unique")</f>
        <v>Unique</v>
      </c>
      <c r="S478" s="11" t="str">
        <f aca="false">TRIM(IF(Raw_Data!G478="","Region missing; ","")&amp;IF(Raw_Data!H478="","Spend imputed; ","")&amp;IF(Raw_Data!L478="","Revenue imputed; ","")&amp;IF(Raw_Data!J478&lt;0,"Clicks corrected; ",""))</f>
        <v/>
      </c>
    </row>
    <row r="479" customFormat="false" ht="15" hidden="false" customHeight="true" outlineLevel="0" collapsed="false">
      <c r="A479" s="11" t="n">
        <f aca="false">Raw_Data!A479</f>
        <v>1223</v>
      </c>
      <c r="B479" s="11" t="str">
        <f aca="false">PROPER(TRIM(Raw_Data!B479))</f>
        <v>Festive Gift Bundle</v>
      </c>
      <c r="C479" s="11" t="str">
        <f aca="false">IFERROR(INDEX(Lookup_Tables!$B$2:$B$26,MATCH(UPPER(TRIM(Raw_Data!C479)),Lookup_Tables!$C$2:$C$26,0)),"Unknown")</f>
        <v>Facebook</v>
      </c>
      <c r="D479" s="12" t="n">
        <f aca="false">IFERROR(IF(ISNUMBER(SEARCH("/",Raw_Data!D479)),DATE(VALUE(RIGHT(Raw_Data!D479,4)),VALUE(MID(Raw_Data!D479,FIND("/",Raw_Data!D479)+1,FIND("/",Raw_Data!D479,FIND("/",Raw_Data!D479)+1)-FIND("/",Raw_Data!D479)-1)),VALUE(LEFT(Raw_Data!D479,FIND("/",Raw_Data!D479)-1))),IF(ISNUMBER(VALUE(LEFT(Raw_Data!D479,4))),DATE(VALUE(LEFT(Raw_Data!D479,4)),VALUE(MID(Raw_Data!D479,6,2)),VALUE(MID(Raw_Data!D479,9,2))),DATEVALUE(Raw_Data!D479))),"")</f>
        <v>45477</v>
      </c>
      <c r="E479" s="12" t="n">
        <f aca="false">IFERROR(IF(ISNUMBER(SEARCH("/",Raw_Data!E479)),DATE(VALUE(RIGHT(Raw_Data!E479,4)),VALUE(MID(Raw_Data!E479,FIND("/",Raw_Data!E479)+1,FIND("/",Raw_Data!E479,FIND("/",Raw_Data!E479)+1)-FIND("/",Raw_Data!E479)-1)),VALUE(LEFT(Raw_Data!E479,FIND("/",Raw_Data!E479)-1))),IF(ISNUMBER(VALUE(LEFT(Raw_Data!E479,4))),DATE(VALUE(LEFT(Raw_Data!E479,4)),VALUE(MID(Raw_Data!E479,6,2)),VALUE(MID(Raw_Data!E479,9,2))),DATEVALUE(Raw_Data!E479))),"")</f>
        <v>45501</v>
      </c>
      <c r="F479" s="11" t="str">
        <f aca="false">Raw_Data!F479</f>
        <v>Female 35-44</v>
      </c>
      <c r="G479" s="11" t="str">
        <f aca="false">IF(TRIM(Raw_Data!G479)="","Unspecified",IFERROR(INDEX(Lookup_Tables!$F$2:$F$24,MATCH(UPPER(TRIM(Raw_Data!G479)),Lookup_Tables!$G$2:$G$24,0)),"Unknown"))</f>
        <v>East</v>
      </c>
      <c r="H479" s="11" t="n">
        <f aca="false">IF(Raw_Data!H479="",ROUND(AVERAGEIFS(Raw_Data!$H$2:$H$839,Raw_Data!$C$2:$C$839,Raw_Data!C479),2),Raw_Data!H479)</f>
        <v>41946.02</v>
      </c>
      <c r="I479" s="11" t="n">
        <f aca="false">Raw_Data!I479</f>
        <v>1322463</v>
      </c>
      <c r="J479" s="11" t="n">
        <f aca="false">IF(Raw_Data!J479&lt;0,ABS(Raw_Data!J479),Raw_Data!J479)</f>
        <v>23061</v>
      </c>
      <c r="K479" s="11" t="n">
        <f aca="false">Raw_Data!K479</f>
        <v>763</v>
      </c>
      <c r="L479" s="11" t="n">
        <f aca="false">IF(Raw_Data!L479="",ROUND(AVERAGEIFS(Raw_Data!$L$2:$L$839,Raw_Data!$C$2:$C$839,Raw_Data!C479),2),Raw_Data!L479)</f>
        <v>392442.27</v>
      </c>
      <c r="M479" s="13" t="n">
        <f aca="false">IFERROR(J479/I479,0)</f>
        <v>0.0174379169776395</v>
      </c>
      <c r="N479" s="14" t="n">
        <f aca="false">IFERROR(H479/J479,0)</f>
        <v>1.81891591865054</v>
      </c>
      <c r="O479" s="14" t="n">
        <f aca="false">IFERROR(H479/K479,0)</f>
        <v>54.975124508519</v>
      </c>
      <c r="P479" s="15" t="n">
        <f aca="false">IFERROR(L479/H479,0)</f>
        <v>9.35588811524908</v>
      </c>
      <c r="Q479" s="13" t="n">
        <f aca="false">IFERROR(K479/J479,0)</f>
        <v>0.0330861627856554</v>
      </c>
      <c r="R479" s="11" t="str">
        <f aca="false">IF(COUNTIF($A$2:A479,A479)&gt;1,"Duplicate - Remove","Unique")</f>
        <v>Unique</v>
      </c>
      <c r="S479" s="11" t="str">
        <f aca="false">TRIM(IF(Raw_Data!G479="","Region missing; ","")&amp;IF(Raw_Data!H479="","Spend imputed; ","")&amp;IF(Raw_Data!L479="","Revenue imputed; ","")&amp;IF(Raw_Data!J479&lt;0,"Clicks corrected; ",""))</f>
        <v/>
      </c>
    </row>
    <row r="480" customFormat="false" ht="15" hidden="false" customHeight="true" outlineLevel="0" collapsed="false">
      <c r="A480" s="11" t="n">
        <f aca="false">Raw_Data!A480</f>
        <v>1666</v>
      </c>
      <c r="B480" s="11" t="str">
        <f aca="false">PROPER(TRIM(Raw_Data!B480))</f>
        <v>Sunscreen Season Campaign</v>
      </c>
      <c r="C480" s="11" t="str">
        <f aca="false">IFERROR(INDEX(Lookup_Tables!$B$2:$B$26,MATCH(UPPER(TRIM(Raw_Data!C480)),Lookup_Tables!$C$2:$C$26,0)),"Unknown")</f>
        <v>Email</v>
      </c>
      <c r="D480" s="12" t="n">
        <f aca="false">IFERROR(IF(ISNUMBER(SEARCH("/",Raw_Data!D480)),DATE(VALUE(RIGHT(Raw_Data!D480,4)),VALUE(MID(Raw_Data!D480,FIND("/",Raw_Data!D480)+1,FIND("/",Raw_Data!D480,FIND("/",Raw_Data!D480)+1)-FIND("/",Raw_Data!D480)-1)),VALUE(LEFT(Raw_Data!D480,FIND("/",Raw_Data!D480)-1))),IF(ISNUMBER(VALUE(LEFT(Raw_Data!D480,4))),DATE(VALUE(LEFT(Raw_Data!D480,4)),VALUE(MID(Raw_Data!D480,6,2)),VALUE(MID(Raw_Data!D480,9,2))),DATEVALUE(Raw_Data!D480))),"")</f>
        <v>45510</v>
      </c>
      <c r="E480" s="12" t="n">
        <f aca="false">IFERROR(IF(ISNUMBER(SEARCH("/",Raw_Data!E480)),DATE(VALUE(RIGHT(Raw_Data!E480,4)),VALUE(MID(Raw_Data!E480,FIND("/",Raw_Data!E480)+1,FIND("/",Raw_Data!E480,FIND("/",Raw_Data!E480)+1)-FIND("/",Raw_Data!E480)-1)),VALUE(LEFT(Raw_Data!E480,FIND("/",Raw_Data!E480)-1))),IF(ISNUMBER(VALUE(LEFT(Raw_Data!E480,4))),DATE(VALUE(LEFT(Raw_Data!E480,4)),VALUE(MID(Raw_Data!E480,6,2)),VALUE(MID(Raw_Data!E480,9,2))),DATEVALUE(Raw_Data!E480))),"")</f>
        <v>45535</v>
      </c>
      <c r="F480" s="11" t="str">
        <f aca="false">Raw_Data!F480</f>
        <v>Male 35-44</v>
      </c>
      <c r="G480" s="11" t="str">
        <f aca="false">IF(TRIM(Raw_Data!G480)="","Unspecified",IFERROR(INDEX(Lookup_Tables!$F$2:$F$24,MATCH(UPPER(TRIM(Raw_Data!G480)),Lookup_Tables!$G$2:$G$24,0)),"Unknown"))</f>
        <v>East</v>
      </c>
      <c r="H480" s="11" t="n">
        <f aca="false">IF(Raw_Data!H480="",ROUND(AVERAGEIFS(Raw_Data!$H$2:$H$839,Raw_Data!$C$2:$C$839,Raw_Data!C480),2),Raw_Data!H480)</f>
        <v>7753.27</v>
      </c>
      <c r="I480" s="11" t="n">
        <f aca="false">Raw_Data!I480</f>
        <v>140766</v>
      </c>
      <c r="J480" s="11" t="n">
        <f aca="false">IF(Raw_Data!J480&lt;0,ABS(Raw_Data!J480),Raw_Data!J480)</f>
        <v>1662</v>
      </c>
      <c r="K480" s="11" t="n">
        <f aca="false">Raw_Data!K480</f>
        <v>69</v>
      </c>
      <c r="L480" s="11" t="n">
        <f aca="false">IF(Raw_Data!L480="",ROUND(AVERAGEIFS(Raw_Data!$L$2:$L$839,Raw_Data!$C$2:$C$839,Raw_Data!C480),2),Raw_Data!L480)</f>
        <v>35269.25</v>
      </c>
      <c r="M480" s="13" t="n">
        <f aca="false">IFERROR(J480/I480,0)</f>
        <v>0.0118068283534376</v>
      </c>
      <c r="N480" s="14" t="n">
        <f aca="false">IFERROR(H480/J480,0)</f>
        <v>4.66502406738869</v>
      </c>
      <c r="O480" s="14" t="n">
        <f aca="false">IFERROR(H480/K480,0)</f>
        <v>112.366231884058</v>
      </c>
      <c r="P480" s="15" t="n">
        <f aca="false">IFERROR(L480/H480,0)</f>
        <v>4.54895160364595</v>
      </c>
      <c r="Q480" s="13" t="n">
        <f aca="false">IFERROR(K480/J480,0)</f>
        <v>0.0415162454873646</v>
      </c>
      <c r="R480" s="11" t="str">
        <f aca="false">IF(COUNTIF($A$2:A480,A480)&gt;1,"Duplicate - Remove","Unique")</f>
        <v>Unique</v>
      </c>
      <c r="S480" s="11" t="str">
        <f aca="false">TRIM(IF(Raw_Data!G480="","Region missing; ","")&amp;IF(Raw_Data!H480="","Spend imputed; ","")&amp;IF(Raw_Data!L480="","Revenue imputed; ","")&amp;IF(Raw_Data!J480&lt;0,"Clicks corrected; ",""))</f>
        <v/>
      </c>
    </row>
    <row r="481" customFormat="false" ht="15" hidden="false" customHeight="true" outlineLevel="0" collapsed="false">
      <c r="A481" s="11" t="n">
        <f aca="false">Raw_Data!A481</f>
        <v>1584</v>
      </c>
      <c r="B481" s="11" t="str">
        <f aca="false">PROPER(TRIM(Raw_Data!B481))</f>
        <v>Baby Care Trust Campaign</v>
      </c>
      <c r="C481" s="11" t="str">
        <f aca="false">IFERROR(INDEX(Lookup_Tables!$B$2:$B$26,MATCH(UPPER(TRIM(Raw_Data!C481)),Lookup_Tables!$C$2:$C$26,0)),"Unknown")</f>
        <v>Google Ads</v>
      </c>
      <c r="D481" s="12" t="n">
        <f aca="false">IFERROR(IF(ISNUMBER(SEARCH("/",Raw_Data!D481)),DATE(VALUE(RIGHT(Raw_Data!D481,4)),VALUE(MID(Raw_Data!D481,FIND("/",Raw_Data!D481)+1,FIND("/",Raw_Data!D481,FIND("/",Raw_Data!D481)+1)-FIND("/",Raw_Data!D481)-1)),VALUE(LEFT(Raw_Data!D481,FIND("/",Raw_Data!D481)-1))),IF(ISNUMBER(VALUE(LEFT(Raw_Data!D481,4))),DATE(VALUE(LEFT(Raw_Data!D481,4)),VALUE(MID(Raw_Data!D481,6,2)),VALUE(MID(Raw_Data!D481,9,2))),DATEVALUE(Raw_Data!D481))),"")</f>
        <v>45306</v>
      </c>
      <c r="E481" s="12" t="n">
        <f aca="false">IFERROR(IF(ISNUMBER(SEARCH("/",Raw_Data!E481)),DATE(VALUE(RIGHT(Raw_Data!E481,4)),VALUE(MID(Raw_Data!E481,FIND("/",Raw_Data!E481)+1,FIND("/",Raw_Data!E481,FIND("/",Raw_Data!E481)+1)-FIND("/",Raw_Data!E481)-1)),VALUE(LEFT(Raw_Data!E481,FIND("/",Raw_Data!E481)-1))),IF(ISNUMBER(VALUE(LEFT(Raw_Data!E481,4))),DATE(VALUE(LEFT(Raw_Data!E481,4)),VALUE(MID(Raw_Data!E481,6,2)),VALUE(MID(Raw_Data!E481,9,2))),DATEVALUE(Raw_Data!E481))),"")</f>
        <v>45330</v>
      </c>
      <c r="F481" s="11" t="str">
        <f aca="false">Raw_Data!F481</f>
        <v>Female 35-44</v>
      </c>
      <c r="G481" s="11" t="str">
        <f aca="false">IF(TRIM(Raw_Data!G481)="","Unspecified",IFERROR(INDEX(Lookup_Tables!$F$2:$F$24,MATCH(UPPER(TRIM(Raw_Data!G481)),Lookup_Tables!$G$2:$G$24,0)),"Unknown"))</f>
        <v>East</v>
      </c>
      <c r="H481" s="11" t="n">
        <f aca="false">IF(Raw_Data!H481="",ROUND(AVERAGEIFS(Raw_Data!$H$2:$H$839,Raw_Data!$C$2:$C$839,Raw_Data!C481),2),Raw_Data!H481)</f>
        <v>77189.97</v>
      </c>
      <c r="I481" s="11" t="n">
        <f aca="false">Raw_Data!I481</f>
        <v>2199585</v>
      </c>
      <c r="J481" s="11" t="n">
        <f aca="false">IF(Raw_Data!J481&lt;0,ABS(Raw_Data!J481),Raw_Data!J481)</f>
        <v>63721</v>
      </c>
      <c r="K481" s="11" t="n">
        <f aca="false">Raw_Data!K481</f>
        <v>666</v>
      </c>
      <c r="L481" s="11" t="n">
        <f aca="false">IF(Raw_Data!L481="",ROUND(AVERAGEIFS(Raw_Data!$L$2:$L$839,Raw_Data!$C$2:$C$839,Raw_Data!C481),2),Raw_Data!L481)</f>
        <v>1193969.55</v>
      </c>
      <c r="M481" s="13" t="n">
        <f aca="false">IFERROR(J481/I481,0)</f>
        <v>0.0289695556207194</v>
      </c>
      <c r="N481" s="14" t="n">
        <f aca="false">IFERROR(H481/J481,0)</f>
        <v>1.21137411528382</v>
      </c>
      <c r="O481" s="14" t="n">
        <f aca="false">IFERROR(H481/K481,0)</f>
        <v>115.900855855856</v>
      </c>
      <c r="P481" s="15" t="n">
        <f aca="false">IFERROR(L481/H481,0)</f>
        <v>15.4679364430379</v>
      </c>
      <c r="Q481" s="13" t="n">
        <f aca="false">IFERROR(K481/J481,0)</f>
        <v>0.010451813373927</v>
      </c>
      <c r="R481" s="11" t="str">
        <f aca="false">IF(COUNTIF($A$2:A481,A481)&gt;1,"Duplicate - Remove","Unique")</f>
        <v>Unique</v>
      </c>
      <c r="S481" s="11" t="str">
        <f aca="false">TRIM(IF(Raw_Data!G481="","Region missing; ","")&amp;IF(Raw_Data!H481="","Spend imputed; ","")&amp;IF(Raw_Data!L481="","Revenue imputed; ","")&amp;IF(Raw_Data!J481&lt;0,"Clicks corrected; ",""))</f>
        <v>Revenue imputed;</v>
      </c>
    </row>
    <row r="482" customFormat="false" ht="15" hidden="false" customHeight="true" outlineLevel="0" collapsed="false">
      <c r="A482" s="11" t="n">
        <f aca="false">Raw_Data!A482</f>
        <v>1480</v>
      </c>
      <c r="B482" s="11" t="str">
        <f aca="false">PROPER(TRIM(Raw_Data!B482))</f>
        <v>Sunscreen Season Campaign</v>
      </c>
      <c r="C482" s="11" t="str">
        <f aca="false">IFERROR(INDEX(Lookup_Tables!$B$2:$B$26,MATCH(UPPER(TRIM(Raw_Data!C482)),Lookup_Tables!$C$2:$C$26,0)),"Unknown")</f>
        <v>Email</v>
      </c>
      <c r="D482" s="12" t="n">
        <f aca="false">IFERROR(IF(ISNUMBER(SEARCH("/",Raw_Data!D482)),DATE(VALUE(RIGHT(Raw_Data!D482,4)),VALUE(MID(Raw_Data!D482,FIND("/",Raw_Data!D482)+1,FIND("/",Raw_Data!D482,FIND("/",Raw_Data!D482)+1)-FIND("/",Raw_Data!D482)-1)),VALUE(LEFT(Raw_Data!D482,FIND("/",Raw_Data!D482)-1))),IF(ISNUMBER(VALUE(LEFT(Raw_Data!D482,4))),DATE(VALUE(LEFT(Raw_Data!D482,4)),VALUE(MID(Raw_Data!D482,6,2)),VALUE(MID(Raw_Data!D482,9,2))),DATEVALUE(Raw_Data!D482))),"")</f>
        <v>45359</v>
      </c>
      <c r="E482" s="12" t="n">
        <f aca="false">IFERROR(IF(ISNUMBER(SEARCH("/",Raw_Data!E482)),DATE(VALUE(RIGHT(Raw_Data!E482,4)),VALUE(MID(Raw_Data!E482,FIND("/",Raw_Data!E482)+1,FIND("/",Raw_Data!E482,FIND("/",Raw_Data!E482)+1)-FIND("/",Raw_Data!E482)-1)),VALUE(LEFT(Raw_Data!E482,FIND("/",Raw_Data!E482)-1))),IF(ISNUMBER(VALUE(LEFT(Raw_Data!E482,4))),DATE(VALUE(LEFT(Raw_Data!E482,4)),VALUE(MID(Raw_Data!E482,6,2)),VALUE(MID(Raw_Data!E482,9,2))),DATEVALUE(Raw_Data!E482))),"")</f>
        <v>45367</v>
      </c>
      <c r="F482" s="11" t="str">
        <f aca="false">Raw_Data!F482</f>
        <v>Female 45+</v>
      </c>
      <c r="G482" s="11" t="str">
        <f aca="false">IF(TRIM(Raw_Data!G482)="","Unspecified",IFERROR(INDEX(Lookup_Tables!$F$2:$F$24,MATCH(UPPER(TRIM(Raw_Data!G482)),Lookup_Tables!$G$2:$G$24,0)),"Unknown"))</f>
        <v>East</v>
      </c>
      <c r="H482" s="11" t="n">
        <f aca="false">IF(Raw_Data!H482="",ROUND(AVERAGEIFS(Raw_Data!$H$2:$H$839,Raw_Data!$C$2:$C$839,Raw_Data!C482),2),Raw_Data!H482)</f>
        <v>6548.99</v>
      </c>
      <c r="I482" s="11" t="n">
        <f aca="false">Raw_Data!I482</f>
        <v>118884</v>
      </c>
      <c r="J482" s="11" t="n">
        <f aca="false">IF(Raw_Data!J482&lt;0,ABS(Raw_Data!J482),Raw_Data!J482)</f>
        <v>1821</v>
      </c>
      <c r="K482" s="11" t="n">
        <f aca="false">Raw_Data!K482</f>
        <v>19</v>
      </c>
      <c r="L482" s="11" t="n">
        <f aca="false">IF(Raw_Data!L482="",ROUND(AVERAGEIFS(Raw_Data!$L$2:$L$839,Raw_Data!$C$2:$C$839,Raw_Data!C482),2),Raw_Data!L482)</f>
        <v>25506.26</v>
      </c>
      <c r="M482" s="13" t="n">
        <f aca="false">IFERROR(J482/I482,0)</f>
        <v>0.01531745230645</v>
      </c>
      <c r="N482" s="14" t="n">
        <f aca="false">IFERROR(H482/J482,0)</f>
        <v>3.59637012630423</v>
      </c>
      <c r="O482" s="14" t="n">
        <f aca="false">IFERROR(H482/K482,0)</f>
        <v>344.683684210526</v>
      </c>
      <c r="P482" s="15" t="n">
        <f aca="false">IFERROR(L482/H482,0)</f>
        <v>3.89468605082616</v>
      </c>
      <c r="Q482" s="13" t="n">
        <f aca="false">IFERROR(K482/J482,0)</f>
        <v>0.0104338275672707</v>
      </c>
      <c r="R482" s="11" t="str">
        <f aca="false">IF(COUNTIF($A$2:A482,A482)&gt;1,"Duplicate - Remove","Unique")</f>
        <v>Unique</v>
      </c>
      <c r="S482" s="11" t="str">
        <f aca="false">TRIM(IF(Raw_Data!G482="","Region missing; ","")&amp;IF(Raw_Data!H482="","Spend imputed; ","")&amp;IF(Raw_Data!L482="","Revenue imputed; ","")&amp;IF(Raw_Data!J482&lt;0,"Clicks corrected; ",""))</f>
        <v/>
      </c>
    </row>
    <row r="483" customFormat="false" ht="15" hidden="false" customHeight="true" outlineLevel="0" collapsed="false">
      <c r="A483" s="11" t="n">
        <f aca="false">Raw_Data!A483</f>
        <v>1253</v>
      </c>
      <c r="B483" s="11" t="str">
        <f aca="false">PROPER(TRIM(Raw_Data!B483))</f>
        <v>Herbal Range Awareness</v>
      </c>
      <c r="C483" s="11" t="str">
        <f aca="false">IFERROR(INDEX(Lookup_Tables!$B$2:$B$26,MATCH(UPPER(TRIM(Raw_Data!C483)),Lookup_Tables!$C$2:$C$26,0)),"Unknown")</f>
        <v>Instagram</v>
      </c>
      <c r="D483" s="12" t="n">
        <f aca="false">IFERROR(IF(ISNUMBER(SEARCH("/",Raw_Data!D483)),DATE(VALUE(RIGHT(Raw_Data!D483,4)),VALUE(MID(Raw_Data!D483,FIND("/",Raw_Data!D483)+1,FIND("/",Raw_Data!D483,FIND("/",Raw_Data!D483)+1)-FIND("/",Raw_Data!D483)-1)),VALUE(LEFT(Raw_Data!D483,FIND("/",Raw_Data!D483)-1))),IF(ISNUMBER(VALUE(LEFT(Raw_Data!D483,4))),DATE(VALUE(LEFT(Raw_Data!D483,4)),VALUE(MID(Raw_Data!D483,6,2)),VALUE(MID(Raw_Data!D483,9,2))),DATEVALUE(Raw_Data!D483))),"")</f>
        <v>45577</v>
      </c>
      <c r="E483" s="12" t="n">
        <f aca="false">IFERROR(IF(ISNUMBER(SEARCH("/",Raw_Data!E483)),DATE(VALUE(RIGHT(Raw_Data!E483,4)),VALUE(MID(Raw_Data!E483,FIND("/",Raw_Data!E483)+1,FIND("/",Raw_Data!E483,FIND("/",Raw_Data!E483)+1)-FIND("/",Raw_Data!E483)-1)),VALUE(LEFT(Raw_Data!E483,FIND("/",Raw_Data!E483)-1))),IF(ISNUMBER(VALUE(LEFT(Raw_Data!E483,4))),DATE(VALUE(LEFT(Raw_Data!E483,4)),VALUE(MID(Raw_Data!E483,6,2)),VALUE(MID(Raw_Data!E483,9,2))),DATEVALUE(Raw_Data!E483))),"")</f>
        <v>45607</v>
      </c>
      <c r="F483" s="11" t="str">
        <f aca="false">Raw_Data!F483</f>
        <v>Male 35-44</v>
      </c>
      <c r="G483" s="11" t="str">
        <f aca="false">IF(TRIM(Raw_Data!G483)="","Unspecified",IFERROR(INDEX(Lookup_Tables!$F$2:$F$24,MATCH(UPPER(TRIM(Raw_Data!G483)),Lookup_Tables!$G$2:$G$24,0)),"Unknown"))</f>
        <v>North</v>
      </c>
      <c r="H483" s="11" t="n">
        <f aca="false">IF(Raw_Data!H483="",ROUND(AVERAGEIFS(Raw_Data!$H$2:$H$839,Raw_Data!$C$2:$C$839,Raw_Data!C483),2),Raw_Data!H483)</f>
        <v>47348.27</v>
      </c>
      <c r="I483" s="11" t="n">
        <f aca="false">Raw_Data!I483</f>
        <v>1663729</v>
      </c>
      <c r="J483" s="11" t="n">
        <f aca="false">IF(Raw_Data!J483&lt;0,ABS(Raw_Data!J483),Raw_Data!J483)</f>
        <v>30215</v>
      </c>
      <c r="K483" s="11" t="n">
        <f aca="false">Raw_Data!K483</f>
        <v>710</v>
      </c>
      <c r="L483" s="11" t="n">
        <f aca="false">IF(Raw_Data!L483="",ROUND(AVERAGEIFS(Raw_Data!$L$2:$L$839,Raw_Data!$C$2:$C$839,Raw_Data!C483),2),Raw_Data!L483)</f>
        <v>958082.85</v>
      </c>
      <c r="M483" s="13" t="n">
        <f aca="false">IFERROR(J483/I483,0)</f>
        <v>0.0181610105972788</v>
      </c>
      <c r="N483" s="14" t="n">
        <f aca="false">IFERROR(H483/J483,0)</f>
        <v>1.56704517623697</v>
      </c>
      <c r="O483" s="14" t="n">
        <f aca="false">IFERROR(H483/K483,0)</f>
        <v>66.6877042253521</v>
      </c>
      <c r="P483" s="15" t="n">
        <f aca="false">IFERROR(L483/H483,0)</f>
        <v>20.2348016094358</v>
      </c>
      <c r="Q483" s="13" t="n">
        <f aca="false">IFERROR(K483/J483,0)</f>
        <v>0.0234982624524243</v>
      </c>
      <c r="R483" s="11" t="str">
        <f aca="false">IF(COUNTIF($A$2:A483,A483)&gt;1,"Duplicate - Remove","Unique")</f>
        <v>Unique</v>
      </c>
      <c r="S483" s="11" t="str">
        <f aca="false">TRIM(IF(Raw_Data!G483="","Region missing; ","")&amp;IF(Raw_Data!H483="","Spend imputed; ","")&amp;IF(Raw_Data!L483="","Revenue imputed; ","")&amp;IF(Raw_Data!J483&lt;0,"Clicks corrected; ",""))</f>
        <v/>
      </c>
    </row>
    <row r="484" customFormat="false" ht="15" hidden="false" customHeight="true" outlineLevel="0" collapsed="false">
      <c r="A484" s="11" t="n">
        <f aca="false">Raw_Data!A484</f>
        <v>1122</v>
      </c>
      <c r="B484" s="11" t="str">
        <f aca="false">PROPER(TRIM(Raw_Data!B484))</f>
        <v>Sunscreen Season Campaign</v>
      </c>
      <c r="C484" s="11" t="str">
        <f aca="false">IFERROR(INDEX(Lookup_Tables!$B$2:$B$26,MATCH(UPPER(TRIM(Raw_Data!C484)),Lookup_Tables!$C$2:$C$26,0)),"Unknown")</f>
        <v>Facebook</v>
      </c>
      <c r="D484" s="12" t="n">
        <f aca="false">IFERROR(IF(ISNUMBER(SEARCH("/",Raw_Data!D484)),DATE(VALUE(RIGHT(Raw_Data!D484,4)),VALUE(MID(Raw_Data!D484,FIND("/",Raw_Data!D484)+1,FIND("/",Raw_Data!D484,FIND("/",Raw_Data!D484)+1)-FIND("/",Raw_Data!D484)-1)),VALUE(LEFT(Raw_Data!D484,FIND("/",Raw_Data!D484)-1))),IF(ISNUMBER(VALUE(LEFT(Raw_Data!D484,4))),DATE(VALUE(LEFT(Raw_Data!D484,4)),VALUE(MID(Raw_Data!D484,6,2)),VALUE(MID(Raw_Data!D484,9,2))),DATEVALUE(Raw_Data!D484))),"")</f>
        <v>45562</v>
      </c>
      <c r="E484" s="12" t="n">
        <f aca="false">IFERROR(IF(ISNUMBER(SEARCH("/",Raw_Data!E484)),DATE(VALUE(RIGHT(Raw_Data!E484,4)),VALUE(MID(Raw_Data!E484,FIND("/",Raw_Data!E484)+1,FIND("/",Raw_Data!E484,FIND("/",Raw_Data!E484)+1)-FIND("/",Raw_Data!E484)-1)),VALUE(LEFT(Raw_Data!E484,FIND("/",Raw_Data!E484)-1))),IF(ISNUMBER(VALUE(LEFT(Raw_Data!E484,4))),DATE(VALUE(LEFT(Raw_Data!E484,4)),VALUE(MID(Raw_Data!E484,6,2)),VALUE(MID(Raw_Data!E484,9,2))),DATEVALUE(Raw_Data!E484))),"")</f>
        <v>45568</v>
      </c>
      <c r="F484" s="11" t="str">
        <f aca="false">Raw_Data!F484</f>
        <v>Female 25-34</v>
      </c>
      <c r="G484" s="11" t="str">
        <f aca="false">IF(TRIM(Raw_Data!G484)="","Unspecified",IFERROR(INDEX(Lookup_Tables!$F$2:$F$24,MATCH(UPPER(TRIM(Raw_Data!G484)),Lookup_Tables!$G$2:$G$24,0)),"Unknown"))</f>
        <v>East</v>
      </c>
      <c r="H484" s="11" t="n">
        <f aca="false">IF(Raw_Data!H484="",ROUND(AVERAGEIFS(Raw_Data!$H$2:$H$839,Raw_Data!$C$2:$C$839,Raw_Data!C484),2),Raw_Data!H484)</f>
        <v>15302.35</v>
      </c>
      <c r="I484" s="11" t="n">
        <f aca="false">Raw_Data!I484</f>
        <v>561640</v>
      </c>
      <c r="J484" s="11" t="n">
        <f aca="false">IF(Raw_Data!J484&lt;0,ABS(Raw_Data!J484),Raw_Data!J484)</f>
        <v>17762</v>
      </c>
      <c r="K484" s="11" t="n">
        <f aca="false">Raw_Data!K484</f>
        <v>768</v>
      </c>
      <c r="L484" s="11" t="n">
        <f aca="false">IF(Raw_Data!L484="",ROUND(AVERAGEIFS(Raw_Data!$L$2:$L$839,Raw_Data!$C$2:$C$839,Raw_Data!C484),2),Raw_Data!L484)</f>
        <v>320651.41</v>
      </c>
      <c r="M484" s="13" t="n">
        <f aca="false">IFERROR(J484/I484,0)</f>
        <v>0.0316252403674952</v>
      </c>
      <c r="N484" s="14" t="n">
        <f aca="false">IFERROR(H484/J484,0)</f>
        <v>0.861521788086927</v>
      </c>
      <c r="O484" s="14" t="n">
        <f aca="false">IFERROR(H484/K484,0)</f>
        <v>19.9249348958333</v>
      </c>
      <c r="P484" s="15" t="n">
        <f aca="false">IFERROR(L484/H484,0)</f>
        <v>20.9543900119916</v>
      </c>
      <c r="Q484" s="13" t="n">
        <f aca="false">IFERROR(K484/J484,0)</f>
        <v>0.0432383740569756</v>
      </c>
      <c r="R484" s="11" t="str">
        <f aca="false">IF(COUNTIF($A$2:A484,A484)&gt;1,"Duplicate - Remove","Unique")</f>
        <v>Unique</v>
      </c>
      <c r="S484" s="11" t="str">
        <f aca="false">TRIM(IF(Raw_Data!G484="","Region missing; ","")&amp;IF(Raw_Data!H484="","Spend imputed; ","")&amp;IF(Raw_Data!L484="","Revenue imputed; ","")&amp;IF(Raw_Data!J484&lt;0,"Clicks corrected; ",""))</f>
        <v/>
      </c>
    </row>
    <row r="485" customFormat="false" ht="15" hidden="false" customHeight="true" outlineLevel="0" collapsed="false">
      <c r="A485" s="11" t="n">
        <f aca="false">Raw_Data!A485</f>
        <v>1571</v>
      </c>
      <c r="B485" s="11" t="str">
        <f aca="false">PROPER(TRIM(Raw_Data!B485))</f>
        <v>Influencer Collab - Skincare</v>
      </c>
      <c r="C485" s="11" t="str">
        <f aca="false">IFERROR(INDEX(Lookup_Tables!$B$2:$B$26,MATCH(UPPER(TRIM(Raw_Data!C485)),Lookup_Tables!$C$2:$C$26,0)),"Unknown")</f>
        <v>Instagram</v>
      </c>
      <c r="D485" s="12" t="n">
        <f aca="false">IFERROR(IF(ISNUMBER(SEARCH("/",Raw_Data!D485)),DATE(VALUE(RIGHT(Raw_Data!D485,4)),VALUE(MID(Raw_Data!D485,FIND("/",Raw_Data!D485)+1,FIND("/",Raw_Data!D485,FIND("/",Raw_Data!D485)+1)-FIND("/",Raw_Data!D485)-1)),VALUE(LEFT(Raw_Data!D485,FIND("/",Raw_Data!D485)-1))),IF(ISNUMBER(VALUE(LEFT(Raw_Data!D485,4))),DATE(VALUE(LEFT(Raw_Data!D485,4)),VALUE(MID(Raw_Data!D485,6,2)),VALUE(MID(Raw_Data!D485,9,2))),DATEVALUE(Raw_Data!D485))),"")</f>
        <v>45311</v>
      </c>
      <c r="E485" s="12" t="n">
        <f aca="false">IFERROR(IF(ISNUMBER(SEARCH("/",Raw_Data!E485)),DATE(VALUE(RIGHT(Raw_Data!E485,4)),VALUE(MID(Raw_Data!E485,FIND("/",Raw_Data!E485)+1,FIND("/",Raw_Data!E485,FIND("/",Raw_Data!E485)+1)-FIND("/",Raw_Data!E485)-1)),VALUE(LEFT(Raw_Data!E485,FIND("/",Raw_Data!E485)-1))),IF(ISNUMBER(VALUE(LEFT(Raw_Data!E485,4))),DATE(VALUE(LEFT(Raw_Data!E485,4)),VALUE(MID(Raw_Data!E485,6,2)),VALUE(MID(Raw_Data!E485,9,2))),DATEVALUE(Raw_Data!E485))),"")</f>
        <v>45335</v>
      </c>
      <c r="F485" s="11" t="str">
        <f aca="false">Raw_Data!F485</f>
        <v>Female 45+</v>
      </c>
      <c r="G485" s="11" t="str">
        <f aca="false">IF(TRIM(Raw_Data!G485)="","Unspecified",IFERROR(INDEX(Lookup_Tables!$F$2:$F$24,MATCH(UPPER(TRIM(Raw_Data!G485)),Lookup_Tables!$G$2:$G$24,0)),"Unknown"))</f>
        <v>South</v>
      </c>
      <c r="H485" s="11" t="n">
        <f aca="false">IF(Raw_Data!H485="",ROUND(AVERAGEIFS(Raw_Data!$H$2:$H$839,Raw_Data!$C$2:$C$839,Raw_Data!C485),2),Raw_Data!H485)</f>
        <v>26808.13</v>
      </c>
      <c r="I485" s="11" t="n">
        <f aca="false">Raw_Data!I485</f>
        <v>843940</v>
      </c>
      <c r="J485" s="11" t="n">
        <f aca="false">IF(Raw_Data!J485&lt;0,ABS(Raw_Data!J485),Raw_Data!J485)</f>
        <v>24029</v>
      </c>
      <c r="K485" s="11" t="n">
        <f aca="false">Raw_Data!K485</f>
        <v>1603</v>
      </c>
      <c r="L485" s="11" t="n">
        <f aca="false">IF(Raw_Data!L485="",ROUND(AVERAGEIFS(Raw_Data!$L$2:$L$839,Raw_Data!$C$2:$C$839,Raw_Data!C485),2),Raw_Data!L485)</f>
        <v>1974252.88</v>
      </c>
      <c r="M485" s="13" t="n">
        <f aca="false">IFERROR(J485/I485,0)</f>
        <v>0.028472403251416</v>
      </c>
      <c r="N485" s="14" t="n">
        <f aca="false">IFERROR(H485/J485,0)</f>
        <v>1.11565733072537</v>
      </c>
      <c r="O485" s="14" t="n">
        <f aca="false">IFERROR(H485/K485,0)</f>
        <v>16.7237242669994</v>
      </c>
      <c r="P485" s="15" t="n">
        <f aca="false">IFERROR(L485/H485,0)</f>
        <v>73.6438117839626</v>
      </c>
      <c r="Q485" s="13" t="n">
        <f aca="false">IFERROR(K485/J485,0)</f>
        <v>0.0667110574722211</v>
      </c>
      <c r="R485" s="11" t="str">
        <f aca="false">IF(COUNTIF($A$2:A485,A485)&gt;1,"Duplicate - Remove","Unique")</f>
        <v>Unique</v>
      </c>
      <c r="S485" s="11" t="str">
        <f aca="false">TRIM(IF(Raw_Data!G485="","Region missing; ","")&amp;IF(Raw_Data!H485="","Spend imputed; ","")&amp;IF(Raw_Data!L485="","Revenue imputed; ","")&amp;IF(Raw_Data!J485&lt;0,"Clicks corrected; ",""))</f>
        <v/>
      </c>
    </row>
    <row r="486" customFormat="false" ht="15" hidden="false" customHeight="true" outlineLevel="0" collapsed="false">
      <c r="A486" s="11" t="n">
        <f aca="false">Raw_Data!A486</f>
        <v>1406</v>
      </c>
      <c r="B486" s="11" t="str">
        <f aca="false">PROPER(TRIM(Raw_Data!B486))</f>
        <v>Men'S Grooming Drive</v>
      </c>
      <c r="C486" s="11" t="str">
        <f aca="false">IFERROR(INDEX(Lookup_Tables!$B$2:$B$26,MATCH(UPPER(TRIM(Raw_Data!C486)),Lookup_Tables!$C$2:$C$26,0)),"Unknown")</f>
        <v>YouTube</v>
      </c>
      <c r="D486" s="12" t="n">
        <f aca="false">IFERROR(IF(ISNUMBER(SEARCH("/",Raw_Data!D486)),DATE(VALUE(RIGHT(Raw_Data!D486,4)),VALUE(MID(Raw_Data!D486,FIND("/",Raw_Data!D486)+1,FIND("/",Raw_Data!D486,FIND("/",Raw_Data!D486)+1)-FIND("/",Raw_Data!D486)-1)),VALUE(LEFT(Raw_Data!D486,FIND("/",Raw_Data!D486)-1))),IF(ISNUMBER(VALUE(LEFT(Raw_Data!D486,4))),DATE(VALUE(LEFT(Raw_Data!D486,4)),VALUE(MID(Raw_Data!D486,6,2)),VALUE(MID(Raw_Data!D486,9,2))),DATEVALUE(Raw_Data!D486))),"")</f>
        <v>45399</v>
      </c>
      <c r="E486" s="12" t="n">
        <f aca="false">IFERROR(IF(ISNUMBER(SEARCH("/",Raw_Data!E486)),DATE(VALUE(RIGHT(Raw_Data!E486,4)),VALUE(MID(Raw_Data!E486,FIND("/",Raw_Data!E486)+1,FIND("/",Raw_Data!E486,FIND("/",Raw_Data!E486)+1)-FIND("/",Raw_Data!E486)-1)),VALUE(LEFT(Raw_Data!E486,FIND("/",Raw_Data!E486)-1))),IF(ISNUMBER(VALUE(LEFT(Raw_Data!E486,4))),DATE(VALUE(LEFT(Raw_Data!E486,4)),VALUE(MID(Raw_Data!E486,6,2)),VALUE(MID(Raw_Data!E486,9,2))),DATEVALUE(Raw_Data!E486))),"")</f>
        <v>45423</v>
      </c>
      <c r="F486" s="11" t="str">
        <f aca="false">Raw_Data!F486</f>
        <v>Female 45+</v>
      </c>
      <c r="G486" s="11" t="str">
        <f aca="false">IF(TRIM(Raw_Data!G486)="","Unspecified",IFERROR(INDEX(Lookup_Tables!$F$2:$F$24,MATCH(UPPER(TRIM(Raw_Data!G486)),Lookup_Tables!$G$2:$G$24,0)),"Unknown"))</f>
        <v>South</v>
      </c>
      <c r="H486" s="11" t="n">
        <f aca="false">IF(Raw_Data!H486="",ROUND(AVERAGEIFS(Raw_Data!$H$2:$H$839,Raw_Data!$C$2:$C$839,Raw_Data!C486),2),Raw_Data!H486)</f>
        <v>86806.29</v>
      </c>
      <c r="I486" s="11" t="n">
        <f aca="false">Raw_Data!I486</f>
        <v>1992863</v>
      </c>
      <c r="J486" s="11" t="n">
        <f aca="false">IF(Raw_Data!J486&lt;0,ABS(Raw_Data!J486),Raw_Data!J486)</f>
        <v>50744</v>
      </c>
      <c r="K486" s="11" t="n">
        <f aca="false">Raw_Data!K486</f>
        <v>1724</v>
      </c>
      <c r="L486" s="11" t="n">
        <f aca="false">IF(Raw_Data!L486="",ROUND(AVERAGEIFS(Raw_Data!$L$2:$L$839,Raw_Data!$C$2:$C$839,Raw_Data!C486),2),Raw_Data!L486)</f>
        <v>1256749.06</v>
      </c>
      <c r="M486" s="13" t="n">
        <f aca="false">IFERROR(J486/I486,0)</f>
        <v>0.0254628642310084</v>
      </c>
      <c r="N486" s="14" t="n">
        <f aca="false">IFERROR(H486/J486,0)</f>
        <v>1.71067101529245</v>
      </c>
      <c r="O486" s="14" t="n">
        <f aca="false">IFERROR(H486/K486,0)</f>
        <v>50.3516763341067</v>
      </c>
      <c r="P486" s="15" t="n">
        <f aca="false">IFERROR(L486/H486,0)</f>
        <v>14.4776266788962</v>
      </c>
      <c r="Q486" s="13" t="n">
        <f aca="false">IFERROR(K486/J486,0)</f>
        <v>0.0339744600346839</v>
      </c>
      <c r="R486" s="11" t="str">
        <f aca="false">IF(COUNTIF($A$2:A486,A486)&gt;1,"Duplicate - Remove","Unique")</f>
        <v>Unique</v>
      </c>
      <c r="S486" s="11" t="str">
        <f aca="false">TRIM(IF(Raw_Data!G486="","Region missing; ","")&amp;IF(Raw_Data!H486="","Spend imputed; ","")&amp;IF(Raw_Data!L486="","Revenue imputed; ","")&amp;IF(Raw_Data!J486&lt;0,"Clicks corrected; ",""))</f>
        <v/>
      </c>
    </row>
    <row r="487" customFormat="false" ht="15" hidden="false" customHeight="true" outlineLevel="0" collapsed="false">
      <c r="A487" s="11" t="n">
        <f aca="false">Raw_Data!A487</f>
        <v>1569</v>
      </c>
      <c r="B487" s="11" t="str">
        <f aca="false">PROPER(TRIM(Raw_Data!B487))</f>
        <v>New Year Wellness</v>
      </c>
      <c r="C487" s="11" t="str">
        <f aca="false">IFERROR(INDEX(Lookup_Tables!$B$2:$B$26,MATCH(UPPER(TRIM(Raw_Data!C487)),Lookup_Tables!$C$2:$C$26,0)),"Unknown")</f>
        <v>Instagram</v>
      </c>
      <c r="D487" s="12" t="n">
        <f aca="false">IFERROR(IF(ISNUMBER(SEARCH("/",Raw_Data!D487)),DATE(VALUE(RIGHT(Raw_Data!D487,4)),VALUE(MID(Raw_Data!D487,FIND("/",Raw_Data!D487)+1,FIND("/",Raw_Data!D487,FIND("/",Raw_Data!D487)+1)-FIND("/",Raw_Data!D487)-1)),VALUE(LEFT(Raw_Data!D487,FIND("/",Raw_Data!D487)-1))),IF(ISNUMBER(VALUE(LEFT(Raw_Data!D487,4))),DATE(VALUE(LEFT(Raw_Data!D487,4)),VALUE(MID(Raw_Data!D487,6,2)),VALUE(MID(Raw_Data!D487,9,2))),DATEVALUE(Raw_Data!D487))),"")</f>
        <v>45569</v>
      </c>
      <c r="E487" s="12" t="n">
        <f aca="false">IFERROR(IF(ISNUMBER(SEARCH("/",Raw_Data!E487)),DATE(VALUE(RIGHT(Raw_Data!E487,4)),VALUE(MID(Raw_Data!E487,FIND("/",Raw_Data!E487)+1,FIND("/",Raw_Data!E487,FIND("/",Raw_Data!E487)+1)-FIND("/",Raw_Data!E487)-1)),VALUE(LEFT(Raw_Data!E487,FIND("/",Raw_Data!E487)-1))),IF(ISNUMBER(VALUE(LEFT(Raw_Data!E487,4))),DATE(VALUE(LEFT(Raw_Data!E487,4)),VALUE(MID(Raw_Data!E487,6,2)),VALUE(MID(Raw_Data!E487,9,2))),DATEVALUE(Raw_Data!E487))),"")</f>
        <v>45598</v>
      </c>
      <c r="F487" s="11" t="str">
        <f aca="false">Raw_Data!F487</f>
        <v>Female 18-24</v>
      </c>
      <c r="G487" s="11" t="str">
        <f aca="false">IF(TRIM(Raw_Data!G487)="","Unspecified",IFERROR(INDEX(Lookup_Tables!$F$2:$F$24,MATCH(UPPER(TRIM(Raw_Data!G487)),Lookup_Tables!$G$2:$G$24,0)),"Unknown"))</f>
        <v>Central</v>
      </c>
      <c r="H487" s="11" t="n">
        <f aca="false">IF(Raw_Data!H487="",ROUND(AVERAGEIFS(Raw_Data!$H$2:$H$839,Raw_Data!$C$2:$C$839,Raw_Data!C487),2),Raw_Data!H487)</f>
        <v>56735.64</v>
      </c>
      <c r="I487" s="11" t="n">
        <f aca="false">Raw_Data!I487</f>
        <v>2141847</v>
      </c>
      <c r="J487" s="11" t="n">
        <f aca="false">IF(Raw_Data!J487&lt;0,ABS(Raw_Data!J487),Raw_Data!J487)</f>
        <v>59188</v>
      </c>
      <c r="K487" s="11" t="n">
        <f aca="false">Raw_Data!K487</f>
        <v>1984</v>
      </c>
      <c r="L487" s="11" t="n">
        <f aca="false">IF(Raw_Data!L487="",ROUND(AVERAGEIFS(Raw_Data!$L$2:$L$839,Raw_Data!$C$2:$C$839,Raw_Data!C487),2),Raw_Data!L487)</f>
        <v>3076843.69</v>
      </c>
      <c r="M487" s="13" t="n">
        <f aca="false">IFERROR(J487/I487,0)</f>
        <v>0.0276340933782852</v>
      </c>
      <c r="N487" s="14" t="n">
        <f aca="false">IFERROR(H487/J487,0)</f>
        <v>0.958566601338109</v>
      </c>
      <c r="O487" s="14" t="n">
        <f aca="false">IFERROR(H487/K487,0)</f>
        <v>28.5965927419355</v>
      </c>
      <c r="P487" s="15" t="n">
        <f aca="false">IFERROR(L487/H487,0)</f>
        <v>54.2312326079339</v>
      </c>
      <c r="Q487" s="13" t="n">
        <f aca="false">IFERROR(K487/J487,0)</f>
        <v>0.0335203081705751</v>
      </c>
      <c r="R487" s="11" t="str">
        <f aca="false">IF(COUNTIF($A$2:A487,A487)&gt;1,"Duplicate - Remove","Unique")</f>
        <v>Unique</v>
      </c>
      <c r="S487" s="11" t="str">
        <f aca="false">TRIM(IF(Raw_Data!G487="","Region missing; ","")&amp;IF(Raw_Data!H487="","Spend imputed; ","")&amp;IF(Raw_Data!L487="","Revenue imputed; ","")&amp;IF(Raw_Data!J487&lt;0,"Clicks corrected; ",""))</f>
        <v/>
      </c>
    </row>
    <row r="488" customFormat="false" ht="15" hidden="false" customHeight="true" outlineLevel="0" collapsed="false">
      <c r="A488" s="11" t="n">
        <f aca="false">Raw_Data!A488</f>
        <v>1562</v>
      </c>
      <c r="B488" s="11" t="str">
        <f aca="false">PROPER(TRIM(Raw_Data!B488))</f>
        <v>Anti-Ageing Serum Push</v>
      </c>
      <c r="C488" s="11" t="str">
        <f aca="false">IFERROR(INDEX(Lookup_Tables!$B$2:$B$26,MATCH(UPPER(TRIM(Raw_Data!C488)),Lookup_Tables!$C$2:$C$26,0)),"Unknown")</f>
        <v>Instagram</v>
      </c>
      <c r="D488" s="12" t="n">
        <f aca="false">IFERROR(IF(ISNUMBER(SEARCH("/",Raw_Data!D488)),DATE(VALUE(RIGHT(Raw_Data!D488,4)),VALUE(MID(Raw_Data!D488,FIND("/",Raw_Data!D488)+1,FIND("/",Raw_Data!D488,FIND("/",Raw_Data!D488)+1)-FIND("/",Raw_Data!D488)-1)),VALUE(LEFT(Raw_Data!D488,FIND("/",Raw_Data!D488)-1))),IF(ISNUMBER(VALUE(LEFT(Raw_Data!D488,4))),DATE(VALUE(LEFT(Raw_Data!D488,4)),VALUE(MID(Raw_Data!D488,6,2)),VALUE(MID(Raw_Data!D488,9,2))),DATEVALUE(Raw_Data!D488))),"")</f>
        <v>45323</v>
      </c>
      <c r="E488" s="12" t="n">
        <f aca="false">IFERROR(IF(ISNUMBER(SEARCH("/",Raw_Data!E488)),DATE(VALUE(RIGHT(Raw_Data!E488,4)),VALUE(MID(Raw_Data!E488,FIND("/",Raw_Data!E488)+1,FIND("/",Raw_Data!E488,FIND("/",Raw_Data!E488)+1)-FIND("/",Raw_Data!E488)-1)),VALUE(LEFT(Raw_Data!E488,FIND("/",Raw_Data!E488)-1))),IF(ISNUMBER(VALUE(LEFT(Raw_Data!E488,4))),DATE(VALUE(LEFT(Raw_Data!E488,4)),VALUE(MID(Raw_Data!E488,6,2)),VALUE(MID(Raw_Data!E488,9,2))),DATEVALUE(Raw_Data!E488))),"")</f>
        <v>45335</v>
      </c>
      <c r="F488" s="11" t="str">
        <f aca="false">Raw_Data!F488</f>
        <v>Male 35-44</v>
      </c>
      <c r="G488" s="11" t="str">
        <f aca="false">IF(TRIM(Raw_Data!G488)="","Unspecified",IFERROR(INDEX(Lookup_Tables!$F$2:$F$24,MATCH(UPPER(TRIM(Raw_Data!G488)),Lookup_Tables!$G$2:$G$24,0)),"Unknown"))</f>
        <v>North</v>
      </c>
      <c r="H488" s="11" t="n">
        <f aca="false">IF(Raw_Data!H488="",ROUND(AVERAGEIFS(Raw_Data!$H$2:$H$839,Raw_Data!$C$2:$C$839,Raw_Data!C488),2),Raw_Data!H488)</f>
        <v>11791.42</v>
      </c>
      <c r="I488" s="11" t="n">
        <f aca="false">Raw_Data!I488</f>
        <v>456327</v>
      </c>
      <c r="J488" s="11" t="n">
        <f aca="false">IF(Raw_Data!J488&lt;0,ABS(Raw_Data!J488),Raw_Data!J488)</f>
        <v>14661</v>
      </c>
      <c r="K488" s="11" t="n">
        <f aca="false">Raw_Data!K488</f>
        <v>868</v>
      </c>
      <c r="L488" s="11" t="n">
        <f aca="false">IF(Raw_Data!L488="",ROUND(AVERAGEIFS(Raw_Data!$L$2:$L$839,Raw_Data!$C$2:$C$839,Raw_Data!C488),2),Raw_Data!L488)</f>
        <v>956998.6</v>
      </c>
      <c r="M488" s="13" t="n">
        <f aca="false">IFERROR(J488/I488,0)</f>
        <v>0.0321282764333471</v>
      </c>
      <c r="N488" s="14" t="n">
        <f aca="false">IFERROR(H488/J488,0)</f>
        <v>0.804271195689244</v>
      </c>
      <c r="O488" s="14" t="n">
        <f aca="false">IFERROR(H488/K488,0)</f>
        <v>13.5845852534562</v>
      </c>
      <c r="P488" s="15" t="n">
        <f aca="false">IFERROR(L488/H488,0)</f>
        <v>81.1605896490838</v>
      </c>
      <c r="Q488" s="13" t="n">
        <f aca="false">IFERROR(K488/J488,0)</f>
        <v>0.0592046927221881</v>
      </c>
      <c r="R488" s="11" t="str">
        <f aca="false">IF(COUNTIF($A$2:A488,A488)&gt;1,"Duplicate - Remove","Unique")</f>
        <v>Unique</v>
      </c>
      <c r="S488" s="11" t="str">
        <f aca="false">TRIM(IF(Raw_Data!G488="","Region missing; ","")&amp;IF(Raw_Data!H488="","Spend imputed; ","")&amp;IF(Raw_Data!L488="","Revenue imputed; ","")&amp;IF(Raw_Data!J488&lt;0,"Clicks corrected; ",""))</f>
        <v>Revenue imputed;</v>
      </c>
    </row>
    <row r="489" customFormat="false" ht="15" hidden="false" customHeight="true" outlineLevel="0" collapsed="false">
      <c r="A489" s="11" t="n">
        <f aca="false">Raw_Data!A489</f>
        <v>1601</v>
      </c>
      <c r="B489" s="11" t="str">
        <f aca="false">PROPER(TRIM(Raw_Data!B489))</f>
        <v>Wedding Season Special</v>
      </c>
      <c r="C489" s="11" t="str">
        <f aca="false">IFERROR(INDEX(Lookup_Tables!$B$2:$B$26,MATCH(UPPER(TRIM(Raw_Data!C489)),Lookup_Tables!$C$2:$C$26,0)),"Unknown")</f>
        <v>Google Ads</v>
      </c>
      <c r="D489" s="12" t="n">
        <f aca="false">IFERROR(IF(ISNUMBER(SEARCH("/",Raw_Data!D489)),DATE(VALUE(RIGHT(Raw_Data!D489,4)),VALUE(MID(Raw_Data!D489,FIND("/",Raw_Data!D489)+1,FIND("/",Raw_Data!D489,FIND("/",Raw_Data!D489)+1)-FIND("/",Raw_Data!D489)-1)),VALUE(LEFT(Raw_Data!D489,FIND("/",Raw_Data!D489)-1))),IF(ISNUMBER(VALUE(LEFT(Raw_Data!D489,4))),DATE(VALUE(LEFT(Raw_Data!D489,4)),VALUE(MID(Raw_Data!D489,6,2)),VALUE(MID(Raw_Data!D489,9,2))),DATEVALUE(Raw_Data!D489))),"")</f>
        <v>45591</v>
      </c>
      <c r="E489" s="12" t="n">
        <f aca="false">IFERROR(IF(ISNUMBER(SEARCH("/",Raw_Data!E489)),DATE(VALUE(RIGHT(Raw_Data!E489,4)),VALUE(MID(Raw_Data!E489,FIND("/",Raw_Data!E489)+1,FIND("/",Raw_Data!E489,FIND("/",Raw_Data!E489)+1)-FIND("/",Raw_Data!E489)-1)),VALUE(LEFT(Raw_Data!E489,FIND("/",Raw_Data!E489)-1))),IF(ISNUMBER(VALUE(LEFT(Raw_Data!E489,4))),DATE(VALUE(LEFT(Raw_Data!E489,4)),VALUE(MID(Raw_Data!E489,6,2)),VALUE(MID(Raw_Data!E489,9,2))),DATEVALUE(Raw_Data!E489))),"")</f>
        <v>45619</v>
      </c>
      <c r="F489" s="11" t="str">
        <f aca="false">Raw_Data!F489</f>
        <v>Female 45+</v>
      </c>
      <c r="G489" s="11" t="str">
        <f aca="false">IF(TRIM(Raw_Data!G489)="","Unspecified",IFERROR(INDEX(Lookup_Tables!$F$2:$F$24,MATCH(UPPER(TRIM(Raw_Data!G489)),Lookup_Tables!$G$2:$G$24,0)),"Unknown"))</f>
        <v>South</v>
      </c>
      <c r="H489" s="11" t="n">
        <f aca="false">IF(Raw_Data!H489="",ROUND(AVERAGEIFS(Raw_Data!$H$2:$H$839,Raw_Data!$C$2:$C$839,Raw_Data!C489),2),Raw_Data!H489)</f>
        <v>35709.24</v>
      </c>
      <c r="I489" s="11" t="n">
        <f aca="false">Raw_Data!I489</f>
        <v>1220353</v>
      </c>
      <c r="J489" s="11" t="n">
        <f aca="false">IF(Raw_Data!J489&lt;0,ABS(Raw_Data!J489),Raw_Data!J489)</f>
        <v>40307</v>
      </c>
      <c r="K489" s="11" t="n">
        <f aca="false">Raw_Data!K489</f>
        <v>1986</v>
      </c>
      <c r="L489" s="11" t="n">
        <f aca="false">IF(Raw_Data!L489="",ROUND(AVERAGEIFS(Raw_Data!$L$2:$L$839,Raw_Data!$C$2:$C$839,Raw_Data!C489),2),Raw_Data!L489)</f>
        <v>2542713.66</v>
      </c>
      <c r="M489" s="13" t="n">
        <f aca="false">IFERROR(J489/I489,0)</f>
        <v>0.0330289678478276</v>
      </c>
      <c r="N489" s="14" t="n">
        <f aca="false">IFERROR(H489/J489,0)</f>
        <v>0.885931475922296</v>
      </c>
      <c r="O489" s="14" t="n">
        <f aca="false">IFERROR(H489/K489,0)</f>
        <v>17.9804833836858</v>
      </c>
      <c r="P489" s="15" t="n">
        <f aca="false">IFERROR(L489/H489,0)</f>
        <v>71.2060424696801</v>
      </c>
      <c r="Q489" s="13" t="n">
        <f aca="false">IFERROR(K489/J489,0)</f>
        <v>0.0492718386384499</v>
      </c>
      <c r="R489" s="11" t="str">
        <f aca="false">IF(COUNTIF($A$2:A489,A489)&gt;1,"Duplicate - Remove","Unique")</f>
        <v>Unique</v>
      </c>
      <c r="S489" s="11" t="str">
        <f aca="false">TRIM(IF(Raw_Data!G489="","Region missing; ","")&amp;IF(Raw_Data!H489="","Spend imputed; ","")&amp;IF(Raw_Data!L489="","Revenue imputed; ","")&amp;IF(Raw_Data!J489&lt;0,"Clicks corrected; ",""))</f>
        <v/>
      </c>
    </row>
    <row r="490" customFormat="false" ht="15" hidden="false" customHeight="true" outlineLevel="0" collapsed="false">
      <c r="A490" s="11" t="n">
        <f aca="false">Raw_Data!A490</f>
        <v>1188</v>
      </c>
      <c r="B490" s="11" t="str">
        <f aca="false">PROPER(TRIM(Raw_Data!B490))</f>
        <v>Influencer Collab - Skincare</v>
      </c>
      <c r="C490" s="11" t="str">
        <f aca="false">IFERROR(INDEX(Lookup_Tables!$B$2:$B$26,MATCH(UPPER(TRIM(Raw_Data!C490)),Lookup_Tables!$C$2:$C$26,0)),"Unknown")</f>
        <v>Facebook</v>
      </c>
      <c r="D490" s="12" t="n">
        <f aca="false">IFERROR(IF(ISNUMBER(SEARCH("/",Raw_Data!D490)),DATE(VALUE(RIGHT(Raw_Data!D490,4)),VALUE(MID(Raw_Data!D490,FIND("/",Raw_Data!D490)+1,FIND("/",Raw_Data!D490,FIND("/",Raw_Data!D490)+1)-FIND("/",Raw_Data!D490)-1)),VALUE(LEFT(Raw_Data!D490,FIND("/",Raw_Data!D490)-1))),IF(ISNUMBER(VALUE(LEFT(Raw_Data!D490,4))),DATE(VALUE(LEFT(Raw_Data!D490,4)),VALUE(MID(Raw_Data!D490,6,2)),VALUE(MID(Raw_Data!D490,9,2))),DATEVALUE(Raw_Data!D490))),"")</f>
        <v>45498</v>
      </c>
      <c r="E490" s="12" t="n">
        <f aca="false">IFERROR(IF(ISNUMBER(SEARCH("/",Raw_Data!E490)),DATE(VALUE(RIGHT(Raw_Data!E490,4)),VALUE(MID(Raw_Data!E490,FIND("/",Raw_Data!E490)+1,FIND("/",Raw_Data!E490,FIND("/",Raw_Data!E490)+1)-FIND("/",Raw_Data!E490)-1)),VALUE(LEFT(Raw_Data!E490,FIND("/",Raw_Data!E490)-1))),IF(ISNUMBER(VALUE(LEFT(Raw_Data!E490,4))),DATE(VALUE(LEFT(Raw_Data!E490,4)),VALUE(MID(Raw_Data!E490,6,2)),VALUE(MID(Raw_Data!E490,9,2))),DATEVALUE(Raw_Data!E490))),"")</f>
        <v>45516</v>
      </c>
      <c r="F490" s="11" t="str">
        <f aca="false">Raw_Data!F490</f>
        <v>Female 45+</v>
      </c>
      <c r="G490" s="11" t="str">
        <f aca="false">IF(TRIM(Raw_Data!G490)="","Unspecified",IFERROR(INDEX(Lookup_Tables!$F$2:$F$24,MATCH(UPPER(TRIM(Raw_Data!G490)),Lookup_Tables!$G$2:$G$24,0)),"Unknown"))</f>
        <v>North</v>
      </c>
      <c r="H490" s="11" t="n">
        <f aca="false">IF(Raw_Data!H490="",ROUND(AVERAGEIFS(Raw_Data!$H$2:$H$839,Raw_Data!$C$2:$C$839,Raw_Data!C490),2),Raw_Data!H490)</f>
        <v>22865.92</v>
      </c>
      <c r="I490" s="11" t="n">
        <f aca="false">Raw_Data!I490</f>
        <v>364554</v>
      </c>
      <c r="J490" s="11" t="n">
        <f aca="false">IF(Raw_Data!J490&lt;0,ABS(Raw_Data!J490),Raw_Data!J490)</f>
        <v>4003</v>
      </c>
      <c r="K490" s="11" t="n">
        <f aca="false">Raw_Data!K490</f>
        <v>144</v>
      </c>
      <c r="L490" s="11" t="n">
        <f aca="false">IF(Raw_Data!L490="",ROUND(AVERAGEIFS(Raw_Data!$L$2:$L$839,Raw_Data!$C$2:$C$839,Raw_Data!C490),2),Raw_Data!L490)</f>
        <v>53339.3</v>
      </c>
      <c r="M490" s="13" t="n">
        <f aca="false">IFERROR(J490/I490,0)</f>
        <v>0.0109805406057813</v>
      </c>
      <c r="N490" s="14" t="n">
        <f aca="false">IFERROR(H490/J490,0)</f>
        <v>5.71219585311017</v>
      </c>
      <c r="O490" s="14" t="n">
        <f aca="false">IFERROR(H490/K490,0)</f>
        <v>158.791111111111</v>
      </c>
      <c r="P490" s="15" t="n">
        <f aca="false">IFERROR(L490/H490,0)</f>
        <v>2.33269861873041</v>
      </c>
      <c r="Q490" s="13" t="n">
        <f aca="false">IFERROR(K490/J490,0)</f>
        <v>0.0359730202348239</v>
      </c>
      <c r="R490" s="11" t="str">
        <f aca="false">IF(COUNTIF($A$2:A490,A490)&gt;1,"Duplicate - Remove","Unique")</f>
        <v>Unique</v>
      </c>
      <c r="S490" s="11" t="str">
        <f aca="false">TRIM(IF(Raw_Data!G490="","Region missing; ","")&amp;IF(Raw_Data!H490="","Spend imputed; ","")&amp;IF(Raw_Data!L490="","Revenue imputed; ","")&amp;IF(Raw_Data!J490&lt;0,"Clicks corrected; ",""))</f>
        <v/>
      </c>
    </row>
    <row r="491" customFormat="false" ht="15" hidden="false" customHeight="true" outlineLevel="0" collapsed="false">
      <c r="A491" s="11" t="n">
        <f aca="false">Raw_Data!A491</f>
        <v>1555</v>
      </c>
      <c r="B491" s="11" t="str">
        <f aca="false">PROPER(TRIM(Raw_Data!B491))</f>
        <v>Back To College Offer</v>
      </c>
      <c r="C491" s="11" t="str">
        <f aca="false">IFERROR(INDEX(Lookup_Tables!$B$2:$B$26,MATCH(UPPER(TRIM(Raw_Data!C491)),Lookup_Tables!$C$2:$C$26,0)),"Unknown")</f>
        <v>Google Ads</v>
      </c>
      <c r="D491" s="12" t="n">
        <f aca="false">IFERROR(IF(ISNUMBER(SEARCH("/",Raw_Data!D491)),DATE(VALUE(RIGHT(Raw_Data!D491,4)),VALUE(MID(Raw_Data!D491,FIND("/",Raw_Data!D491)+1,FIND("/",Raw_Data!D491,FIND("/",Raw_Data!D491)+1)-FIND("/",Raw_Data!D491)-1)),VALUE(LEFT(Raw_Data!D491,FIND("/",Raw_Data!D491)-1))),IF(ISNUMBER(VALUE(LEFT(Raw_Data!D491,4))),DATE(VALUE(LEFT(Raw_Data!D491,4)),VALUE(MID(Raw_Data!D491,6,2)),VALUE(MID(Raw_Data!D491,9,2))),DATEVALUE(Raw_Data!D491))),"")</f>
        <v>45627</v>
      </c>
      <c r="E491" s="12" t="n">
        <f aca="false">IFERROR(IF(ISNUMBER(SEARCH("/",Raw_Data!E491)),DATE(VALUE(RIGHT(Raw_Data!E491,4)),VALUE(MID(Raw_Data!E491,FIND("/",Raw_Data!E491)+1,FIND("/",Raw_Data!E491,FIND("/",Raw_Data!E491)+1)-FIND("/",Raw_Data!E491)-1)),VALUE(LEFT(Raw_Data!E491,FIND("/",Raw_Data!E491)-1))),IF(ISNUMBER(VALUE(LEFT(Raw_Data!E491,4))),DATE(VALUE(LEFT(Raw_Data!E491,4)),VALUE(MID(Raw_Data!E491,6,2)),VALUE(MID(Raw_Data!E491,9,2))),DATEVALUE(Raw_Data!E491))),"")</f>
        <v>45636</v>
      </c>
      <c r="F491" s="11" t="str">
        <f aca="false">Raw_Data!F491</f>
        <v>Female 35-44</v>
      </c>
      <c r="G491" s="11" t="str">
        <f aca="false">IF(TRIM(Raw_Data!G491)="","Unspecified",IFERROR(INDEX(Lookup_Tables!$F$2:$F$24,MATCH(UPPER(TRIM(Raw_Data!G491)),Lookup_Tables!$G$2:$G$24,0)),"Unknown"))</f>
        <v>Central</v>
      </c>
      <c r="H491" s="11" t="n">
        <f aca="false">IF(Raw_Data!H491="",ROUND(AVERAGEIFS(Raw_Data!$H$2:$H$839,Raw_Data!$C$2:$C$839,Raw_Data!C491),2),Raw_Data!H491)</f>
        <v>55915.34</v>
      </c>
      <c r="I491" s="11" t="n">
        <f aca="false">Raw_Data!I491</f>
        <v>1625945</v>
      </c>
      <c r="J491" s="11" t="n">
        <f aca="false">IF(Raw_Data!J491&lt;0,ABS(Raw_Data!J491),Raw_Data!J491)</f>
        <v>30542</v>
      </c>
      <c r="K491" s="11" t="n">
        <f aca="false">Raw_Data!K491</f>
        <v>2141</v>
      </c>
      <c r="L491" s="11" t="n">
        <f aca="false">IF(Raw_Data!L491="",ROUND(AVERAGEIFS(Raw_Data!$L$2:$L$839,Raw_Data!$C$2:$C$839,Raw_Data!C491),2),Raw_Data!L491)</f>
        <v>1184095</v>
      </c>
      <c r="M491" s="13" t="n">
        <f aca="false">IFERROR(J491/I491,0)</f>
        <v>0.0187841532155147</v>
      </c>
      <c r="N491" s="14" t="n">
        <f aca="false">IFERROR(H491/J491,0)</f>
        <v>1.83076877742126</v>
      </c>
      <c r="O491" s="14" t="n">
        <f aca="false">IFERROR(H491/K491,0)</f>
        <v>26.1164595983185</v>
      </c>
      <c r="P491" s="15" t="n">
        <f aca="false">IFERROR(L491/H491,0)</f>
        <v>21.1765680044153</v>
      </c>
      <c r="Q491" s="13" t="n">
        <f aca="false">IFERROR(K491/J491,0)</f>
        <v>0.0701001899024294</v>
      </c>
      <c r="R491" s="11" t="str">
        <f aca="false">IF(COUNTIF($A$2:A491,A491)&gt;1,"Duplicate - Remove","Unique")</f>
        <v>Unique</v>
      </c>
      <c r="S491" s="11" t="str">
        <f aca="false">TRIM(IF(Raw_Data!G491="","Region missing; ","")&amp;IF(Raw_Data!H491="","Spend imputed; ","")&amp;IF(Raw_Data!L491="","Revenue imputed; ","")&amp;IF(Raw_Data!J491&lt;0,"Clicks corrected; ",""))</f>
        <v/>
      </c>
    </row>
    <row r="492" customFormat="false" ht="15" hidden="false" customHeight="true" outlineLevel="0" collapsed="false">
      <c r="A492" s="11" t="n">
        <f aca="false">Raw_Data!A492</f>
        <v>1673</v>
      </c>
      <c r="B492" s="11" t="str">
        <f aca="false">PROPER(TRIM(Raw_Data!B492))</f>
        <v>Summer Glow Launch</v>
      </c>
      <c r="C492" s="11" t="str">
        <f aca="false">IFERROR(INDEX(Lookup_Tables!$B$2:$B$26,MATCH(UPPER(TRIM(Raw_Data!C492)),Lookup_Tables!$C$2:$C$26,0)),"Unknown")</f>
        <v>Email</v>
      </c>
      <c r="D492" s="12" t="n">
        <f aca="false">IFERROR(IF(ISNUMBER(SEARCH("/",Raw_Data!D492)),DATE(VALUE(RIGHT(Raw_Data!D492,4)),VALUE(MID(Raw_Data!D492,FIND("/",Raw_Data!D492)+1,FIND("/",Raw_Data!D492,FIND("/",Raw_Data!D492)+1)-FIND("/",Raw_Data!D492)-1)),VALUE(LEFT(Raw_Data!D492,FIND("/",Raw_Data!D492)-1))),IF(ISNUMBER(VALUE(LEFT(Raw_Data!D492,4))),DATE(VALUE(LEFT(Raw_Data!D492,4)),VALUE(MID(Raw_Data!D492,6,2)),VALUE(MID(Raw_Data!D492,9,2))),DATEVALUE(Raw_Data!D492))),"")</f>
        <v>45506</v>
      </c>
      <c r="E492" s="12" t="n">
        <f aca="false">IFERROR(IF(ISNUMBER(SEARCH("/",Raw_Data!E492)),DATE(VALUE(RIGHT(Raw_Data!E492,4)),VALUE(MID(Raw_Data!E492,FIND("/",Raw_Data!E492)+1,FIND("/",Raw_Data!E492,FIND("/",Raw_Data!E492)+1)-FIND("/",Raw_Data!E492)-1)),VALUE(LEFT(Raw_Data!E492,FIND("/",Raw_Data!E492)-1))),IF(ISNUMBER(VALUE(LEFT(Raw_Data!E492,4))),DATE(VALUE(LEFT(Raw_Data!E492,4)),VALUE(MID(Raw_Data!E492,6,2)),VALUE(MID(Raw_Data!E492,9,2))),DATEVALUE(Raw_Data!E492))),"")</f>
        <v>45532</v>
      </c>
      <c r="F492" s="11" t="str">
        <f aca="false">Raw_Data!F492</f>
        <v>Male 35-44</v>
      </c>
      <c r="G492" s="11" t="str">
        <f aca="false">IF(TRIM(Raw_Data!G492)="","Unspecified",IFERROR(INDEX(Lookup_Tables!$F$2:$F$24,MATCH(UPPER(TRIM(Raw_Data!G492)),Lookup_Tables!$G$2:$G$24,0)),"Unknown"))</f>
        <v>East</v>
      </c>
      <c r="H492" s="11" t="n">
        <f aca="false">IF(Raw_Data!H492="",ROUND(AVERAGEIFS(Raw_Data!$H$2:$H$839,Raw_Data!$C$2:$C$839,Raw_Data!C492),2),Raw_Data!H492)</f>
        <v>7881.61</v>
      </c>
      <c r="I492" s="11" t="n">
        <f aca="false">Raw_Data!I492</f>
        <v>134596</v>
      </c>
      <c r="J492" s="11" t="n">
        <f aca="false">IF(Raw_Data!J492&lt;0,ABS(Raw_Data!J492),Raw_Data!J492)</f>
        <v>1081</v>
      </c>
      <c r="K492" s="11" t="n">
        <f aca="false">Raw_Data!K492</f>
        <v>71</v>
      </c>
      <c r="L492" s="11" t="n">
        <f aca="false">IF(Raw_Data!L492="",ROUND(AVERAGEIFS(Raw_Data!$L$2:$L$839,Raw_Data!$C$2:$C$839,Raw_Data!C492),2),Raw_Data!L492)</f>
        <v>49840.52</v>
      </c>
      <c r="M492" s="13" t="n">
        <f aca="false">IFERROR(J492/I492,0)</f>
        <v>0.00803144224196856</v>
      </c>
      <c r="N492" s="14" t="n">
        <f aca="false">IFERROR(H492/J492,0)</f>
        <v>7.29103607770583</v>
      </c>
      <c r="O492" s="14" t="n">
        <f aca="false">IFERROR(H492/K492,0)</f>
        <v>111.008591549296</v>
      </c>
      <c r="P492" s="15" t="n">
        <f aca="false">IFERROR(L492/H492,0)</f>
        <v>6.32364707210836</v>
      </c>
      <c r="Q492" s="13" t="n">
        <f aca="false">IFERROR(K492/J492,0)</f>
        <v>0.0656799259944496</v>
      </c>
      <c r="R492" s="11" t="str">
        <f aca="false">IF(COUNTIF($A$2:A492,A492)&gt;1,"Duplicate - Remove","Unique")</f>
        <v>Unique</v>
      </c>
      <c r="S492" s="11" t="str">
        <f aca="false">TRIM(IF(Raw_Data!G492="","Region missing; ","")&amp;IF(Raw_Data!H492="","Spend imputed; ","")&amp;IF(Raw_Data!L492="","Revenue imputed; ","")&amp;IF(Raw_Data!J492&lt;0,"Clicks corrected; ",""))</f>
        <v/>
      </c>
    </row>
    <row r="493" customFormat="false" ht="15" hidden="false" customHeight="true" outlineLevel="0" collapsed="false">
      <c r="A493" s="11" t="n">
        <f aca="false">Raw_Data!A493</f>
        <v>1653</v>
      </c>
      <c r="B493" s="11" t="str">
        <f aca="false">PROPER(TRIM(Raw_Data!B493))</f>
        <v>Baby Care Trust Campaign</v>
      </c>
      <c r="C493" s="11" t="str">
        <f aca="false">IFERROR(INDEX(Lookup_Tables!$B$2:$B$26,MATCH(UPPER(TRIM(Raw_Data!C493)),Lookup_Tables!$C$2:$C$26,0)),"Unknown")</f>
        <v>Instagram</v>
      </c>
      <c r="D493" s="12" t="n">
        <f aca="false">IFERROR(IF(ISNUMBER(SEARCH("/",Raw_Data!D493)),DATE(VALUE(RIGHT(Raw_Data!D493,4)),VALUE(MID(Raw_Data!D493,FIND("/",Raw_Data!D493)+1,FIND("/",Raw_Data!D493,FIND("/",Raw_Data!D493)+1)-FIND("/",Raw_Data!D493)-1)),VALUE(LEFT(Raw_Data!D493,FIND("/",Raw_Data!D493)-1))),IF(ISNUMBER(VALUE(LEFT(Raw_Data!D493,4))),DATE(VALUE(LEFT(Raw_Data!D493,4)),VALUE(MID(Raw_Data!D493,6,2)),VALUE(MID(Raw_Data!D493,9,2))),DATEVALUE(Raw_Data!D493))),"")</f>
        <v>45585</v>
      </c>
      <c r="E493" s="12" t="n">
        <f aca="false">IFERROR(IF(ISNUMBER(SEARCH("/",Raw_Data!E493)),DATE(VALUE(RIGHT(Raw_Data!E493,4)),VALUE(MID(Raw_Data!E493,FIND("/",Raw_Data!E493)+1,FIND("/",Raw_Data!E493,FIND("/",Raw_Data!E493)+1)-FIND("/",Raw_Data!E493)-1)),VALUE(LEFT(Raw_Data!E493,FIND("/",Raw_Data!E493)-1))),IF(ISNUMBER(VALUE(LEFT(Raw_Data!E493,4))),DATE(VALUE(LEFT(Raw_Data!E493,4)),VALUE(MID(Raw_Data!E493,6,2)),VALUE(MID(Raw_Data!E493,9,2))),DATEVALUE(Raw_Data!E493))),"")</f>
        <v>45604</v>
      </c>
      <c r="F493" s="11" t="str">
        <f aca="false">Raw_Data!F493</f>
        <v>Female 25-34</v>
      </c>
      <c r="G493" s="11" t="str">
        <f aca="false">IF(TRIM(Raw_Data!G493)="","Unspecified",IFERROR(INDEX(Lookup_Tables!$F$2:$F$24,MATCH(UPPER(TRIM(Raw_Data!G493)),Lookup_Tables!$G$2:$G$24,0)),"Unknown"))</f>
        <v>North</v>
      </c>
      <c r="H493" s="11" t="n">
        <f aca="false">IF(Raw_Data!H493="",ROUND(AVERAGEIFS(Raw_Data!$H$2:$H$839,Raw_Data!$C$2:$C$839,Raw_Data!C493),2),Raw_Data!H493)</f>
        <v>41809.05</v>
      </c>
      <c r="I493" s="11" t="n">
        <f aca="false">Raw_Data!I493</f>
        <v>826656</v>
      </c>
      <c r="J493" s="11" t="n">
        <f aca="false">IF(Raw_Data!J493&lt;0,ABS(Raw_Data!J493),Raw_Data!J493)</f>
        <v>5945</v>
      </c>
      <c r="K493" s="11" t="n">
        <f aca="false">Raw_Data!K493</f>
        <v>344</v>
      </c>
      <c r="L493" s="11" t="n">
        <f aca="false">IF(Raw_Data!L493="",ROUND(AVERAGEIFS(Raw_Data!$L$2:$L$839,Raw_Data!$C$2:$C$839,Raw_Data!C493),2),Raw_Data!L493)</f>
        <v>528296.58</v>
      </c>
      <c r="M493" s="13" t="n">
        <f aca="false">IFERROR(J493/I493,0)</f>
        <v>0.00719162505322649</v>
      </c>
      <c r="N493" s="14" t="n">
        <f aca="false">IFERROR(H493/J493,0)</f>
        <v>7.03264087468461</v>
      </c>
      <c r="O493" s="14" t="n">
        <f aca="false">IFERROR(H493/K493,0)</f>
        <v>121.537936046512</v>
      </c>
      <c r="P493" s="15" t="n">
        <f aca="false">IFERROR(L493/H493,0)</f>
        <v>12.6359383913291</v>
      </c>
      <c r="Q493" s="13" t="n">
        <f aca="false">IFERROR(K493/J493,0)</f>
        <v>0.0578637510513036</v>
      </c>
      <c r="R493" s="11" t="str">
        <f aca="false">IF(COUNTIF($A$2:A493,A493)&gt;1,"Duplicate - Remove","Unique")</f>
        <v>Duplicate - Remove</v>
      </c>
      <c r="S493" s="11" t="str">
        <f aca="false">TRIM(IF(Raw_Data!G493="","Region missing; ","")&amp;IF(Raw_Data!H493="","Spend imputed; ","")&amp;IF(Raw_Data!L493="","Revenue imputed; ","")&amp;IF(Raw_Data!J493&lt;0,"Clicks corrected; ",""))</f>
        <v/>
      </c>
    </row>
    <row r="494" customFormat="false" ht="15" hidden="false" customHeight="true" outlineLevel="0" collapsed="false">
      <c r="A494" s="11" t="n">
        <f aca="false">Raw_Data!A494</f>
        <v>1639</v>
      </c>
      <c r="B494" s="11" t="str">
        <f aca="false">PROPER(TRIM(Raw_Data!B494))</f>
        <v>Baby Care Trust Campaign</v>
      </c>
      <c r="C494" s="11" t="str">
        <f aca="false">IFERROR(INDEX(Lookup_Tables!$B$2:$B$26,MATCH(UPPER(TRIM(Raw_Data!C494)),Lookup_Tables!$C$2:$C$26,0)),"Unknown")</f>
        <v>Email</v>
      </c>
      <c r="D494" s="12" t="n">
        <f aca="false">IFERROR(IF(ISNUMBER(SEARCH("/",Raw_Data!D494)),DATE(VALUE(RIGHT(Raw_Data!D494,4)),VALUE(MID(Raw_Data!D494,FIND("/",Raw_Data!D494)+1,FIND("/",Raw_Data!D494,FIND("/",Raw_Data!D494)+1)-FIND("/",Raw_Data!D494)-1)),VALUE(LEFT(Raw_Data!D494,FIND("/",Raw_Data!D494)-1))),IF(ISNUMBER(VALUE(LEFT(Raw_Data!D494,4))),DATE(VALUE(LEFT(Raw_Data!D494,4)),VALUE(MID(Raw_Data!D494,6,2)),VALUE(MID(Raw_Data!D494,9,2))),DATEVALUE(Raw_Data!D494))),"")</f>
        <v>45559</v>
      </c>
      <c r="E494" s="12" t="n">
        <f aca="false">IFERROR(IF(ISNUMBER(SEARCH("/",Raw_Data!E494)),DATE(VALUE(RIGHT(Raw_Data!E494,4)),VALUE(MID(Raw_Data!E494,FIND("/",Raw_Data!E494)+1,FIND("/",Raw_Data!E494,FIND("/",Raw_Data!E494)+1)-FIND("/",Raw_Data!E494)-1)),VALUE(LEFT(Raw_Data!E494,FIND("/",Raw_Data!E494)-1))),IF(ISNUMBER(VALUE(LEFT(Raw_Data!E494,4))),DATE(VALUE(LEFT(Raw_Data!E494,4)),VALUE(MID(Raw_Data!E494,6,2)),VALUE(MID(Raw_Data!E494,9,2))),DATEVALUE(Raw_Data!E494))),"")</f>
        <v>45575</v>
      </c>
      <c r="F494" s="11" t="str">
        <f aca="false">Raw_Data!F494</f>
        <v>Male 35-44</v>
      </c>
      <c r="G494" s="11" t="str">
        <f aca="false">IF(TRIM(Raw_Data!G494)="","Unspecified",IFERROR(INDEX(Lookup_Tables!$F$2:$F$24,MATCH(UPPER(TRIM(Raw_Data!G494)),Lookup_Tables!$G$2:$G$24,0)),"Unknown"))</f>
        <v>South</v>
      </c>
      <c r="H494" s="11" t="n">
        <f aca="false">IF(Raw_Data!H494="",ROUND(AVERAGEIFS(Raw_Data!$H$2:$H$839,Raw_Data!$C$2:$C$839,Raw_Data!C494),2),Raw_Data!H494)</f>
        <v>4466.26</v>
      </c>
      <c r="I494" s="11" t="n">
        <f aca="false">Raw_Data!I494</f>
        <v>191487</v>
      </c>
      <c r="J494" s="11" t="n">
        <f aca="false">IF(Raw_Data!J494&lt;0,ABS(Raw_Data!J494),Raw_Data!J494)</f>
        <v>1928</v>
      </c>
      <c r="K494" s="11" t="n">
        <f aca="false">Raw_Data!K494</f>
        <v>90</v>
      </c>
      <c r="L494" s="11" t="n">
        <f aca="false">IF(Raw_Data!L494="",ROUND(AVERAGEIFS(Raw_Data!$L$2:$L$839,Raw_Data!$C$2:$C$839,Raw_Data!C494),2),Raw_Data!L494)</f>
        <v>54388.05</v>
      </c>
      <c r="M494" s="13" t="n">
        <f aca="false">IFERROR(J494/I494,0)</f>
        <v>0.0100685686234575</v>
      </c>
      <c r="N494" s="14" t="n">
        <f aca="false">IFERROR(H494/J494,0)</f>
        <v>2.31652489626556</v>
      </c>
      <c r="O494" s="14" t="n">
        <f aca="false">IFERROR(H494/K494,0)</f>
        <v>49.6251111111111</v>
      </c>
      <c r="P494" s="15" t="n">
        <f aca="false">IFERROR(L494/H494,0)</f>
        <v>12.1775378056808</v>
      </c>
      <c r="Q494" s="13" t="n">
        <f aca="false">IFERROR(K494/J494,0)</f>
        <v>0.0466804979253112</v>
      </c>
      <c r="R494" s="11" t="str">
        <f aca="false">IF(COUNTIF($A$2:A494,A494)&gt;1,"Duplicate - Remove","Unique")</f>
        <v>Unique</v>
      </c>
      <c r="S494" s="11" t="str">
        <f aca="false">TRIM(IF(Raw_Data!G494="","Region missing; ","")&amp;IF(Raw_Data!H494="","Spend imputed; ","")&amp;IF(Raw_Data!L494="","Revenue imputed; ","")&amp;IF(Raw_Data!J494&lt;0,"Clicks corrected; ",""))</f>
        <v>Spend imputed;</v>
      </c>
    </row>
    <row r="495" customFormat="false" ht="15" hidden="false" customHeight="true" outlineLevel="0" collapsed="false">
      <c r="A495" s="11" t="n">
        <f aca="false">Raw_Data!A495</f>
        <v>1209</v>
      </c>
      <c r="B495" s="11" t="str">
        <f aca="false">PROPER(TRIM(Raw_Data!B495))</f>
        <v>Hair Care Revamp</v>
      </c>
      <c r="C495" s="11" t="str">
        <f aca="false">IFERROR(INDEX(Lookup_Tables!$B$2:$B$26,MATCH(UPPER(TRIM(Raw_Data!C495)),Lookup_Tables!$C$2:$C$26,0)),"Unknown")</f>
        <v>Email</v>
      </c>
      <c r="D495" s="12" t="n">
        <f aca="false">IFERROR(IF(ISNUMBER(SEARCH("/",Raw_Data!D495)),DATE(VALUE(RIGHT(Raw_Data!D495,4)),VALUE(MID(Raw_Data!D495,FIND("/",Raw_Data!D495)+1,FIND("/",Raw_Data!D495,FIND("/",Raw_Data!D495)+1)-FIND("/",Raw_Data!D495)-1)),VALUE(LEFT(Raw_Data!D495,FIND("/",Raw_Data!D495)-1))),IF(ISNUMBER(VALUE(LEFT(Raw_Data!D495,4))),DATE(VALUE(LEFT(Raw_Data!D495,4)),VALUE(MID(Raw_Data!D495,6,2)),VALUE(MID(Raw_Data!D495,9,2))),DATEVALUE(Raw_Data!D495))),"")</f>
        <v>45558</v>
      </c>
      <c r="E495" s="12" t="n">
        <f aca="false">IFERROR(IF(ISNUMBER(SEARCH("/",Raw_Data!E495)),DATE(VALUE(RIGHT(Raw_Data!E495,4)),VALUE(MID(Raw_Data!E495,FIND("/",Raw_Data!E495)+1,FIND("/",Raw_Data!E495,FIND("/",Raw_Data!E495)+1)-FIND("/",Raw_Data!E495)-1)),VALUE(LEFT(Raw_Data!E495,FIND("/",Raw_Data!E495)-1))),IF(ISNUMBER(VALUE(LEFT(Raw_Data!E495,4))),DATE(VALUE(LEFT(Raw_Data!E495,4)),VALUE(MID(Raw_Data!E495,6,2)),VALUE(MID(Raw_Data!E495,9,2))),DATEVALUE(Raw_Data!E495))),"")</f>
        <v>45565</v>
      </c>
      <c r="F495" s="11" t="str">
        <f aca="false">Raw_Data!F495</f>
        <v>Female 35-44</v>
      </c>
      <c r="G495" s="11" t="str">
        <f aca="false">IF(TRIM(Raw_Data!G495)="","Unspecified",IFERROR(INDEX(Lookup_Tables!$F$2:$F$24,MATCH(UPPER(TRIM(Raw_Data!G495)),Lookup_Tables!$G$2:$G$24,0)),"Unknown"))</f>
        <v>East</v>
      </c>
      <c r="H495" s="11" t="n">
        <f aca="false">IF(Raw_Data!H495="",ROUND(AVERAGEIFS(Raw_Data!$H$2:$H$839,Raw_Data!$C$2:$C$839,Raw_Data!C495),2),Raw_Data!H495)</f>
        <v>2115.59</v>
      </c>
      <c r="I495" s="11" t="n">
        <f aca="false">Raw_Data!I495</f>
        <v>60457</v>
      </c>
      <c r="J495" s="11" t="n">
        <f aca="false">IF(Raw_Data!J495&lt;0,ABS(Raw_Data!J495),Raw_Data!J495)</f>
        <v>1033</v>
      </c>
      <c r="K495" s="11" t="n">
        <f aca="false">Raw_Data!K495</f>
        <v>35</v>
      </c>
      <c r="L495" s="11" t="n">
        <f aca="false">IF(Raw_Data!L495="",ROUND(AVERAGEIFS(Raw_Data!$L$2:$L$839,Raw_Data!$C$2:$C$839,Raw_Data!C495),2),Raw_Data!L495)</f>
        <v>57082.38</v>
      </c>
      <c r="M495" s="13" t="n">
        <f aca="false">IFERROR(J495/I495,0)</f>
        <v>0.0170865243065319</v>
      </c>
      <c r="N495" s="14" t="n">
        <f aca="false">IFERROR(H495/J495,0)</f>
        <v>2.04800580832527</v>
      </c>
      <c r="O495" s="14" t="n">
        <f aca="false">IFERROR(H495/K495,0)</f>
        <v>60.4454285714286</v>
      </c>
      <c r="P495" s="15" t="n">
        <f aca="false">IFERROR(L495/H495,0)</f>
        <v>26.981778132814</v>
      </c>
      <c r="Q495" s="13" t="n">
        <f aca="false">IFERROR(K495/J495,0)</f>
        <v>0.0338818973862536</v>
      </c>
      <c r="R495" s="11" t="str">
        <f aca="false">IF(COUNTIF($A$2:A495,A495)&gt;1,"Duplicate - Remove","Unique")</f>
        <v>Unique</v>
      </c>
      <c r="S495" s="11" t="str">
        <f aca="false">TRIM(IF(Raw_Data!G495="","Region missing; ","")&amp;IF(Raw_Data!H495="","Spend imputed; ","")&amp;IF(Raw_Data!L495="","Revenue imputed; ","")&amp;IF(Raw_Data!J495&lt;0,"Clicks corrected; ",""))</f>
        <v/>
      </c>
    </row>
    <row r="496" customFormat="false" ht="15" hidden="false" customHeight="true" outlineLevel="0" collapsed="false">
      <c r="A496" s="11" t="n">
        <f aca="false">Raw_Data!A496</f>
        <v>1816</v>
      </c>
      <c r="B496" s="11" t="str">
        <f aca="false">PROPER(TRIM(Raw_Data!B496))</f>
        <v>Herbal Range Awareness</v>
      </c>
      <c r="C496" s="11" t="str">
        <f aca="false">IFERROR(INDEX(Lookup_Tables!$B$2:$B$26,MATCH(UPPER(TRIM(Raw_Data!C496)),Lookup_Tables!$C$2:$C$26,0)),"Unknown")</f>
        <v>Instagram</v>
      </c>
      <c r="D496" s="12" t="n">
        <f aca="false">IFERROR(IF(ISNUMBER(SEARCH("/",Raw_Data!D496)),DATE(VALUE(RIGHT(Raw_Data!D496,4)),VALUE(MID(Raw_Data!D496,FIND("/",Raw_Data!D496)+1,FIND("/",Raw_Data!D496,FIND("/",Raw_Data!D496)+1)-FIND("/",Raw_Data!D496)-1)),VALUE(LEFT(Raw_Data!D496,FIND("/",Raw_Data!D496)-1))),IF(ISNUMBER(VALUE(LEFT(Raw_Data!D496,4))),DATE(VALUE(LEFT(Raw_Data!D496,4)),VALUE(MID(Raw_Data!D496,6,2)),VALUE(MID(Raw_Data!D496,9,2))),DATEVALUE(Raw_Data!D496))),"")</f>
        <v>45373</v>
      </c>
      <c r="E496" s="12" t="n">
        <f aca="false">IFERROR(IF(ISNUMBER(SEARCH("/",Raw_Data!E496)),DATE(VALUE(RIGHT(Raw_Data!E496,4)),VALUE(MID(Raw_Data!E496,FIND("/",Raw_Data!E496)+1,FIND("/",Raw_Data!E496,FIND("/",Raw_Data!E496)+1)-FIND("/",Raw_Data!E496)-1)),VALUE(LEFT(Raw_Data!E496,FIND("/",Raw_Data!E496)-1))),IF(ISNUMBER(VALUE(LEFT(Raw_Data!E496,4))),DATE(VALUE(LEFT(Raw_Data!E496,4)),VALUE(MID(Raw_Data!E496,6,2)),VALUE(MID(Raw_Data!E496,9,2))),DATEVALUE(Raw_Data!E496))),"")</f>
        <v>45393</v>
      </c>
      <c r="F496" s="11" t="str">
        <f aca="false">Raw_Data!F496</f>
        <v>Female 25-34</v>
      </c>
      <c r="G496" s="11" t="str">
        <f aca="false">IF(TRIM(Raw_Data!G496)="","Unspecified",IFERROR(INDEX(Lookup_Tables!$F$2:$F$24,MATCH(UPPER(TRIM(Raw_Data!G496)),Lookup_Tables!$G$2:$G$24,0)),"Unknown"))</f>
        <v>East</v>
      </c>
      <c r="H496" s="11" t="n">
        <f aca="false">IF(Raw_Data!H496="",ROUND(AVERAGEIFS(Raw_Data!$H$2:$H$839,Raw_Data!$C$2:$C$839,Raw_Data!C496),2),Raw_Data!H496)</f>
        <v>8396.39</v>
      </c>
      <c r="I496" s="11" t="n">
        <f aca="false">Raw_Data!I496</f>
        <v>204564</v>
      </c>
      <c r="J496" s="11" t="n">
        <f aca="false">IF(Raw_Data!J496&lt;0,ABS(Raw_Data!J496),Raw_Data!J496)</f>
        <v>4293</v>
      </c>
      <c r="K496" s="11" t="n">
        <f aca="false">Raw_Data!K496</f>
        <v>248</v>
      </c>
      <c r="L496" s="11" t="n">
        <f aca="false">IF(Raw_Data!L496="",ROUND(AVERAGEIFS(Raw_Data!$L$2:$L$839,Raw_Data!$C$2:$C$839,Raw_Data!C496),2),Raw_Data!L496)</f>
        <v>407886.98</v>
      </c>
      <c r="M496" s="13" t="n">
        <f aca="false">IFERROR(J496/I496,0)</f>
        <v>0.020986097260515</v>
      </c>
      <c r="N496" s="14" t="n">
        <f aca="false">IFERROR(H496/J496,0)</f>
        <v>1.95583275098998</v>
      </c>
      <c r="O496" s="14" t="n">
        <f aca="false">IFERROR(H496/K496,0)</f>
        <v>33.8564112903226</v>
      </c>
      <c r="P496" s="15" t="n">
        <f aca="false">IFERROR(L496/H496,0)</f>
        <v>48.5788511491248</v>
      </c>
      <c r="Q496" s="13" t="n">
        <f aca="false">IFERROR(K496/J496,0)</f>
        <v>0.0577684602841836</v>
      </c>
      <c r="R496" s="11" t="str">
        <f aca="false">IF(COUNTIF($A$2:A496,A496)&gt;1,"Duplicate - Remove","Unique")</f>
        <v>Unique</v>
      </c>
      <c r="S496" s="11" t="str">
        <f aca="false">TRIM(IF(Raw_Data!G496="","Region missing; ","")&amp;IF(Raw_Data!H496="","Spend imputed; ","")&amp;IF(Raw_Data!L496="","Revenue imputed; ","")&amp;IF(Raw_Data!J496&lt;0,"Clicks corrected; ",""))</f>
        <v/>
      </c>
    </row>
    <row r="497" customFormat="false" ht="15" hidden="false" customHeight="true" outlineLevel="0" collapsed="false">
      <c r="A497" s="11" t="n">
        <f aca="false">Raw_Data!A497</f>
        <v>1267</v>
      </c>
      <c r="B497" s="11" t="str">
        <f aca="false">PROPER(TRIM(Raw_Data!B497))</f>
        <v>Herbal Range Awareness</v>
      </c>
      <c r="C497" s="11" t="str">
        <f aca="false">IFERROR(INDEX(Lookup_Tables!$B$2:$B$26,MATCH(UPPER(TRIM(Raw_Data!C497)),Lookup_Tables!$C$2:$C$26,0)),"Unknown")</f>
        <v>Google Ads</v>
      </c>
      <c r="D497" s="12" t="n">
        <f aca="false">IFERROR(IF(ISNUMBER(SEARCH("/",Raw_Data!D497)),DATE(VALUE(RIGHT(Raw_Data!D497,4)),VALUE(MID(Raw_Data!D497,FIND("/",Raw_Data!D497)+1,FIND("/",Raw_Data!D497,FIND("/",Raw_Data!D497)+1)-FIND("/",Raw_Data!D497)-1)),VALUE(LEFT(Raw_Data!D497,FIND("/",Raw_Data!D497)-1))),IF(ISNUMBER(VALUE(LEFT(Raw_Data!D497,4))),DATE(VALUE(LEFT(Raw_Data!D497,4)),VALUE(MID(Raw_Data!D497,6,2)),VALUE(MID(Raw_Data!D497,9,2))),DATEVALUE(Raw_Data!D497))),"")</f>
        <v>45567</v>
      </c>
      <c r="E497" s="12" t="n">
        <f aca="false">IFERROR(IF(ISNUMBER(SEARCH("/",Raw_Data!E497)),DATE(VALUE(RIGHT(Raw_Data!E497,4)),VALUE(MID(Raw_Data!E497,FIND("/",Raw_Data!E497)+1,FIND("/",Raw_Data!E497,FIND("/",Raw_Data!E497)+1)-FIND("/",Raw_Data!E497)-1)),VALUE(LEFT(Raw_Data!E497,FIND("/",Raw_Data!E497)-1))),IF(ISNUMBER(VALUE(LEFT(Raw_Data!E497,4))),DATE(VALUE(LEFT(Raw_Data!E497,4)),VALUE(MID(Raw_Data!E497,6,2)),VALUE(MID(Raw_Data!E497,9,2))),DATEVALUE(Raw_Data!E497))),"")</f>
        <v>45578</v>
      </c>
      <c r="F497" s="11" t="str">
        <f aca="false">Raw_Data!F497</f>
        <v>Male 18-24</v>
      </c>
      <c r="G497" s="11" t="str">
        <f aca="false">IF(TRIM(Raw_Data!G497)="","Unspecified",IFERROR(INDEX(Lookup_Tables!$F$2:$F$24,MATCH(UPPER(TRIM(Raw_Data!G497)),Lookup_Tables!$G$2:$G$24,0)),"Unknown"))</f>
        <v>Unspecified</v>
      </c>
      <c r="H497" s="11" t="n">
        <f aca="false">IF(Raw_Data!H497="",ROUND(AVERAGEIFS(Raw_Data!$H$2:$H$839,Raw_Data!$C$2:$C$839,Raw_Data!C497),2),Raw_Data!H497)</f>
        <v>48249.69</v>
      </c>
      <c r="I497" s="11" t="n">
        <f aca="false">Raw_Data!I497</f>
        <v>1628855</v>
      </c>
      <c r="J497" s="11" t="n">
        <f aca="false">IF(Raw_Data!J497&lt;0,ABS(Raw_Data!J497),Raw_Data!J497)</f>
        <v>34961</v>
      </c>
      <c r="K497" s="11" t="n">
        <f aca="false">Raw_Data!K497</f>
        <v>1874</v>
      </c>
      <c r="L497" s="11" t="n">
        <f aca="false">IF(Raw_Data!L497="",ROUND(AVERAGEIFS(Raw_Data!$L$2:$L$839,Raw_Data!$C$2:$C$839,Raw_Data!C497),2),Raw_Data!L497)</f>
        <v>3352282.57</v>
      </c>
      <c r="M497" s="13" t="n">
        <f aca="false">IFERROR(J497/I497,0)</f>
        <v>0.0214635434093274</v>
      </c>
      <c r="N497" s="14" t="n">
        <f aca="false">IFERROR(H497/J497,0)</f>
        <v>1.38010039758588</v>
      </c>
      <c r="O497" s="14" t="n">
        <f aca="false">IFERROR(H497/K497,0)</f>
        <v>25.7468996798292</v>
      </c>
      <c r="P497" s="15" t="n">
        <f aca="false">IFERROR(L497/H497,0)</f>
        <v>69.4778053496302</v>
      </c>
      <c r="Q497" s="13" t="n">
        <f aca="false">IFERROR(K497/J497,0)</f>
        <v>0.0536025857383942</v>
      </c>
      <c r="R497" s="11" t="str">
        <f aca="false">IF(COUNTIF($A$2:A497,A497)&gt;1,"Duplicate - Remove","Unique")</f>
        <v>Unique</v>
      </c>
      <c r="S497" s="11" t="str">
        <f aca="false">TRIM(IF(Raw_Data!G497="","Region missing; ","")&amp;IF(Raw_Data!H497="","Spend imputed; ","")&amp;IF(Raw_Data!L497="","Revenue imputed; ","")&amp;IF(Raw_Data!J497&lt;0,"Clicks corrected; ",""))</f>
        <v>Region missing;</v>
      </c>
    </row>
    <row r="498" customFormat="false" ht="15" hidden="false" customHeight="true" outlineLevel="0" collapsed="false">
      <c r="A498" s="11" t="n">
        <f aca="false">Raw_Data!A498</f>
        <v>1718</v>
      </c>
      <c r="B498" s="11" t="str">
        <f aca="false">PROPER(TRIM(Raw_Data!B498))</f>
        <v>Influencer Collab - Skincare</v>
      </c>
      <c r="C498" s="11" t="str">
        <f aca="false">IFERROR(INDEX(Lookup_Tables!$B$2:$B$26,MATCH(UPPER(TRIM(Raw_Data!C498)),Lookup_Tables!$C$2:$C$26,0)),"Unknown")</f>
        <v>Google Ads</v>
      </c>
      <c r="D498" s="12" t="n">
        <f aca="false">IFERROR(IF(ISNUMBER(SEARCH("/",Raw_Data!D498)),DATE(VALUE(RIGHT(Raw_Data!D498,4)),VALUE(MID(Raw_Data!D498,FIND("/",Raw_Data!D498)+1,FIND("/",Raw_Data!D498,FIND("/",Raw_Data!D498)+1)-FIND("/",Raw_Data!D498)-1)),VALUE(LEFT(Raw_Data!D498,FIND("/",Raw_Data!D498)-1))),IF(ISNUMBER(VALUE(LEFT(Raw_Data!D498,4))),DATE(VALUE(LEFT(Raw_Data!D498,4)),VALUE(MID(Raw_Data!D498,6,2)),VALUE(MID(Raw_Data!D498,9,2))),DATEVALUE(Raw_Data!D498))),"")</f>
        <v>45522</v>
      </c>
      <c r="E498" s="12" t="n">
        <f aca="false">IFERROR(IF(ISNUMBER(SEARCH("/",Raw_Data!E498)),DATE(VALUE(RIGHT(Raw_Data!E498,4)),VALUE(MID(Raw_Data!E498,FIND("/",Raw_Data!E498)+1,FIND("/",Raw_Data!E498,FIND("/",Raw_Data!E498)+1)-FIND("/",Raw_Data!E498)-1)),VALUE(LEFT(Raw_Data!E498,FIND("/",Raw_Data!E498)-1))),IF(ISNUMBER(VALUE(LEFT(Raw_Data!E498,4))),DATE(VALUE(LEFT(Raw_Data!E498,4)),VALUE(MID(Raw_Data!E498,6,2)),VALUE(MID(Raw_Data!E498,9,2))),DATEVALUE(Raw_Data!E498))),"")</f>
        <v>45538</v>
      </c>
      <c r="F498" s="11" t="str">
        <f aca="false">Raw_Data!F498</f>
        <v>Male 35-44</v>
      </c>
      <c r="G498" s="11" t="str">
        <f aca="false">IF(TRIM(Raw_Data!G498)="","Unspecified",IFERROR(INDEX(Lookup_Tables!$F$2:$F$24,MATCH(UPPER(TRIM(Raw_Data!G498)),Lookup_Tables!$G$2:$G$24,0)),"Unknown"))</f>
        <v>Central</v>
      </c>
      <c r="H498" s="11" t="n">
        <f aca="false">IF(Raw_Data!H498="",ROUND(AVERAGEIFS(Raw_Data!$H$2:$H$839,Raw_Data!$C$2:$C$839,Raw_Data!C498),2),Raw_Data!H498)</f>
        <v>66767.58</v>
      </c>
      <c r="I498" s="11" t="n">
        <f aca="false">Raw_Data!I498</f>
        <v>1619853</v>
      </c>
      <c r="J498" s="11" t="n">
        <f aca="false">IF(Raw_Data!J498&lt;0,ABS(Raw_Data!J498),Raw_Data!J498)</f>
        <v>22689</v>
      </c>
      <c r="K498" s="11" t="n">
        <f aca="false">Raw_Data!K498</f>
        <v>1003</v>
      </c>
      <c r="L498" s="11" t="n">
        <f aca="false">IF(Raw_Data!L498="",ROUND(AVERAGEIFS(Raw_Data!$L$2:$L$839,Raw_Data!$C$2:$C$839,Raw_Data!C498),2),Raw_Data!L498)</f>
        <v>1145004.24</v>
      </c>
      <c r="M498" s="13" t="n">
        <f aca="false">IFERROR(J498/I498,0)</f>
        <v>0.0140068265453717</v>
      </c>
      <c r="N498" s="14" t="n">
        <f aca="false">IFERROR(H498/J498,0)</f>
        <v>2.94272907576359</v>
      </c>
      <c r="O498" s="14" t="n">
        <f aca="false">IFERROR(H498/K498,0)</f>
        <v>66.5678763708873</v>
      </c>
      <c r="P498" s="15" t="n">
        <f aca="false">IFERROR(L498/H498,0)</f>
        <v>17.1491049997619</v>
      </c>
      <c r="Q498" s="13" t="n">
        <f aca="false">IFERROR(K498/J498,0)</f>
        <v>0.0442064436511085</v>
      </c>
      <c r="R498" s="11" t="str">
        <f aca="false">IF(COUNTIF($A$2:A498,A498)&gt;1,"Duplicate - Remove","Unique")</f>
        <v>Unique</v>
      </c>
      <c r="S498" s="11" t="str">
        <f aca="false">TRIM(IF(Raw_Data!G498="","Region missing; ","")&amp;IF(Raw_Data!H498="","Spend imputed; ","")&amp;IF(Raw_Data!L498="","Revenue imputed; ","")&amp;IF(Raw_Data!J498&lt;0,"Clicks corrected; ",""))</f>
        <v/>
      </c>
    </row>
    <row r="499" customFormat="false" ht="15" hidden="false" customHeight="true" outlineLevel="0" collapsed="false">
      <c r="A499" s="11" t="n">
        <f aca="false">Raw_Data!A499</f>
        <v>1151</v>
      </c>
      <c r="B499" s="11" t="str">
        <f aca="false">PROPER(TRIM(Raw_Data!B499))</f>
        <v>Monsoon Skincare Push</v>
      </c>
      <c r="C499" s="11" t="str">
        <f aca="false">IFERROR(INDEX(Lookup_Tables!$B$2:$B$26,MATCH(UPPER(TRIM(Raw_Data!C499)),Lookup_Tables!$C$2:$C$26,0)),"Unknown")</f>
        <v>Instagram</v>
      </c>
      <c r="D499" s="12" t="n">
        <f aca="false">IFERROR(IF(ISNUMBER(SEARCH("/",Raw_Data!D499)),DATE(VALUE(RIGHT(Raw_Data!D499,4)),VALUE(MID(Raw_Data!D499,FIND("/",Raw_Data!D499)+1,FIND("/",Raw_Data!D499,FIND("/",Raw_Data!D499)+1)-FIND("/",Raw_Data!D499)-1)),VALUE(LEFT(Raw_Data!D499,FIND("/",Raw_Data!D499)-1))),IF(ISNUMBER(VALUE(LEFT(Raw_Data!D499,4))),DATE(VALUE(LEFT(Raw_Data!D499,4)),VALUE(MID(Raw_Data!D499,6,2)),VALUE(MID(Raw_Data!D499,9,2))),DATEVALUE(Raw_Data!D499))),"")</f>
        <v>45353</v>
      </c>
      <c r="E499" s="12" t="n">
        <f aca="false">IFERROR(IF(ISNUMBER(SEARCH("/",Raw_Data!E499)),DATE(VALUE(RIGHT(Raw_Data!E499,4)),VALUE(MID(Raw_Data!E499,FIND("/",Raw_Data!E499)+1,FIND("/",Raw_Data!E499,FIND("/",Raw_Data!E499)+1)-FIND("/",Raw_Data!E499)-1)),VALUE(LEFT(Raw_Data!E499,FIND("/",Raw_Data!E499)-1))),IF(ISNUMBER(VALUE(LEFT(Raw_Data!E499,4))),DATE(VALUE(LEFT(Raw_Data!E499,4)),VALUE(MID(Raw_Data!E499,6,2)),VALUE(MID(Raw_Data!E499,9,2))),DATEVALUE(Raw_Data!E499))),"")</f>
        <v>45358</v>
      </c>
      <c r="F499" s="11" t="str">
        <f aca="false">Raw_Data!F499</f>
        <v>Female 35-44</v>
      </c>
      <c r="G499" s="11" t="str">
        <f aca="false">IF(TRIM(Raw_Data!G499)="","Unspecified",IFERROR(INDEX(Lookup_Tables!$F$2:$F$24,MATCH(UPPER(TRIM(Raw_Data!G499)),Lookup_Tables!$G$2:$G$24,0)),"Unknown"))</f>
        <v>Central</v>
      </c>
      <c r="H499" s="11" t="n">
        <f aca="false">IF(Raw_Data!H499="",ROUND(AVERAGEIFS(Raw_Data!$H$2:$H$839,Raw_Data!$C$2:$C$839,Raw_Data!C499),2),Raw_Data!H499)</f>
        <v>15135.01</v>
      </c>
      <c r="I499" s="11" t="n">
        <f aca="false">Raw_Data!I499</f>
        <v>231319</v>
      </c>
      <c r="J499" s="11" t="n">
        <f aca="false">IF(Raw_Data!J499&lt;0,ABS(Raw_Data!J499),Raw_Data!J499)</f>
        <v>4601</v>
      </c>
      <c r="K499" s="11" t="n">
        <f aca="false">Raw_Data!K499</f>
        <v>157</v>
      </c>
      <c r="L499" s="11" t="n">
        <f aca="false">IF(Raw_Data!L499="",ROUND(AVERAGEIFS(Raw_Data!$L$2:$L$839,Raw_Data!$C$2:$C$839,Raw_Data!C499),2),Raw_Data!L499)</f>
        <v>172695.78</v>
      </c>
      <c r="M499" s="13" t="n">
        <f aca="false">IFERROR(J499/I499,0)</f>
        <v>0.0198902813863107</v>
      </c>
      <c r="N499" s="14" t="n">
        <f aca="false">IFERROR(H499/J499,0)</f>
        <v>3.28950445555314</v>
      </c>
      <c r="O499" s="14" t="n">
        <f aca="false">IFERROR(H499/K499,0)</f>
        <v>96.4013375796178</v>
      </c>
      <c r="P499" s="15" t="n">
        <f aca="false">IFERROR(L499/H499,0)</f>
        <v>11.4103512320111</v>
      </c>
      <c r="Q499" s="13" t="n">
        <f aca="false">IFERROR(K499/J499,0)</f>
        <v>0.0341230167354923</v>
      </c>
      <c r="R499" s="11" t="str">
        <f aca="false">IF(COUNTIF($A$2:A499,A499)&gt;1,"Duplicate - Remove","Unique")</f>
        <v>Unique</v>
      </c>
      <c r="S499" s="11" t="str">
        <f aca="false">TRIM(IF(Raw_Data!G499="","Region missing; ","")&amp;IF(Raw_Data!H499="","Spend imputed; ","")&amp;IF(Raw_Data!L499="","Revenue imputed; ","")&amp;IF(Raw_Data!J499&lt;0,"Clicks corrected; ",""))</f>
        <v/>
      </c>
    </row>
    <row r="500" customFormat="false" ht="15" hidden="false" customHeight="true" outlineLevel="0" collapsed="false">
      <c r="A500" s="11" t="n">
        <f aca="false">Raw_Data!A500</f>
        <v>1746</v>
      </c>
      <c r="B500" s="11" t="str">
        <f aca="false">PROPER(TRIM(Raw_Data!B500))</f>
        <v>Clearance Sale Push</v>
      </c>
      <c r="C500" s="11" t="str">
        <f aca="false">IFERROR(INDEX(Lookup_Tables!$B$2:$B$26,MATCH(UPPER(TRIM(Raw_Data!C500)),Lookup_Tables!$C$2:$C$26,0)),"Unknown")</f>
        <v>Instagram</v>
      </c>
      <c r="D500" s="12" t="n">
        <f aca="false">IFERROR(IF(ISNUMBER(SEARCH("/",Raw_Data!D500)),DATE(VALUE(RIGHT(Raw_Data!D500,4)),VALUE(MID(Raw_Data!D500,FIND("/",Raw_Data!D500)+1,FIND("/",Raw_Data!D500,FIND("/",Raw_Data!D500)+1)-FIND("/",Raw_Data!D500)-1)),VALUE(LEFT(Raw_Data!D500,FIND("/",Raw_Data!D500)-1))),IF(ISNUMBER(VALUE(LEFT(Raw_Data!D500,4))),DATE(VALUE(LEFT(Raw_Data!D500,4)),VALUE(MID(Raw_Data!D500,6,2)),VALUE(MID(Raw_Data!D500,9,2))),DATEVALUE(Raw_Data!D500))),"")</f>
        <v>45543</v>
      </c>
      <c r="E500" s="12" t="n">
        <f aca="false">IFERROR(IF(ISNUMBER(SEARCH("/",Raw_Data!E500)),DATE(VALUE(RIGHT(Raw_Data!E500,4)),VALUE(MID(Raw_Data!E500,FIND("/",Raw_Data!E500)+1,FIND("/",Raw_Data!E500,FIND("/",Raw_Data!E500)+1)-FIND("/",Raw_Data!E500)-1)),VALUE(LEFT(Raw_Data!E500,FIND("/",Raw_Data!E500)-1))),IF(ISNUMBER(VALUE(LEFT(Raw_Data!E500,4))),DATE(VALUE(LEFT(Raw_Data!E500,4)),VALUE(MID(Raw_Data!E500,6,2)),VALUE(MID(Raw_Data!E500,9,2))),DATEVALUE(Raw_Data!E500))),"")</f>
        <v>45548</v>
      </c>
      <c r="F500" s="11" t="str">
        <f aca="false">Raw_Data!F500</f>
        <v>Male 35-44</v>
      </c>
      <c r="G500" s="11" t="str">
        <f aca="false">IF(TRIM(Raw_Data!G500)="","Unspecified",IFERROR(INDEX(Lookup_Tables!$F$2:$F$24,MATCH(UPPER(TRIM(Raw_Data!G500)),Lookup_Tables!$G$2:$G$24,0)),"Unknown"))</f>
        <v>Central</v>
      </c>
      <c r="H500" s="11" t="n">
        <f aca="false">IF(Raw_Data!H500="",ROUND(AVERAGEIFS(Raw_Data!$H$2:$H$839,Raw_Data!$C$2:$C$839,Raw_Data!C500),2),Raw_Data!H500)</f>
        <v>10010.92</v>
      </c>
      <c r="I500" s="11" t="n">
        <f aca="false">Raw_Data!I500</f>
        <v>272158</v>
      </c>
      <c r="J500" s="11" t="n">
        <f aca="false">IF(Raw_Data!J500&lt;0,ABS(Raw_Data!J500),Raw_Data!J500)</f>
        <v>8757</v>
      </c>
      <c r="K500" s="11" t="n">
        <f aca="false">Raw_Data!K500</f>
        <v>378</v>
      </c>
      <c r="L500" s="11" t="n">
        <f aca="false">IF(Raw_Data!L500="",ROUND(AVERAGEIFS(Raw_Data!$L$2:$L$839,Raw_Data!$C$2:$C$839,Raw_Data!C500),2),Raw_Data!L500)</f>
        <v>430321.13</v>
      </c>
      <c r="M500" s="13" t="n">
        <f aca="false">IFERROR(J500/I500,0)</f>
        <v>0.0321761623762667</v>
      </c>
      <c r="N500" s="14" t="n">
        <f aca="false">IFERROR(H500/J500,0)</f>
        <v>1.14319059038484</v>
      </c>
      <c r="O500" s="14" t="n">
        <f aca="false">IFERROR(H500/K500,0)</f>
        <v>26.4839153439153</v>
      </c>
      <c r="P500" s="15" t="n">
        <f aca="false">IFERROR(L500/H500,0)</f>
        <v>42.9851731908756</v>
      </c>
      <c r="Q500" s="13" t="n">
        <f aca="false">IFERROR(K500/J500,0)</f>
        <v>0.0431654676258993</v>
      </c>
      <c r="R500" s="11" t="str">
        <f aca="false">IF(COUNTIF($A$2:A500,A500)&gt;1,"Duplicate - Remove","Unique")</f>
        <v>Unique</v>
      </c>
      <c r="S500" s="11" t="str">
        <f aca="false">TRIM(IF(Raw_Data!G500="","Region missing; ","")&amp;IF(Raw_Data!H500="","Spend imputed; ","")&amp;IF(Raw_Data!L500="","Revenue imputed; ","")&amp;IF(Raw_Data!J500&lt;0,"Clicks corrected; ",""))</f>
        <v/>
      </c>
    </row>
    <row r="501" customFormat="false" ht="15" hidden="false" customHeight="true" outlineLevel="0" collapsed="false">
      <c r="A501" s="11" t="n">
        <f aca="false">Raw_Data!A501</f>
        <v>1439</v>
      </c>
      <c r="B501" s="11" t="str">
        <f aca="false">PROPER(TRIM(Raw_Data!B501))</f>
        <v>New Year Wellness</v>
      </c>
      <c r="C501" s="11" t="str">
        <f aca="false">IFERROR(INDEX(Lookup_Tables!$B$2:$B$26,MATCH(UPPER(TRIM(Raw_Data!C501)),Lookup_Tables!$C$2:$C$26,0)),"Unknown")</f>
        <v>Facebook</v>
      </c>
      <c r="D501" s="12" t="n">
        <f aca="false">IFERROR(IF(ISNUMBER(SEARCH("/",Raw_Data!D501)),DATE(VALUE(RIGHT(Raw_Data!D501,4)),VALUE(MID(Raw_Data!D501,FIND("/",Raw_Data!D501)+1,FIND("/",Raw_Data!D501,FIND("/",Raw_Data!D501)+1)-FIND("/",Raw_Data!D501)-1)),VALUE(LEFT(Raw_Data!D501,FIND("/",Raw_Data!D501)-1))),IF(ISNUMBER(VALUE(LEFT(Raw_Data!D501,4))),DATE(VALUE(LEFT(Raw_Data!D501,4)),VALUE(MID(Raw_Data!D501,6,2)),VALUE(MID(Raw_Data!D501,9,2))),DATEVALUE(Raw_Data!D501))),"")</f>
        <v>45502</v>
      </c>
      <c r="E501" s="12" t="n">
        <f aca="false">IFERROR(IF(ISNUMBER(SEARCH("/",Raw_Data!E501)),DATE(VALUE(RIGHT(Raw_Data!E501,4)),VALUE(MID(Raw_Data!E501,FIND("/",Raw_Data!E501)+1,FIND("/",Raw_Data!E501,FIND("/",Raw_Data!E501)+1)-FIND("/",Raw_Data!E501)-1)),VALUE(LEFT(Raw_Data!E501,FIND("/",Raw_Data!E501)-1))),IF(ISNUMBER(VALUE(LEFT(Raw_Data!E501,4))),DATE(VALUE(LEFT(Raw_Data!E501,4)),VALUE(MID(Raw_Data!E501,6,2)),VALUE(MID(Raw_Data!E501,9,2))),DATEVALUE(Raw_Data!E501))),"")</f>
        <v>45516</v>
      </c>
      <c r="F501" s="11" t="str">
        <f aca="false">Raw_Data!F501</f>
        <v>Male 18-24</v>
      </c>
      <c r="G501" s="11" t="str">
        <f aca="false">IF(TRIM(Raw_Data!G501)="","Unspecified",IFERROR(INDEX(Lookup_Tables!$F$2:$F$24,MATCH(UPPER(TRIM(Raw_Data!G501)),Lookup_Tables!$G$2:$G$24,0)),"Unknown"))</f>
        <v>Unspecified</v>
      </c>
      <c r="H501" s="11" t="n">
        <f aca="false">IF(Raw_Data!H501="",ROUND(AVERAGEIFS(Raw_Data!$H$2:$H$839,Raw_Data!$C$2:$C$839,Raw_Data!C501),2),Raw_Data!H501)</f>
        <v>27981.35</v>
      </c>
      <c r="I501" s="11" t="n">
        <f aca="false">Raw_Data!I501</f>
        <v>1112590</v>
      </c>
      <c r="J501" s="11" t="n">
        <f aca="false">IF(Raw_Data!J501&lt;0,ABS(Raw_Data!J501),Raw_Data!J501)</f>
        <v>29345</v>
      </c>
      <c r="K501" s="11" t="n">
        <f aca="false">Raw_Data!K501</f>
        <v>1918</v>
      </c>
      <c r="L501" s="11" t="n">
        <f aca="false">IF(Raw_Data!L501="",ROUND(AVERAGEIFS(Raw_Data!$L$2:$L$839,Raw_Data!$C$2:$C$839,Raw_Data!C501),2),Raw_Data!L501)</f>
        <v>3236096.91</v>
      </c>
      <c r="M501" s="13" t="n">
        <f aca="false">IFERROR(J501/I501,0)</f>
        <v>0.02637539435012</v>
      </c>
      <c r="N501" s="14" t="n">
        <f aca="false">IFERROR(H501/J501,0)</f>
        <v>0.953530414039871</v>
      </c>
      <c r="O501" s="14" t="n">
        <f aca="false">IFERROR(H501/K501,0)</f>
        <v>14.5888164754953</v>
      </c>
      <c r="P501" s="15" t="n">
        <f aca="false">IFERROR(L501/H501,0)</f>
        <v>115.651922083817</v>
      </c>
      <c r="Q501" s="13" t="n">
        <f aca="false">IFERROR(K501/J501,0)</f>
        <v>0.0653603680354404</v>
      </c>
      <c r="R501" s="11" t="str">
        <f aca="false">IF(COUNTIF($A$2:A501,A501)&gt;1,"Duplicate - Remove","Unique")</f>
        <v>Unique</v>
      </c>
      <c r="S501" s="11" t="str">
        <f aca="false">TRIM(IF(Raw_Data!G501="","Region missing; ","")&amp;IF(Raw_Data!H501="","Spend imputed; ","")&amp;IF(Raw_Data!L501="","Revenue imputed; ","")&amp;IF(Raw_Data!J501&lt;0,"Clicks corrected; ",""))</f>
        <v>Region missing;</v>
      </c>
    </row>
    <row r="502" customFormat="false" ht="15" hidden="false" customHeight="true" outlineLevel="0" collapsed="false">
      <c r="A502" s="11" t="n">
        <f aca="false">Raw_Data!A502</f>
        <v>1382</v>
      </c>
      <c r="B502" s="11" t="str">
        <f aca="false">PROPER(TRIM(Raw_Data!B502))</f>
        <v>Summer Glow Launch</v>
      </c>
      <c r="C502" s="11" t="str">
        <f aca="false">IFERROR(INDEX(Lookup_Tables!$B$2:$B$26,MATCH(UPPER(TRIM(Raw_Data!C502)),Lookup_Tables!$C$2:$C$26,0)),"Unknown")</f>
        <v>Email</v>
      </c>
      <c r="D502" s="12" t="n">
        <f aca="false">IFERROR(IF(ISNUMBER(SEARCH("/",Raw_Data!D502)),DATE(VALUE(RIGHT(Raw_Data!D502,4)),VALUE(MID(Raw_Data!D502,FIND("/",Raw_Data!D502)+1,FIND("/",Raw_Data!D502,FIND("/",Raw_Data!D502)+1)-FIND("/",Raw_Data!D502)-1)),VALUE(LEFT(Raw_Data!D502,FIND("/",Raw_Data!D502)-1))),IF(ISNUMBER(VALUE(LEFT(Raw_Data!D502,4))),DATE(VALUE(LEFT(Raw_Data!D502,4)),VALUE(MID(Raw_Data!D502,6,2)),VALUE(MID(Raw_Data!D502,9,2))),DATEVALUE(Raw_Data!D502))),"")</f>
        <v>45591</v>
      </c>
      <c r="E502" s="12" t="n">
        <f aca="false">IFERROR(IF(ISNUMBER(SEARCH("/",Raw_Data!E502)),DATE(VALUE(RIGHT(Raw_Data!E502,4)),VALUE(MID(Raw_Data!E502,FIND("/",Raw_Data!E502)+1,FIND("/",Raw_Data!E502,FIND("/",Raw_Data!E502)+1)-FIND("/",Raw_Data!E502)-1)),VALUE(LEFT(Raw_Data!E502,FIND("/",Raw_Data!E502)-1))),IF(ISNUMBER(VALUE(LEFT(Raw_Data!E502,4))),DATE(VALUE(LEFT(Raw_Data!E502,4)),VALUE(MID(Raw_Data!E502,6,2)),VALUE(MID(Raw_Data!E502,9,2))),DATEVALUE(Raw_Data!E502))),"")</f>
        <v>45603</v>
      </c>
      <c r="F502" s="11" t="str">
        <f aca="false">Raw_Data!F502</f>
        <v>Male 45+</v>
      </c>
      <c r="G502" s="11" t="str">
        <f aca="false">IF(TRIM(Raw_Data!G502)="","Unspecified",IFERROR(INDEX(Lookup_Tables!$F$2:$F$24,MATCH(UPPER(TRIM(Raw_Data!G502)),Lookup_Tables!$G$2:$G$24,0)),"Unknown"))</f>
        <v>West</v>
      </c>
      <c r="H502" s="11" t="n">
        <f aca="false">IF(Raw_Data!H502="",ROUND(AVERAGEIFS(Raw_Data!$H$2:$H$839,Raw_Data!$C$2:$C$839,Raw_Data!C502),2),Raw_Data!H502)</f>
        <v>3063.82</v>
      </c>
      <c r="I502" s="11" t="n">
        <f aca="false">Raw_Data!I502</f>
        <v>109489</v>
      </c>
      <c r="J502" s="11" t="n">
        <f aca="false">IF(Raw_Data!J502&lt;0,ABS(Raw_Data!J502),Raw_Data!J502)</f>
        <v>1834</v>
      </c>
      <c r="K502" s="11" t="n">
        <f aca="false">Raw_Data!K502</f>
        <v>61</v>
      </c>
      <c r="L502" s="11" t="n">
        <f aca="false">IF(Raw_Data!L502="",ROUND(AVERAGEIFS(Raw_Data!$L$2:$L$839,Raw_Data!$C$2:$C$839,Raw_Data!C502),2),Raw_Data!L502)</f>
        <v>30430.59</v>
      </c>
      <c r="M502" s="13" t="n">
        <f aca="false">IFERROR(J502/I502,0)</f>
        <v>0.0167505411502525</v>
      </c>
      <c r="N502" s="14" t="n">
        <f aca="false">IFERROR(H502/J502,0)</f>
        <v>1.67056706652127</v>
      </c>
      <c r="O502" s="14" t="n">
        <f aca="false">IFERROR(H502/K502,0)</f>
        <v>50.2265573770492</v>
      </c>
      <c r="P502" s="15" t="n">
        <f aca="false">IFERROR(L502/H502,0)</f>
        <v>9.93223818631643</v>
      </c>
      <c r="Q502" s="13" t="n">
        <f aca="false">IFERROR(K502/J502,0)</f>
        <v>0.0332606324972737</v>
      </c>
      <c r="R502" s="11" t="str">
        <f aca="false">IF(COUNTIF($A$2:A502,A502)&gt;1,"Duplicate - Remove","Unique")</f>
        <v>Unique</v>
      </c>
      <c r="S502" s="11" t="str">
        <f aca="false">TRIM(IF(Raw_Data!G502="","Region missing; ","")&amp;IF(Raw_Data!H502="","Spend imputed; ","")&amp;IF(Raw_Data!L502="","Revenue imputed; ","")&amp;IF(Raw_Data!J502&lt;0,"Clicks corrected; ",""))</f>
        <v/>
      </c>
    </row>
    <row r="503" customFormat="false" ht="15" hidden="false" customHeight="true" outlineLevel="0" collapsed="false">
      <c r="A503" s="11" t="n">
        <f aca="false">Raw_Data!A503</f>
        <v>1357</v>
      </c>
      <c r="B503" s="11" t="str">
        <f aca="false">PROPER(TRIM(Raw_Data!B503))</f>
        <v>Hair Care Revamp</v>
      </c>
      <c r="C503" s="11" t="str">
        <f aca="false">IFERROR(INDEX(Lookup_Tables!$B$2:$B$26,MATCH(UPPER(TRIM(Raw_Data!C503)),Lookup_Tables!$C$2:$C$26,0)),"Unknown")</f>
        <v>YouTube</v>
      </c>
      <c r="D503" s="12" t="n">
        <f aca="false">IFERROR(IF(ISNUMBER(SEARCH("/",Raw_Data!D503)),DATE(VALUE(RIGHT(Raw_Data!D503,4)),VALUE(MID(Raw_Data!D503,FIND("/",Raw_Data!D503)+1,FIND("/",Raw_Data!D503,FIND("/",Raw_Data!D503)+1)-FIND("/",Raw_Data!D503)-1)),VALUE(LEFT(Raw_Data!D503,FIND("/",Raw_Data!D503)-1))),IF(ISNUMBER(VALUE(LEFT(Raw_Data!D503,4))),DATE(VALUE(LEFT(Raw_Data!D503,4)),VALUE(MID(Raw_Data!D503,6,2)),VALUE(MID(Raw_Data!D503,9,2))),DATEVALUE(Raw_Data!D503))),"")</f>
        <v>45514</v>
      </c>
      <c r="E503" s="12" t="n">
        <f aca="false">IFERROR(IF(ISNUMBER(SEARCH("/",Raw_Data!E503)),DATE(VALUE(RIGHT(Raw_Data!E503,4)),VALUE(MID(Raw_Data!E503,FIND("/",Raw_Data!E503)+1,FIND("/",Raw_Data!E503,FIND("/",Raw_Data!E503)+1)-FIND("/",Raw_Data!E503)-1)),VALUE(LEFT(Raw_Data!E503,FIND("/",Raw_Data!E503)-1))),IF(ISNUMBER(VALUE(LEFT(Raw_Data!E503,4))),DATE(VALUE(LEFT(Raw_Data!E503,4)),VALUE(MID(Raw_Data!E503,6,2)),VALUE(MID(Raw_Data!E503,9,2))),DATEVALUE(Raw_Data!E503))),"")</f>
        <v>45532</v>
      </c>
      <c r="F503" s="11" t="str">
        <f aca="false">Raw_Data!F503</f>
        <v>Male 25-34</v>
      </c>
      <c r="G503" s="11" t="str">
        <f aca="false">IF(TRIM(Raw_Data!G503)="","Unspecified",IFERROR(INDEX(Lookup_Tables!$F$2:$F$24,MATCH(UPPER(TRIM(Raw_Data!G503)),Lookup_Tables!$G$2:$G$24,0)),"Unknown"))</f>
        <v>South</v>
      </c>
      <c r="H503" s="11" t="n">
        <f aca="false">IF(Raw_Data!H503="",ROUND(AVERAGEIFS(Raw_Data!$H$2:$H$839,Raw_Data!$C$2:$C$839,Raw_Data!C503),2),Raw_Data!H503)</f>
        <v>79513.95</v>
      </c>
      <c r="I503" s="11" t="n">
        <f aca="false">Raw_Data!I503</f>
        <v>3003913</v>
      </c>
      <c r="J503" s="11" t="n">
        <f aca="false">IF(Raw_Data!J503&lt;0,ABS(Raw_Data!J503),Raw_Data!J503)</f>
        <v>72147</v>
      </c>
      <c r="K503" s="11" t="n">
        <f aca="false">Raw_Data!K503</f>
        <v>4993</v>
      </c>
      <c r="L503" s="11" t="n">
        <f aca="false">IF(Raw_Data!L503="",ROUND(AVERAGEIFS(Raw_Data!$L$2:$L$839,Raw_Data!$C$2:$C$839,Raw_Data!C503),2),Raw_Data!L503)</f>
        <v>3680117.61</v>
      </c>
      <c r="M503" s="13" t="n">
        <f aca="false">IFERROR(J503/I503,0)</f>
        <v>0.0240176729485841</v>
      </c>
      <c r="N503" s="14" t="n">
        <f aca="false">IFERROR(H503/J503,0)</f>
        <v>1.1021102748555</v>
      </c>
      <c r="O503" s="14" t="n">
        <f aca="false">IFERROR(H503/K503,0)</f>
        <v>15.9250851191668</v>
      </c>
      <c r="P503" s="15" t="n">
        <f aca="false">IFERROR(L503/H503,0)</f>
        <v>46.2826662491299</v>
      </c>
      <c r="Q503" s="13" t="n">
        <f aca="false">IFERROR(K503/J503,0)</f>
        <v>0.0692059267883627</v>
      </c>
      <c r="R503" s="11" t="str">
        <f aca="false">IF(COUNTIF($A$2:A503,A503)&gt;1,"Duplicate - Remove","Unique")</f>
        <v>Unique</v>
      </c>
      <c r="S503" s="11" t="str">
        <f aca="false">TRIM(IF(Raw_Data!G503="","Region missing; ","")&amp;IF(Raw_Data!H503="","Spend imputed; ","")&amp;IF(Raw_Data!L503="","Revenue imputed; ","")&amp;IF(Raw_Data!J503&lt;0,"Clicks corrected; ",""))</f>
        <v/>
      </c>
    </row>
    <row r="504" customFormat="false" ht="15" hidden="false" customHeight="true" outlineLevel="0" collapsed="false">
      <c r="A504" s="11" t="n">
        <f aca="false">Raw_Data!A504</f>
        <v>1019</v>
      </c>
      <c r="B504" s="11" t="str">
        <f aca="false">PROPER(TRIM(Raw_Data!B504))</f>
        <v>Back To College Offer</v>
      </c>
      <c r="C504" s="11" t="str">
        <f aca="false">IFERROR(INDEX(Lookup_Tables!$B$2:$B$26,MATCH(UPPER(TRIM(Raw_Data!C504)),Lookup_Tables!$C$2:$C$26,0)),"Unknown")</f>
        <v>Facebook</v>
      </c>
      <c r="D504" s="12" t="n">
        <f aca="false">IFERROR(IF(ISNUMBER(SEARCH("/",Raw_Data!D504)),DATE(VALUE(RIGHT(Raw_Data!D504,4)),VALUE(MID(Raw_Data!D504,FIND("/",Raw_Data!D504)+1,FIND("/",Raw_Data!D504,FIND("/",Raw_Data!D504)+1)-FIND("/",Raw_Data!D504)-1)),VALUE(LEFT(Raw_Data!D504,FIND("/",Raw_Data!D504)-1))),IF(ISNUMBER(VALUE(LEFT(Raw_Data!D504,4))),DATE(VALUE(LEFT(Raw_Data!D504,4)),VALUE(MID(Raw_Data!D504,6,2)),VALUE(MID(Raw_Data!D504,9,2))),DATEVALUE(Raw_Data!D504))),"")</f>
        <v>45502</v>
      </c>
      <c r="E504" s="12" t="n">
        <f aca="false">IFERROR(IF(ISNUMBER(SEARCH("/",Raw_Data!E504)),DATE(VALUE(RIGHT(Raw_Data!E504,4)),VALUE(MID(Raw_Data!E504,FIND("/",Raw_Data!E504)+1,FIND("/",Raw_Data!E504,FIND("/",Raw_Data!E504)+1)-FIND("/",Raw_Data!E504)-1)),VALUE(LEFT(Raw_Data!E504,FIND("/",Raw_Data!E504)-1))),IF(ISNUMBER(VALUE(LEFT(Raw_Data!E504,4))),DATE(VALUE(LEFT(Raw_Data!E504,4)),VALUE(MID(Raw_Data!E504,6,2)),VALUE(MID(Raw_Data!E504,9,2))),DATEVALUE(Raw_Data!E504))),"")</f>
        <v>45532</v>
      </c>
      <c r="F504" s="11" t="str">
        <f aca="false">Raw_Data!F504</f>
        <v>Male 35-44</v>
      </c>
      <c r="G504" s="11" t="str">
        <f aca="false">IF(TRIM(Raw_Data!G504)="","Unspecified",IFERROR(INDEX(Lookup_Tables!$F$2:$F$24,MATCH(UPPER(TRIM(Raw_Data!G504)),Lookup_Tables!$G$2:$G$24,0)),"Unknown"))</f>
        <v>Unspecified</v>
      </c>
      <c r="H504" s="11" t="n">
        <f aca="false">IF(Raw_Data!H504="",ROUND(AVERAGEIFS(Raw_Data!$H$2:$H$839,Raw_Data!$C$2:$C$839,Raw_Data!C504),2),Raw_Data!H504)</f>
        <v>44018.82</v>
      </c>
      <c r="I504" s="11" t="n">
        <f aca="false">Raw_Data!I504</f>
        <v>1552488</v>
      </c>
      <c r="J504" s="11" t="n">
        <f aca="false">IF(Raw_Data!J504&lt;0,ABS(Raw_Data!J504),Raw_Data!J504)</f>
        <v>20188</v>
      </c>
      <c r="K504" s="11" t="n">
        <f aca="false">Raw_Data!K504</f>
        <v>1314</v>
      </c>
      <c r="L504" s="11" t="n">
        <f aca="false">IF(Raw_Data!L504="",ROUND(AVERAGEIFS(Raw_Data!$L$2:$L$839,Raw_Data!$C$2:$C$839,Raw_Data!C504),2),Raw_Data!L504)</f>
        <v>665854.6</v>
      </c>
      <c r="M504" s="13" t="n">
        <f aca="false">IFERROR(J504/I504,0)</f>
        <v>0.0130036431843596</v>
      </c>
      <c r="N504" s="14" t="n">
        <f aca="false">IFERROR(H504/J504,0)</f>
        <v>2.18044481870418</v>
      </c>
      <c r="O504" s="14" t="n">
        <f aca="false">IFERROR(H504/K504,0)</f>
        <v>33.4998630136986</v>
      </c>
      <c r="P504" s="15" t="n">
        <f aca="false">IFERROR(L504/H504,0)</f>
        <v>15.126589036235</v>
      </c>
      <c r="Q504" s="13" t="n">
        <f aca="false">IFERROR(K504/J504,0)</f>
        <v>0.0650881711908064</v>
      </c>
      <c r="R504" s="11" t="str">
        <f aca="false">IF(COUNTIF($A$2:A504,A504)&gt;1,"Duplicate - Remove","Unique")</f>
        <v>Unique</v>
      </c>
      <c r="S504" s="11" t="str">
        <f aca="false">TRIM(IF(Raw_Data!G504="","Region missing; ","")&amp;IF(Raw_Data!H504="","Spend imputed; ","")&amp;IF(Raw_Data!L504="","Revenue imputed; ","")&amp;IF(Raw_Data!J504&lt;0,"Clicks corrected; ",""))</f>
        <v>Region missing;</v>
      </c>
    </row>
    <row r="505" customFormat="false" ht="15" hidden="false" customHeight="true" outlineLevel="0" collapsed="false">
      <c r="A505" s="11" t="n">
        <f aca="false">Raw_Data!A505</f>
        <v>1780</v>
      </c>
      <c r="B505" s="11" t="str">
        <f aca="false">PROPER(TRIM(Raw_Data!B505))</f>
        <v>Back To College Offer</v>
      </c>
      <c r="C505" s="11" t="str">
        <f aca="false">IFERROR(INDEX(Lookup_Tables!$B$2:$B$26,MATCH(UPPER(TRIM(Raw_Data!C505)),Lookup_Tables!$C$2:$C$26,0)),"Unknown")</f>
        <v>Google Ads</v>
      </c>
      <c r="D505" s="12" t="n">
        <f aca="false">IFERROR(IF(ISNUMBER(SEARCH("/",Raw_Data!D505)),DATE(VALUE(RIGHT(Raw_Data!D505,4)),VALUE(MID(Raw_Data!D505,FIND("/",Raw_Data!D505)+1,FIND("/",Raw_Data!D505,FIND("/",Raw_Data!D505)+1)-FIND("/",Raw_Data!D505)-1)),VALUE(LEFT(Raw_Data!D505,FIND("/",Raw_Data!D505)-1))),IF(ISNUMBER(VALUE(LEFT(Raw_Data!D505,4))),DATE(VALUE(LEFT(Raw_Data!D505,4)),VALUE(MID(Raw_Data!D505,6,2)),VALUE(MID(Raw_Data!D505,9,2))),DATEVALUE(Raw_Data!D505))),"")</f>
        <v>45342</v>
      </c>
      <c r="E505" s="12" t="n">
        <f aca="false">IFERROR(IF(ISNUMBER(SEARCH("/",Raw_Data!E505)),DATE(VALUE(RIGHT(Raw_Data!E505,4)),VALUE(MID(Raw_Data!E505,FIND("/",Raw_Data!E505)+1,FIND("/",Raw_Data!E505,FIND("/",Raw_Data!E505)+1)-FIND("/",Raw_Data!E505)-1)),VALUE(LEFT(Raw_Data!E505,FIND("/",Raw_Data!E505)-1))),IF(ISNUMBER(VALUE(LEFT(Raw_Data!E505,4))),DATE(VALUE(LEFT(Raw_Data!E505,4)),VALUE(MID(Raw_Data!E505,6,2)),VALUE(MID(Raw_Data!E505,9,2))),DATEVALUE(Raw_Data!E505))),"")</f>
        <v>45369</v>
      </c>
      <c r="F505" s="11" t="str">
        <f aca="false">Raw_Data!F505</f>
        <v>Female 35-44</v>
      </c>
      <c r="G505" s="11" t="str">
        <f aca="false">IF(TRIM(Raw_Data!G505)="","Unspecified",IFERROR(INDEX(Lookup_Tables!$F$2:$F$24,MATCH(UPPER(TRIM(Raw_Data!G505)),Lookup_Tables!$G$2:$G$24,0)),"Unknown"))</f>
        <v>South</v>
      </c>
      <c r="H505" s="11" t="n">
        <f aca="false">IF(Raw_Data!H505="",ROUND(AVERAGEIFS(Raw_Data!$H$2:$H$839,Raw_Data!$C$2:$C$839,Raw_Data!C505),2),Raw_Data!H505)</f>
        <v>45409.06</v>
      </c>
      <c r="I505" s="11" t="n">
        <f aca="false">Raw_Data!I505</f>
        <v>1149581</v>
      </c>
      <c r="J505" s="11" t="n">
        <f aca="false">IF(Raw_Data!J505&lt;0,ABS(Raw_Data!J505),Raw_Data!J505)</f>
        <v>19537</v>
      </c>
      <c r="K505" s="11" t="n">
        <f aca="false">Raw_Data!K505</f>
        <v>970</v>
      </c>
      <c r="L505" s="11" t="n">
        <f aca="false">IF(Raw_Data!L505="",ROUND(AVERAGEIFS(Raw_Data!$L$2:$L$839,Raw_Data!$C$2:$C$839,Raw_Data!C505),2),Raw_Data!L505)</f>
        <v>760162.39</v>
      </c>
      <c r="M505" s="13" t="n">
        <f aca="false">IFERROR(J505/I505,0)</f>
        <v>0.0169948877025629</v>
      </c>
      <c r="N505" s="14" t="n">
        <f aca="false">IFERROR(H505/J505,0)</f>
        <v>2.32425960997082</v>
      </c>
      <c r="O505" s="14" t="n">
        <f aca="false">IFERROR(H505/K505,0)</f>
        <v>46.8134639175258</v>
      </c>
      <c r="P505" s="15" t="n">
        <f aca="false">IFERROR(L505/H505,0)</f>
        <v>16.7403242877082</v>
      </c>
      <c r="Q505" s="13" t="n">
        <f aca="false">IFERROR(K505/J505,0)</f>
        <v>0.0496493832215796</v>
      </c>
      <c r="R505" s="11" t="str">
        <f aca="false">IF(COUNTIF($A$2:A505,A505)&gt;1,"Duplicate - Remove","Unique")</f>
        <v>Unique</v>
      </c>
      <c r="S505" s="11" t="str">
        <f aca="false">TRIM(IF(Raw_Data!G505="","Region missing; ","")&amp;IF(Raw_Data!H505="","Spend imputed; ","")&amp;IF(Raw_Data!L505="","Revenue imputed; ","")&amp;IF(Raw_Data!J505&lt;0,"Clicks corrected; ",""))</f>
        <v/>
      </c>
    </row>
    <row r="506" customFormat="false" ht="15" hidden="false" customHeight="true" outlineLevel="0" collapsed="false">
      <c r="A506" s="11" t="n">
        <f aca="false">Raw_Data!A506</f>
        <v>1800</v>
      </c>
      <c r="B506" s="11" t="str">
        <f aca="false">PROPER(TRIM(Raw_Data!B506))</f>
        <v>Herbal Range Awareness</v>
      </c>
      <c r="C506" s="11" t="str">
        <f aca="false">IFERROR(INDEX(Lookup_Tables!$B$2:$B$26,MATCH(UPPER(TRIM(Raw_Data!C506)),Lookup_Tables!$C$2:$C$26,0)),"Unknown")</f>
        <v>Instagram</v>
      </c>
      <c r="D506" s="12" t="n">
        <f aca="false">IFERROR(IF(ISNUMBER(SEARCH("/",Raw_Data!D506)),DATE(VALUE(RIGHT(Raw_Data!D506,4)),VALUE(MID(Raw_Data!D506,FIND("/",Raw_Data!D506)+1,FIND("/",Raw_Data!D506,FIND("/",Raw_Data!D506)+1)-FIND("/",Raw_Data!D506)-1)),VALUE(LEFT(Raw_Data!D506,FIND("/",Raw_Data!D506)-1))),IF(ISNUMBER(VALUE(LEFT(Raw_Data!D506,4))),DATE(VALUE(LEFT(Raw_Data!D506,4)),VALUE(MID(Raw_Data!D506,6,2)),VALUE(MID(Raw_Data!D506,9,2))),DATEVALUE(Raw_Data!D506))),"")</f>
        <v>45477</v>
      </c>
      <c r="E506" s="12" t="n">
        <f aca="false">IFERROR(IF(ISNUMBER(SEARCH("/",Raw_Data!E506)),DATE(VALUE(RIGHT(Raw_Data!E506,4)),VALUE(MID(Raw_Data!E506,FIND("/",Raw_Data!E506)+1,FIND("/",Raw_Data!E506,FIND("/",Raw_Data!E506)+1)-FIND("/",Raw_Data!E506)-1)),VALUE(LEFT(Raw_Data!E506,FIND("/",Raw_Data!E506)-1))),IF(ISNUMBER(VALUE(LEFT(Raw_Data!E506,4))),DATE(VALUE(LEFT(Raw_Data!E506,4)),VALUE(MID(Raw_Data!E506,6,2)),VALUE(MID(Raw_Data!E506,9,2))),DATEVALUE(Raw_Data!E506))),"")</f>
        <v>45485</v>
      </c>
      <c r="F506" s="11" t="str">
        <f aca="false">Raw_Data!F506</f>
        <v>Female 25-34</v>
      </c>
      <c r="G506" s="11" t="str">
        <f aca="false">IF(TRIM(Raw_Data!G506)="","Unspecified",IFERROR(INDEX(Lookup_Tables!$F$2:$F$24,MATCH(UPPER(TRIM(Raw_Data!G506)),Lookup_Tables!$G$2:$G$24,0)),"Unknown"))</f>
        <v>South</v>
      </c>
      <c r="H506" s="11" t="n">
        <f aca="false">IF(Raw_Data!H506="",ROUND(AVERAGEIFS(Raw_Data!$H$2:$H$839,Raw_Data!$C$2:$C$839,Raw_Data!C506),2),Raw_Data!H506)</f>
        <v>58681.23</v>
      </c>
      <c r="I506" s="11" t="n">
        <f aca="false">Raw_Data!I506</f>
        <v>2006896</v>
      </c>
      <c r="J506" s="11" t="n">
        <f aca="false">IF(Raw_Data!J506&lt;0,ABS(Raw_Data!J506),Raw_Data!J506)</f>
        <v>29199</v>
      </c>
      <c r="K506" s="11" t="n">
        <f aca="false">Raw_Data!K506</f>
        <v>544</v>
      </c>
      <c r="L506" s="11" t="n">
        <f aca="false">IF(Raw_Data!L506="",ROUND(AVERAGEIFS(Raw_Data!$L$2:$L$839,Raw_Data!$C$2:$C$839,Raw_Data!C506),2),Raw_Data!L506)</f>
        <v>645073.28</v>
      </c>
      <c r="M506" s="13" t="n">
        <f aca="false">IFERROR(J506/I506,0)</f>
        <v>0.0145493338967241</v>
      </c>
      <c r="N506" s="14" t="n">
        <f aca="false">IFERROR(H506/J506,0)</f>
        <v>2.00969998972568</v>
      </c>
      <c r="O506" s="14" t="n">
        <f aca="false">IFERROR(H506/K506,0)</f>
        <v>107.869908088235</v>
      </c>
      <c r="P506" s="15" t="n">
        <f aca="false">IFERROR(L506/H506,0)</f>
        <v>10.9928384255068</v>
      </c>
      <c r="Q506" s="13" t="n">
        <f aca="false">IFERROR(K506/J506,0)</f>
        <v>0.018630775026542</v>
      </c>
      <c r="R506" s="11" t="str">
        <f aca="false">IF(COUNTIF($A$2:A506,A506)&gt;1,"Duplicate - Remove","Unique")</f>
        <v>Unique</v>
      </c>
      <c r="S506" s="11" t="str">
        <f aca="false">TRIM(IF(Raw_Data!G506="","Region missing; ","")&amp;IF(Raw_Data!H506="","Spend imputed; ","")&amp;IF(Raw_Data!L506="","Revenue imputed; ","")&amp;IF(Raw_Data!J506&lt;0,"Clicks corrected; ",""))</f>
        <v/>
      </c>
    </row>
    <row r="507" customFormat="false" ht="15" hidden="false" customHeight="true" outlineLevel="0" collapsed="false">
      <c r="A507" s="11" t="n">
        <f aca="false">Raw_Data!A507</f>
        <v>1048</v>
      </c>
      <c r="B507" s="11" t="str">
        <f aca="false">PROPER(TRIM(Raw_Data!B507))</f>
        <v>Monsoon Skincare Push</v>
      </c>
      <c r="C507" s="11" t="str">
        <f aca="false">IFERROR(INDEX(Lookup_Tables!$B$2:$B$26,MATCH(UPPER(TRIM(Raw_Data!C507)),Lookup_Tables!$C$2:$C$26,0)),"Unknown")</f>
        <v>Email</v>
      </c>
      <c r="D507" s="12" t="n">
        <f aca="false">IFERROR(IF(ISNUMBER(SEARCH("/",Raw_Data!D507)),DATE(VALUE(RIGHT(Raw_Data!D507,4)),VALUE(MID(Raw_Data!D507,FIND("/",Raw_Data!D507)+1,FIND("/",Raw_Data!D507,FIND("/",Raw_Data!D507)+1)-FIND("/",Raw_Data!D507)-1)),VALUE(LEFT(Raw_Data!D507,FIND("/",Raw_Data!D507)-1))),IF(ISNUMBER(VALUE(LEFT(Raw_Data!D507,4))),DATE(VALUE(LEFT(Raw_Data!D507,4)),VALUE(MID(Raw_Data!D507,6,2)),VALUE(MID(Raw_Data!D507,9,2))),DATEVALUE(Raw_Data!D507))),"")</f>
        <v>45460</v>
      </c>
      <c r="E507" s="12" t="n">
        <f aca="false">IFERROR(IF(ISNUMBER(SEARCH("/",Raw_Data!E507)),DATE(VALUE(RIGHT(Raw_Data!E507,4)),VALUE(MID(Raw_Data!E507,FIND("/",Raw_Data!E507)+1,FIND("/",Raw_Data!E507,FIND("/",Raw_Data!E507)+1)-FIND("/",Raw_Data!E507)-1)),VALUE(LEFT(Raw_Data!E507,FIND("/",Raw_Data!E507)-1))),IF(ISNUMBER(VALUE(LEFT(Raw_Data!E507,4))),DATE(VALUE(LEFT(Raw_Data!E507,4)),VALUE(MID(Raw_Data!E507,6,2)),VALUE(MID(Raw_Data!E507,9,2))),DATEVALUE(Raw_Data!E507))),"")</f>
        <v>45486</v>
      </c>
      <c r="F507" s="11" t="str">
        <f aca="false">Raw_Data!F507</f>
        <v>Female 25-34</v>
      </c>
      <c r="G507" s="11" t="str">
        <f aca="false">IF(TRIM(Raw_Data!G507)="","Unspecified",IFERROR(INDEX(Lookup_Tables!$F$2:$F$24,MATCH(UPPER(TRIM(Raw_Data!G507)),Lookup_Tables!$G$2:$G$24,0)),"Unknown"))</f>
        <v>East</v>
      </c>
      <c r="H507" s="11" t="n">
        <f aca="false">IF(Raw_Data!H507="",ROUND(AVERAGEIFS(Raw_Data!$H$2:$H$839,Raw_Data!$C$2:$C$839,Raw_Data!C507),2),Raw_Data!H507)</f>
        <v>3660.07</v>
      </c>
      <c r="I507" s="11" t="n">
        <f aca="false">Raw_Data!I507</f>
        <v>83876</v>
      </c>
      <c r="J507" s="11" t="n">
        <f aca="false">IF(Raw_Data!J507&lt;0,ABS(Raw_Data!J507),Raw_Data!J507)</f>
        <v>2227</v>
      </c>
      <c r="K507" s="11" t="n">
        <f aca="false">Raw_Data!K507</f>
        <v>140</v>
      </c>
      <c r="L507" s="11" t="n">
        <f aca="false">IF(Raw_Data!L507="",ROUND(AVERAGEIFS(Raw_Data!$L$2:$L$839,Raw_Data!$C$2:$C$839,Raw_Data!C507),2),Raw_Data!L507)</f>
        <v>110861.2</v>
      </c>
      <c r="M507" s="13" t="n">
        <f aca="false">IFERROR(J507/I507,0)</f>
        <v>0.0265510992417378</v>
      </c>
      <c r="N507" s="14" t="n">
        <f aca="false">IFERROR(H507/J507,0)</f>
        <v>1.64349797934441</v>
      </c>
      <c r="O507" s="14" t="n">
        <f aca="false">IFERROR(H507/K507,0)</f>
        <v>26.1433571428571</v>
      </c>
      <c r="P507" s="15" t="n">
        <f aca="false">IFERROR(L507/H507,0)</f>
        <v>30.2893660503761</v>
      </c>
      <c r="Q507" s="13" t="n">
        <f aca="false">IFERROR(K507/J507,0)</f>
        <v>0.0628648405927256</v>
      </c>
      <c r="R507" s="11" t="str">
        <f aca="false">IF(COUNTIF($A$2:A507,A507)&gt;1,"Duplicate - Remove","Unique")</f>
        <v>Unique</v>
      </c>
      <c r="S507" s="11" t="str">
        <f aca="false">TRIM(IF(Raw_Data!G507="","Region missing; ","")&amp;IF(Raw_Data!H507="","Spend imputed; ","")&amp;IF(Raw_Data!L507="","Revenue imputed; ","")&amp;IF(Raw_Data!J507&lt;0,"Clicks corrected; ",""))</f>
        <v>Revenue imputed;</v>
      </c>
    </row>
    <row r="508" customFormat="false" ht="15" hidden="false" customHeight="true" outlineLevel="0" collapsed="false">
      <c r="A508" s="11" t="n">
        <f aca="false">Raw_Data!A508</f>
        <v>1040</v>
      </c>
      <c r="B508" s="11" t="str">
        <f aca="false">PROPER(TRIM(Raw_Data!B508))</f>
        <v>Ayurvedic Range Launch</v>
      </c>
      <c r="C508" s="11" t="str">
        <f aca="false">IFERROR(INDEX(Lookup_Tables!$B$2:$B$26,MATCH(UPPER(TRIM(Raw_Data!C508)),Lookup_Tables!$C$2:$C$26,0)),"Unknown")</f>
        <v>Email</v>
      </c>
      <c r="D508" s="12" t="n">
        <f aca="false">IFERROR(IF(ISNUMBER(SEARCH("/",Raw_Data!D508)),DATE(VALUE(RIGHT(Raw_Data!D508,4)),VALUE(MID(Raw_Data!D508,FIND("/",Raw_Data!D508)+1,FIND("/",Raw_Data!D508,FIND("/",Raw_Data!D508)+1)-FIND("/",Raw_Data!D508)-1)),VALUE(LEFT(Raw_Data!D508,FIND("/",Raw_Data!D508)-1))),IF(ISNUMBER(VALUE(LEFT(Raw_Data!D508,4))),DATE(VALUE(LEFT(Raw_Data!D508,4)),VALUE(MID(Raw_Data!D508,6,2)),VALUE(MID(Raw_Data!D508,9,2))),DATEVALUE(Raw_Data!D508))),"")</f>
        <v>45623</v>
      </c>
      <c r="E508" s="12" t="n">
        <f aca="false">IFERROR(IF(ISNUMBER(SEARCH("/",Raw_Data!E508)),DATE(VALUE(RIGHT(Raw_Data!E508,4)),VALUE(MID(Raw_Data!E508,FIND("/",Raw_Data!E508)+1,FIND("/",Raw_Data!E508,FIND("/",Raw_Data!E508)+1)-FIND("/",Raw_Data!E508)-1)),VALUE(LEFT(Raw_Data!E508,FIND("/",Raw_Data!E508)-1))),IF(ISNUMBER(VALUE(LEFT(Raw_Data!E508,4))),DATE(VALUE(LEFT(Raw_Data!E508,4)),VALUE(MID(Raw_Data!E508,6,2)),VALUE(MID(Raw_Data!E508,9,2))),DATEVALUE(Raw_Data!E508))),"")</f>
        <v>45632</v>
      </c>
      <c r="F508" s="11" t="str">
        <f aca="false">Raw_Data!F508</f>
        <v>Male 18-24</v>
      </c>
      <c r="G508" s="11" t="str">
        <f aca="false">IF(TRIM(Raw_Data!G508)="","Unspecified",IFERROR(INDEX(Lookup_Tables!$F$2:$F$24,MATCH(UPPER(TRIM(Raw_Data!G508)),Lookup_Tables!$G$2:$G$24,0)),"Unknown"))</f>
        <v>Central</v>
      </c>
      <c r="H508" s="11" t="n">
        <f aca="false">IF(Raw_Data!H508="",ROUND(AVERAGEIFS(Raw_Data!$H$2:$H$839,Raw_Data!$C$2:$C$839,Raw_Data!C508),2),Raw_Data!H508)</f>
        <v>6786.42</v>
      </c>
      <c r="I508" s="11" t="n">
        <f aca="false">Raw_Data!I508</f>
        <v>113911</v>
      </c>
      <c r="J508" s="11" t="n">
        <f aca="false">IF(Raw_Data!J508&lt;0,ABS(Raw_Data!J508),Raw_Data!J508)</f>
        <v>1136</v>
      </c>
      <c r="K508" s="11" t="n">
        <f aca="false">Raw_Data!K508</f>
        <v>35</v>
      </c>
      <c r="L508" s="11" t="n">
        <f aca="false">IF(Raw_Data!L508="",ROUND(AVERAGEIFS(Raw_Data!$L$2:$L$839,Raw_Data!$C$2:$C$839,Raw_Data!C508),2),Raw_Data!L508)</f>
        <v>50259.6</v>
      </c>
      <c r="M508" s="13" t="n">
        <f aca="false">IFERROR(J508/I508,0)</f>
        <v>0.00997269798351345</v>
      </c>
      <c r="N508" s="14" t="n">
        <f aca="false">IFERROR(H508/J508,0)</f>
        <v>5.97396126760563</v>
      </c>
      <c r="O508" s="14" t="n">
        <f aca="false">IFERROR(H508/K508,0)</f>
        <v>193.897714285714</v>
      </c>
      <c r="P508" s="15" t="n">
        <f aca="false">IFERROR(L508/H508,0)</f>
        <v>7.40590768033809</v>
      </c>
      <c r="Q508" s="13" t="n">
        <f aca="false">IFERROR(K508/J508,0)</f>
        <v>0.0308098591549296</v>
      </c>
      <c r="R508" s="11" t="str">
        <f aca="false">IF(COUNTIF($A$2:A508,A508)&gt;1,"Duplicate - Remove","Unique")</f>
        <v>Unique</v>
      </c>
      <c r="S508" s="11" t="str">
        <f aca="false">TRIM(IF(Raw_Data!G508="","Region missing; ","")&amp;IF(Raw_Data!H508="","Spend imputed; ","")&amp;IF(Raw_Data!L508="","Revenue imputed; ","")&amp;IF(Raw_Data!J508&lt;0,"Clicks corrected; ",""))</f>
        <v/>
      </c>
    </row>
    <row r="509" customFormat="false" ht="15" hidden="false" customHeight="true" outlineLevel="0" collapsed="false">
      <c r="A509" s="11" t="n">
        <f aca="false">Raw_Data!A509</f>
        <v>1215</v>
      </c>
      <c r="B509" s="11" t="str">
        <f aca="false">PROPER(TRIM(Raw_Data!B509))</f>
        <v>Monsoon Skincare Push</v>
      </c>
      <c r="C509" s="11" t="str">
        <f aca="false">IFERROR(INDEX(Lookup_Tables!$B$2:$B$26,MATCH(UPPER(TRIM(Raw_Data!C509)),Lookup_Tables!$C$2:$C$26,0)),"Unknown")</f>
        <v>YouTube</v>
      </c>
      <c r="D509" s="12" t="n">
        <f aca="false">IFERROR(IF(ISNUMBER(SEARCH("/",Raw_Data!D509)),DATE(VALUE(RIGHT(Raw_Data!D509,4)),VALUE(MID(Raw_Data!D509,FIND("/",Raw_Data!D509)+1,FIND("/",Raw_Data!D509,FIND("/",Raw_Data!D509)+1)-FIND("/",Raw_Data!D509)-1)),VALUE(LEFT(Raw_Data!D509,FIND("/",Raw_Data!D509)-1))),IF(ISNUMBER(VALUE(LEFT(Raw_Data!D509,4))),DATE(VALUE(LEFT(Raw_Data!D509,4)),VALUE(MID(Raw_Data!D509,6,2)),VALUE(MID(Raw_Data!D509,9,2))),DATEVALUE(Raw_Data!D509))),"")</f>
        <v>45448</v>
      </c>
      <c r="E509" s="12" t="n">
        <f aca="false">IFERROR(IF(ISNUMBER(SEARCH("/",Raw_Data!E509)),DATE(VALUE(RIGHT(Raw_Data!E509,4)),VALUE(MID(Raw_Data!E509,FIND("/",Raw_Data!E509)+1,FIND("/",Raw_Data!E509,FIND("/",Raw_Data!E509)+1)-FIND("/",Raw_Data!E509)-1)),VALUE(LEFT(Raw_Data!E509,FIND("/",Raw_Data!E509)-1))),IF(ISNUMBER(VALUE(LEFT(Raw_Data!E509,4))),DATE(VALUE(LEFT(Raw_Data!E509,4)),VALUE(MID(Raw_Data!E509,6,2)),VALUE(MID(Raw_Data!E509,9,2))),DATEVALUE(Raw_Data!E509))),"")</f>
        <v>45459</v>
      </c>
      <c r="F509" s="11" t="str">
        <f aca="false">Raw_Data!F509</f>
        <v>Female 25-34</v>
      </c>
      <c r="G509" s="11" t="str">
        <f aca="false">IF(TRIM(Raw_Data!G509)="","Unspecified",IFERROR(INDEX(Lookup_Tables!$F$2:$F$24,MATCH(UPPER(TRIM(Raw_Data!G509)),Lookup_Tables!$G$2:$G$24,0)),"Unknown"))</f>
        <v>West</v>
      </c>
      <c r="H509" s="11" t="n">
        <f aca="false">IF(Raw_Data!H509="",ROUND(AVERAGEIFS(Raw_Data!$H$2:$H$839,Raw_Data!$C$2:$C$839,Raw_Data!C509),2),Raw_Data!H509)</f>
        <v>70607.29</v>
      </c>
      <c r="I509" s="11" t="n">
        <f aca="false">Raw_Data!I509</f>
        <v>2340521</v>
      </c>
      <c r="J509" s="11" t="n">
        <f aca="false">IF(Raw_Data!J509&lt;0,ABS(Raw_Data!J509),Raw_Data!J509)</f>
        <v>26569</v>
      </c>
      <c r="K509" s="11" t="n">
        <f aca="false">Raw_Data!K509</f>
        <v>1950</v>
      </c>
      <c r="L509" s="11" t="n">
        <f aca="false">IF(Raw_Data!L509="",ROUND(AVERAGEIFS(Raw_Data!$L$2:$L$839,Raw_Data!$C$2:$C$839,Raw_Data!C509),2),Raw_Data!L509)</f>
        <v>3089999.9</v>
      </c>
      <c r="M509" s="13" t="n">
        <f aca="false">IFERROR(J509/I509,0)</f>
        <v>0.0113517460428682</v>
      </c>
      <c r="N509" s="14" t="n">
        <f aca="false">IFERROR(H509/J509,0)</f>
        <v>2.65750649252889</v>
      </c>
      <c r="O509" s="14" t="n">
        <f aca="false">IFERROR(H509/K509,0)</f>
        <v>36.2088666666667</v>
      </c>
      <c r="P509" s="15" t="n">
        <f aca="false">IFERROR(L509/H509,0)</f>
        <v>43.7631850762152</v>
      </c>
      <c r="Q509" s="13" t="n">
        <f aca="false">IFERROR(K509/J509,0)</f>
        <v>0.0733938048101171</v>
      </c>
      <c r="R509" s="11" t="str">
        <f aca="false">IF(COUNTIF($A$2:A509,A509)&gt;1,"Duplicate - Remove","Unique")</f>
        <v>Unique</v>
      </c>
      <c r="S509" s="11" t="str">
        <f aca="false">TRIM(IF(Raw_Data!G509="","Region missing; ","")&amp;IF(Raw_Data!H509="","Spend imputed; ","")&amp;IF(Raw_Data!L509="","Revenue imputed; ","")&amp;IF(Raw_Data!J509&lt;0,"Clicks corrected; ",""))</f>
        <v/>
      </c>
    </row>
    <row r="510" customFormat="false" ht="15" hidden="false" customHeight="true" outlineLevel="0" collapsed="false">
      <c r="A510" s="11" t="n">
        <f aca="false">Raw_Data!A510</f>
        <v>1173</v>
      </c>
      <c r="B510" s="11" t="str">
        <f aca="false">PROPER(TRIM(Raw_Data!B510))</f>
        <v>Festive Gift Bundle</v>
      </c>
      <c r="C510" s="11" t="str">
        <f aca="false">IFERROR(INDEX(Lookup_Tables!$B$2:$B$26,MATCH(UPPER(TRIM(Raw_Data!C510)),Lookup_Tables!$C$2:$C$26,0)),"Unknown")</f>
        <v>YouTube</v>
      </c>
      <c r="D510" s="12" t="n">
        <f aca="false">IFERROR(IF(ISNUMBER(SEARCH("/",Raw_Data!D510)),DATE(VALUE(RIGHT(Raw_Data!D510,4)),VALUE(MID(Raw_Data!D510,FIND("/",Raw_Data!D510)+1,FIND("/",Raw_Data!D510,FIND("/",Raw_Data!D510)+1)-FIND("/",Raw_Data!D510)-1)),VALUE(LEFT(Raw_Data!D510,FIND("/",Raw_Data!D510)-1))),IF(ISNUMBER(VALUE(LEFT(Raw_Data!D510,4))),DATE(VALUE(LEFT(Raw_Data!D510,4)),VALUE(MID(Raw_Data!D510,6,2)),VALUE(MID(Raw_Data!D510,9,2))),DATEVALUE(Raw_Data!D510))),"")</f>
        <v>45530</v>
      </c>
      <c r="E510" s="12" t="n">
        <f aca="false">IFERROR(IF(ISNUMBER(SEARCH("/",Raw_Data!E510)),DATE(VALUE(RIGHT(Raw_Data!E510,4)),VALUE(MID(Raw_Data!E510,FIND("/",Raw_Data!E510)+1,FIND("/",Raw_Data!E510,FIND("/",Raw_Data!E510)+1)-FIND("/",Raw_Data!E510)-1)),VALUE(LEFT(Raw_Data!E510,FIND("/",Raw_Data!E510)-1))),IF(ISNUMBER(VALUE(LEFT(Raw_Data!E510,4))),DATE(VALUE(LEFT(Raw_Data!E510,4)),VALUE(MID(Raw_Data!E510,6,2)),VALUE(MID(Raw_Data!E510,9,2))),DATEVALUE(Raw_Data!E510))),"")</f>
        <v>45543</v>
      </c>
      <c r="F510" s="11" t="str">
        <f aca="false">Raw_Data!F510</f>
        <v>Male 45+</v>
      </c>
      <c r="G510" s="11" t="str">
        <f aca="false">IF(TRIM(Raw_Data!G510)="","Unspecified",IFERROR(INDEX(Lookup_Tables!$F$2:$F$24,MATCH(UPPER(TRIM(Raw_Data!G510)),Lookup_Tables!$G$2:$G$24,0)),"Unknown"))</f>
        <v>Unspecified</v>
      </c>
      <c r="H510" s="11" t="n">
        <f aca="false">IF(Raw_Data!H510="",ROUND(AVERAGEIFS(Raw_Data!$H$2:$H$839,Raw_Data!$C$2:$C$839,Raw_Data!C510),2),Raw_Data!H510)</f>
        <v>77780.91</v>
      </c>
      <c r="I510" s="11" t="n">
        <f aca="false">Raw_Data!I510</f>
        <v>2263903</v>
      </c>
      <c r="J510" s="11" t="n">
        <f aca="false">IF(Raw_Data!J510&lt;0,ABS(Raw_Data!J510),Raw_Data!J510)</f>
        <v>21583</v>
      </c>
      <c r="K510" s="11" t="n">
        <f aca="false">Raw_Data!K510</f>
        <v>1268</v>
      </c>
      <c r="L510" s="11" t="n">
        <f aca="false">IF(Raw_Data!L510="",ROUND(AVERAGEIFS(Raw_Data!$L$2:$L$839,Raw_Data!$C$2:$C$839,Raw_Data!C510),2),Raw_Data!L510)</f>
        <v>621597.44</v>
      </c>
      <c r="M510" s="13" t="n">
        <f aca="false">IFERROR(J510/I510,0)</f>
        <v>0.00953353566826847</v>
      </c>
      <c r="N510" s="14" t="n">
        <f aca="false">IFERROR(H510/J510,0)</f>
        <v>3.60380438307928</v>
      </c>
      <c r="O510" s="14" t="n">
        <f aca="false">IFERROR(H510/K510,0)</f>
        <v>61.3414116719243</v>
      </c>
      <c r="P510" s="15" t="n">
        <f aca="false">IFERROR(L510/H510,0)</f>
        <v>7.9916452507434</v>
      </c>
      <c r="Q510" s="13" t="n">
        <f aca="false">IFERROR(K510/J510,0)</f>
        <v>0.0587499420840476</v>
      </c>
      <c r="R510" s="11" t="str">
        <f aca="false">IF(COUNTIF($A$2:A510,A510)&gt;1,"Duplicate - Remove","Unique")</f>
        <v>Unique</v>
      </c>
      <c r="S510" s="11" t="str">
        <f aca="false">TRIM(IF(Raw_Data!G510="","Region missing; ","")&amp;IF(Raw_Data!H510="","Spend imputed; ","")&amp;IF(Raw_Data!L510="","Revenue imputed; ","")&amp;IF(Raw_Data!J510&lt;0,"Clicks corrected; ",""))</f>
        <v>Region missing;</v>
      </c>
    </row>
    <row r="511" customFormat="false" ht="15" hidden="false" customHeight="true" outlineLevel="0" collapsed="false">
      <c r="A511" s="11" t="n">
        <f aca="false">Raw_Data!A511</f>
        <v>1172</v>
      </c>
      <c r="B511" s="11" t="str">
        <f aca="false">PROPER(TRIM(Raw_Data!B511))</f>
        <v>Herbal Range Awareness</v>
      </c>
      <c r="C511" s="11" t="str">
        <f aca="false">IFERROR(INDEX(Lookup_Tables!$B$2:$B$26,MATCH(UPPER(TRIM(Raw_Data!C511)),Lookup_Tables!$C$2:$C$26,0)),"Unknown")</f>
        <v>Facebook</v>
      </c>
      <c r="D511" s="12" t="n">
        <f aca="false">IFERROR(IF(ISNUMBER(SEARCH("/",Raw_Data!D511)),DATE(VALUE(RIGHT(Raw_Data!D511,4)),VALUE(MID(Raw_Data!D511,FIND("/",Raw_Data!D511)+1,FIND("/",Raw_Data!D511,FIND("/",Raw_Data!D511)+1)-FIND("/",Raw_Data!D511)-1)),VALUE(LEFT(Raw_Data!D511,FIND("/",Raw_Data!D511)-1))),IF(ISNUMBER(VALUE(LEFT(Raw_Data!D511,4))),DATE(VALUE(LEFT(Raw_Data!D511,4)),VALUE(MID(Raw_Data!D511,6,2)),VALUE(MID(Raw_Data!D511,9,2))),DATEVALUE(Raw_Data!D511))),"")</f>
        <v>45397</v>
      </c>
      <c r="E511" s="12" t="n">
        <f aca="false">IFERROR(IF(ISNUMBER(SEARCH("/",Raw_Data!E511)),DATE(VALUE(RIGHT(Raw_Data!E511,4)),VALUE(MID(Raw_Data!E511,FIND("/",Raw_Data!E511)+1,FIND("/",Raw_Data!E511,FIND("/",Raw_Data!E511)+1)-FIND("/",Raw_Data!E511)-1)),VALUE(LEFT(Raw_Data!E511,FIND("/",Raw_Data!E511)-1))),IF(ISNUMBER(VALUE(LEFT(Raw_Data!E511,4))),DATE(VALUE(LEFT(Raw_Data!E511,4)),VALUE(MID(Raw_Data!E511,6,2)),VALUE(MID(Raw_Data!E511,9,2))),DATEVALUE(Raw_Data!E511))),"")</f>
        <v>45407</v>
      </c>
      <c r="F511" s="11" t="str">
        <f aca="false">Raw_Data!F511</f>
        <v>Female 18-24</v>
      </c>
      <c r="G511" s="11" t="str">
        <f aca="false">IF(TRIM(Raw_Data!G511)="","Unspecified",IFERROR(INDEX(Lookup_Tables!$F$2:$F$24,MATCH(UPPER(TRIM(Raw_Data!G511)),Lookup_Tables!$G$2:$G$24,0)),"Unknown"))</f>
        <v>Central</v>
      </c>
      <c r="H511" s="11" t="n">
        <f aca="false">IF(Raw_Data!H511="",ROUND(AVERAGEIFS(Raw_Data!$H$2:$H$839,Raw_Data!$C$2:$C$839,Raw_Data!C511),2),Raw_Data!H511)</f>
        <v>18839.7</v>
      </c>
      <c r="I511" s="11" t="n">
        <f aca="false">Raw_Data!I511</f>
        <v>321186</v>
      </c>
      <c r="J511" s="11" t="n">
        <f aca="false">IF(Raw_Data!J511&lt;0,ABS(Raw_Data!J511),Raw_Data!J511)</f>
        <v>9736</v>
      </c>
      <c r="K511" s="11" t="n">
        <f aca="false">Raw_Data!K511</f>
        <v>307</v>
      </c>
      <c r="L511" s="11" t="n">
        <f aca="false">IF(Raw_Data!L511="",ROUND(AVERAGEIFS(Raw_Data!$L$2:$L$839,Raw_Data!$C$2:$C$839,Raw_Data!C511),2),Raw_Data!L511)</f>
        <v>284382.59</v>
      </c>
      <c r="M511" s="13" t="n">
        <f aca="false">IFERROR(J511/I511,0)</f>
        <v>0.0303126537271238</v>
      </c>
      <c r="N511" s="14" t="n">
        <f aca="false">IFERROR(H511/J511,0)</f>
        <v>1.93505546425637</v>
      </c>
      <c r="O511" s="14" t="n">
        <f aca="false">IFERROR(H511/K511,0)</f>
        <v>61.3671009771987</v>
      </c>
      <c r="P511" s="15" t="n">
        <f aca="false">IFERROR(L511/H511,0)</f>
        <v>15.0948576675849</v>
      </c>
      <c r="Q511" s="13" t="n">
        <f aca="false">IFERROR(K511/J511,0)</f>
        <v>0.0315324568611339</v>
      </c>
      <c r="R511" s="11" t="str">
        <f aca="false">IF(COUNTIF($A$2:A511,A511)&gt;1,"Duplicate - Remove","Unique")</f>
        <v>Unique</v>
      </c>
      <c r="S511" s="11" t="str">
        <f aca="false">TRIM(IF(Raw_Data!G511="","Region missing; ","")&amp;IF(Raw_Data!H511="","Spend imputed; ","")&amp;IF(Raw_Data!L511="","Revenue imputed; ","")&amp;IF(Raw_Data!J511&lt;0,"Clicks corrected; ",""))</f>
        <v/>
      </c>
    </row>
    <row r="512" customFormat="false" ht="15" hidden="false" customHeight="true" outlineLevel="0" collapsed="false">
      <c r="A512" s="11" t="n">
        <f aca="false">Raw_Data!A512</f>
        <v>1141</v>
      </c>
      <c r="B512" s="11" t="str">
        <f aca="false">PROPER(TRIM(Raw_Data!B512))</f>
        <v>Festive Gift Bundle</v>
      </c>
      <c r="C512" s="11" t="str">
        <f aca="false">IFERROR(INDEX(Lookup_Tables!$B$2:$B$26,MATCH(UPPER(TRIM(Raw_Data!C512)),Lookup_Tables!$C$2:$C$26,0)),"Unknown")</f>
        <v>YouTube</v>
      </c>
      <c r="D512" s="12" t="n">
        <f aca="false">IFERROR(IF(ISNUMBER(SEARCH("/",Raw_Data!D512)),DATE(VALUE(RIGHT(Raw_Data!D512,4)),VALUE(MID(Raw_Data!D512,FIND("/",Raw_Data!D512)+1,FIND("/",Raw_Data!D512,FIND("/",Raw_Data!D512)+1)-FIND("/",Raw_Data!D512)-1)),VALUE(LEFT(Raw_Data!D512,FIND("/",Raw_Data!D512)-1))),IF(ISNUMBER(VALUE(LEFT(Raw_Data!D512,4))),DATE(VALUE(LEFT(Raw_Data!D512,4)),VALUE(MID(Raw_Data!D512,6,2)),VALUE(MID(Raw_Data!D512,9,2))),DATEVALUE(Raw_Data!D512))),"")</f>
        <v>45359</v>
      </c>
      <c r="E512" s="12" t="n">
        <f aca="false">IFERROR(IF(ISNUMBER(SEARCH("/",Raw_Data!E512)),DATE(VALUE(RIGHT(Raw_Data!E512,4)),VALUE(MID(Raw_Data!E512,FIND("/",Raw_Data!E512)+1,FIND("/",Raw_Data!E512,FIND("/",Raw_Data!E512)+1)-FIND("/",Raw_Data!E512)-1)),VALUE(LEFT(Raw_Data!E512,FIND("/",Raw_Data!E512)-1))),IF(ISNUMBER(VALUE(LEFT(Raw_Data!E512,4))),DATE(VALUE(LEFT(Raw_Data!E512,4)),VALUE(MID(Raw_Data!E512,6,2)),VALUE(MID(Raw_Data!E512,9,2))),DATEVALUE(Raw_Data!E512))),"")</f>
        <v>45371</v>
      </c>
      <c r="F512" s="11" t="str">
        <f aca="false">Raw_Data!F512</f>
        <v>Female 35-44</v>
      </c>
      <c r="G512" s="11" t="str">
        <f aca="false">IF(TRIM(Raw_Data!G512)="","Unspecified",IFERROR(INDEX(Lookup_Tables!$F$2:$F$24,MATCH(UPPER(TRIM(Raw_Data!G512)),Lookup_Tables!$G$2:$G$24,0)),"Unknown"))</f>
        <v>North</v>
      </c>
      <c r="H512" s="11" t="n">
        <f aca="false">IF(Raw_Data!H512="",ROUND(AVERAGEIFS(Raw_Data!$H$2:$H$839,Raw_Data!$C$2:$C$839,Raw_Data!C512),2),Raw_Data!H512)</f>
        <v>68354.61</v>
      </c>
      <c r="I512" s="11" t="n">
        <f aca="false">Raw_Data!I512</f>
        <v>2441082</v>
      </c>
      <c r="J512" s="11" t="n">
        <f aca="false">IF(Raw_Data!J512&lt;0,ABS(Raw_Data!J512),Raw_Data!J512)</f>
        <v>67969</v>
      </c>
      <c r="K512" s="11" t="n">
        <f aca="false">Raw_Data!K512</f>
        <v>3897</v>
      </c>
      <c r="L512" s="11" t="n">
        <f aca="false">IF(Raw_Data!L512="",ROUND(AVERAGEIFS(Raw_Data!$L$2:$L$839,Raw_Data!$C$2:$C$839,Raw_Data!C512),2),Raw_Data!L512)</f>
        <v>4129709.95</v>
      </c>
      <c r="M512" s="13" t="n">
        <f aca="false">IFERROR(J512/I512,0)</f>
        <v>0.0278438004130955</v>
      </c>
      <c r="N512" s="14" t="n">
        <f aca="false">IFERROR(H512/J512,0)</f>
        <v>1.00567332166135</v>
      </c>
      <c r="O512" s="14" t="n">
        <f aca="false">IFERROR(H512/K512,0)</f>
        <v>17.5403156274057</v>
      </c>
      <c r="P512" s="15" t="n">
        <f aca="false">IFERROR(L512/H512,0)</f>
        <v>60.4159682865574</v>
      </c>
      <c r="Q512" s="13" t="n">
        <f aca="false">IFERROR(K512/J512,0)</f>
        <v>0.0573349615265783</v>
      </c>
      <c r="R512" s="11" t="str">
        <f aca="false">IF(COUNTIF($A$2:A512,A512)&gt;1,"Duplicate - Remove","Unique")</f>
        <v>Unique</v>
      </c>
      <c r="S512" s="11" t="str">
        <f aca="false">TRIM(IF(Raw_Data!G512="","Region missing; ","")&amp;IF(Raw_Data!H512="","Spend imputed; ","")&amp;IF(Raw_Data!L512="","Revenue imputed; ","")&amp;IF(Raw_Data!J512&lt;0,"Clicks corrected; ",""))</f>
        <v/>
      </c>
    </row>
    <row r="513" customFormat="false" ht="15" hidden="false" customHeight="true" outlineLevel="0" collapsed="false">
      <c r="A513" s="11" t="n">
        <f aca="false">Raw_Data!A513</f>
        <v>1463</v>
      </c>
      <c r="B513" s="11" t="str">
        <f aca="false">PROPER(TRIM(Raw_Data!B513))</f>
        <v>Monsoon Skincare Push</v>
      </c>
      <c r="C513" s="11" t="str">
        <f aca="false">IFERROR(INDEX(Lookup_Tables!$B$2:$B$26,MATCH(UPPER(TRIM(Raw_Data!C513)),Lookup_Tables!$C$2:$C$26,0)),"Unknown")</f>
        <v>Google Ads</v>
      </c>
      <c r="D513" s="12" t="n">
        <f aca="false">IFERROR(IF(ISNUMBER(SEARCH("/",Raw_Data!D513)),DATE(VALUE(RIGHT(Raw_Data!D513,4)),VALUE(MID(Raw_Data!D513,FIND("/",Raw_Data!D513)+1,FIND("/",Raw_Data!D513,FIND("/",Raw_Data!D513)+1)-FIND("/",Raw_Data!D513)-1)),VALUE(LEFT(Raw_Data!D513,FIND("/",Raw_Data!D513)-1))),IF(ISNUMBER(VALUE(LEFT(Raw_Data!D513,4))),DATE(VALUE(LEFT(Raw_Data!D513,4)),VALUE(MID(Raw_Data!D513,6,2)),VALUE(MID(Raw_Data!D513,9,2))),DATEVALUE(Raw_Data!D513))),"")</f>
        <v>45378</v>
      </c>
      <c r="E513" s="12" t="n">
        <f aca="false">IFERROR(IF(ISNUMBER(SEARCH("/",Raw_Data!E513)),DATE(VALUE(RIGHT(Raw_Data!E513,4)),VALUE(MID(Raw_Data!E513,FIND("/",Raw_Data!E513)+1,FIND("/",Raw_Data!E513,FIND("/",Raw_Data!E513)+1)-FIND("/",Raw_Data!E513)-1)),VALUE(LEFT(Raw_Data!E513,FIND("/",Raw_Data!E513)-1))),IF(ISNUMBER(VALUE(LEFT(Raw_Data!E513,4))),DATE(VALUE(LEFT(Raw_Data!E513,4)),VALUE(MID(Raw_Data!E513,6,2)),VALUE(MID(Raw_Data!E513,9,2))),DATEVALUE(Raw_Data!E513))),"")</f>
        <v>45384</v>
      </c>
      <c r="F513" s="11" t="str">
        <f aca="false">Raw_Data!F513</f>
        <v>Female 45+</v>
      </c>
      <c r="G513" s="11" t="str">
        <f aca="false">IF(TRIM(Raw_Data!G513)="","Unspecified",IFERROR(INDEX(Lookup_Tables!$F$2:$F$24,MATCH(UPPER(TRIM(Raw_Data!G513)),Lookup_Tables!$G$2:$G$24,0)),"Unknown"))</f>
        <v>South</v>
      </c>
      <c r="H513" s="11" t="n">
        <f aca="false">IF(Raw_Data!H513="",ROUND(AVERAGEIFS(Raw_Data!$H$2:$H$839,Raw_Data!$C$2:$C$839,Raw_Data!C513),2),Raw_Data!H513)</f>
        <v>34890.87</v>
      </c>
      <c r="I513" s="11" t="n">
        <f aca="false">Raw_Data!I513</f>
        <v>936711</v>
      </c>
      <c r="J513" s="11" t="n">
        <f aca="false">IF(Raw_Data!J513&lt;0,ABS(Raw_Data!J513),Raw_Data!J513)</f>
        <v>31241</v>
      </c>
      <c r="K513" s="11" t="n">
        <f aca="false">Raw_Data!K513</f>
        <v>569</v>
      </c>
      <c r="L513" s="11" t="n">
        <f aca="false">IF(Raw_Data!L513="",ROUND(AVERAGEIFS(Raw_Data!$L$2:$L$839,Raw_Data!$C$2:$C$839,Raw_Data!C513),2),Raw_Data!L513)</f>
        <v>624409.79</v>
      </c>
      <c r="M513" s="13" t="n">
        <f aca="false">IFERROR(J513/I513,0)</f>
        <v>0.0333518022100733</v>
      </c>
      <c r="N513" s="14" t="n">
        <f aca="false">IFERROR(H513/J513,0)</f>
        <v>1.11682948689223</v>
      </c>
      <c r="O513" s="14" t="n">
        <f aca="false">IFERROR(H513/K513,0)</f>
        <v>61.3196309314587</v>
      </c>
      <c r="P513" s="15" t="n">
        <f aca="false">IFERROR(L513/H513,0)</f>
        <v>17.8960796907615</v>
      </c>
      <c r="Q513" s="13" t="n">
        <f aca="false">IFERROR(K513/J513,0)</f>
        <v>0.0182132454146794</v>
      </c>
      <c r="R513" s="11" t="str">
        <f aca="false">IF(COUNTIF($A$2:A513,A513)&gt;1,"Duplicate - Remove","Unique")</f>
        <v>Unique</v>
      </c>
      <c r="S513" s="11" t="str">
        <f aca="false">TRIM(IF(Raw_Data!G513="","Region missing; ","")&amp;IF(Raw_Data!H513="","Spend imputed; ","")&amp;IF(Raw_Data!L513="","Revenue imputed; ","")&amp;IF(Raw_Data!J513&lt;0,"Clicks corrected; ",""))</f>
        <v/>
      </c>
    </row>
    <row r="514" customFormat="false" ht="15" hidden="false" customHeight="true" outlineLevel="0" collapsed="false">
      <c r="A514" s="11" t="n">
        <f aca="false">Raw_Data!A514</f>
        <v>1246</v>
      </c>
      <c r="B514" s="11" t="str">
        <f aca="false">PROPER(TRIM(Raw_Data!B514))</f>
        <v>Men'S Grooming Drive</v>
      </c>
      <c r="C514" s="11" t="str">
        <f aca="false">IFERROR(INDEX(Lookup_Tables!$B$2:$B$26,MATCH(UPPER(TRIM(Raw_Data!C514)),Lookup_Tables!$C$2:$C$26,0)),"Unknown")</f>
        <v>YouTube</v>
      </c>
      <c r="D514" s="12" t="n">
        <f aca="false">IFERROR(IF(ISNUMBER(SEARCH("/",Raw_Data!D514)),DATE(VALUE(RIGHT(Raw_Data!D514,4)),VALUE(MID(Raw_Data!D514,FIND("/",Raw_Data!D514)+1,FIND("/",Raw_Data!D514,FIND("/",Raw_Data!D514)+1)-FIND("/",Raw_Data!D514)-1)),VALUE(LEFT(Raw_Data!D514,FIND("/",Raw_Data!D514)-1))),IF(ISNUMBER(VALUE(LEFT(Raw_Data!D514,4))),DATE(VALUE(LEFT(Raw_Data!D514,4)),VALUE(MID(Raw_Data!D514,6,2)),VALUE(MID(Raw_Data!D514,9,2))),DATEVALUE(Raw_Data!D514))),"")</f>
        <v>45503</v>
      </c>
      <c r="E514" s="12" t="n">
        <f aca="false">IFERROR(IF(ISNUMBER(SEARCH("/",Raw_Data!E514)),DATE(VALUE(RIGHT(Raw_Data!E514,4)),VALUE(MID(Raw_Data!E514,FIND("/",Raw_Data!E514)+1,FIND("/",Raw_Data!E514,FIND("/",Raw_Data!E514)+1)-FIND("/",Raw_Data!E514)-1)),VALUE(LEFT(Raw_Data!E514,FIND("/",Raw_Data!E514)-1))),IF(ISNUMBER(VALUE(LEFT(Raw_Data!E514,4))),DATE(VALUE(LEFT(Raw_Data!E514,4)),VALUE(MID(Raw_Data!E514,6,2)),VALUE(MID(Raw_Data!E514,9,2))),DATEVALUE(Raw_Data!E514))),"")</f>
        <v>45516</v>
      </c>
      <c r="F514" s="11" t="str">
        <f aca="false">Raw_Data!F514</f>
        <v>Male 35-44</v>
      </c>
      <c r="G514" s="11" t="str">
        <f aca="false">IF(TRIM(Raw_Data!G514)="","Unspecified",IFERROR(INDEX(Lookup_Tables!$F$2:$F$24,MATCH(UPPER(TRIM(Raw_Data!G514)),Lookup_Tables!$G$2:$G$24,0)),"Unknown"))</f>
        <v>South</v>
      </c>
      <c r="H514" s="11" t="n">
        <f aca="false">IF(Raw_Data!H514="",ROUND(AVERAGEIFS(Raw_Data!$H$2:$H$839,Raw_Data!$C$2:$C$839,Raw_Data!C514),2),Raw_Data!H514)</f>
        <v>50849.16</v>
      </c>
      <c r="I514" s="11" t="n">
        <f aca="false">Raw_Data!I514</f>
        <v>566606</v>
      </c>
      <c r="J514" s="11" t="n">
        <f aca="false">IF(Raw_Data!J514&lt;0,ABS(Raw_Data!J514),Raw_Data!J514)</f>
        <v>16693</v>
      </c>
      <c r="K514" s="11" t="n">
        <f aca="false">Raw_Data!K514</f>
        <v>1157</v>
      </c>
      <c r="L514" s="11" t="n">
        <f aca="false">IF(Raw_Data!L514="",ROUND(AVERAGEIFS(Raw_Data!$L$2:$L$839,Raw_Data!$C$2:$C$839,Raw_Data!C514),2),Raw_Data!L514)</f>
        <v>981868.53</v>
      </c>
      <c r="M514" s="13" t="n">
        <f aca="false">IFERROR(J514/I514,0)</f>
        <v>0.0294613893958059</v>
      </c>
      <c r="N514" s="14" t="n">
        <f aca="false">IFERROR(H514/J514,0)</f>
        <v>3.04613670400767</v>
      </c>
      <c r="O514" s="14" t="n">
        <f aca="false">IFERROR(H514/K514,0)</f>
        <v>43.9491443388073</v>
      </c>
      <c r="P514" s="15" t="n">
        <f aca="false">IFERROR(L514/H514,0)</f>
        <v>19.3094346101293</v>
      </c>
      <c r="Q514" s="13" t="n">
        <f aca="false">IFERROR(K514/J514,0)</f>
        <v>0.0693104894267058</v>
      </c>
      <c r="R514" s="11" t="str">
        <f aca="false">IF(COUNTIF($A$2:A514,A514)&gt;1,"Duplicate - Remove","Unique")</f>
        <v>Unique</v>
      </c>
      <c r="S514" s="11" t="str">
        <f aca="false">TRIM(IF(Raw_Data!G514="","Region missing; ","")&amp;IF(Raw_Data!H514="","Spend imputed; ","")&amp;IF(Raw_Data!L514="","Revenue imputed; ","")&amp;IF(Raw_Data!J514&lt;0,"Clicks corrected; ",""))</f>
        <v>Spend imputed;</v>
      </c>
    </row>
    <row r="515" customFormat="false" ht="15" hidden="false" customHeight="true" outlineLevel="0" collapsed="false">
      <c r="A515" s="11" t="n">
        <f aca="false">Raw_Data!A515</f>
        <v>1076</v>
      </c>
      <c r="B515" s="11" t="str">
        <f aca="false">PROPER(TRIM(Raw_Data!B515))</f>
        <v>Baby Care Trust Campaign</v>
      </c>
      <c r="C515" s="11" t="str">
        <f aca="false">IFERROR(INDEX(Lookup_Tables!$B$2:$B$26,MATCH(UPPER(TRIM(Raw_Data!C515)),Lookup_Tables!$C$2:$C$26,0)),"Unknown")</f>
        <v>Facebook</v>
      </c>
      <c r="D515" s="12" t="n">
        <f aca="false">IFERROR(IF(ISNUMBER(SEARCH("/",Raw_Data!D515)),DATE(VALUE(RIGHT(Raw_Data!D515,4)),VALUE(MID(Raw_Data!D515,FIND("/",Raw_Data!D515)+1,FIND("/",Raw_Data!D515,FIND("/",Raw_Data!D515)+1)-FIND("/",Raw_Data!D515)-1)),VALUE(LEFT(Raw_Data!D515,FIND("/",Raw_Data!D515)-1))),IF(ISNUMBER(VALUE(LEFT(Raw_Data!D515,4))),DATE(VALUE(LEFT(Raw_Data!D515,4)),VALUE(MID(Raw_Data!D515,6,2)),VALUE(MID(Raw_Data!D515,9,2))),DATEVALUE(Raw_Data!D515))),"")</f>
        <v>45532</v>
      </c>
      <c r="E515" s="12" t="n">
        <f aca="false">IFERROR(IF(ISNUMBER(SEARCH("/",Raw_Data!E515)),DATE(VALUE(RIGHT(Raw_Data!E515,4)),VALUE(MID(Raw_Data!E515,FIND("/",Raw_Data!E515)+1,FIND("/",Raw_Data!E515,FIND("/",Raw_Data!E515)+1)-FIND("/",Raw_Data!E515)-1)),VALUE(LEFT(Raw_Data!E515,FIND("/",Raw_Data!E515)-1))),IF(ISNUMBER(VALUE(LEFT(Raw_Data!E515,4))),DATE(VALUE(LEFT(Raw_Data!E515,4)),VALUE(MID(Raw_Data!E515,6,2)),VALUE(MID(Raw_Data!E515,9,2))),DATEVALUE(Raw_Data!E515))),"")</f>
        <v>45543</v>
      </c>
      <c r="F515" s="11" t="str">
        <f aca="false">Raw_Data!F515</f>
        <v>Male 25-34</v>
      </c>
      <c r="G515" s="11" t="str">
        <f aca="false">IF(TRIM(Raw_Data!G515)="","Unspecified",IFERROR(INDEX(Lookup_Tables!$F$2:$F$24,MATCH(UPPER(TRIM(Raw_Data!G515)),Lookup_Tables!$G$2:$G$24,0)),"Unknown"))</f>
        <v>West</v>
      </c>
      <c r="H515" s="11" t="n">
        <f aca="false">IF(Raw_Data!H515="",ROUND(AVERAGEIFS(Raw_Data!$H$2:$H$839,Raw_Data!$C$2:$C$839,Raw_Data!C515),2),Raw_Data!H515)</f>
        <v>35845.5</v>
      </c>
      <c r="I515" s="11" t="n">
        <f aca="false">Raw_Data!I515</f>
        <v>1048856</v>
      </c>
      <c r="J515" s="11" t="n">
        <f aca="false">IF(Raw_Data!J515&lt;0,ABS(Raw_Data!J515),Raw_Data!J515)</f>
        <v>19107</v>
      </c>
      <c r="K515" s="11" t="n">
        <f aca="false">Raw_Data!K515</f>
        <v>1220</v>
      </c>
      <c r="L515" s="11" t="n">
        <f aca="false">IF(Raw_Data!L515="",ROUND(AVERAGEIFS(Raw_Data!$L$2:$L$839,Raw_Data!$C$2:$C$839,Raw_Data!C515),2),Raw_Data!L515)</f>
        <v>1803501.42</v>
      </c>
      <c r="M515" s="13" t="n">
        <f aca="false">IFERROR(J515/I515,0)</f>
        <v>0.0182169907022508</v>
      </c>
      <c r="N515" s="14" t="n">
        <f aca="false">IFERROR(H515/J515,0)</f>
        <v>1.87604019469304</v>
      </c>
      <c r="O515" s="14" t="n">
        <f aca="false">IFERROR(H515/K515,0)</f>
        <v>29.3815573770492</v>
      </c>
      <c r="P515" s="15" t="n">
        <f aca="false">IFERROR(L515/H515,0)</f>
        <v>50.3131891032347</v>
      </c>
      <c r="Q515" s="13" t="n">
        <f aca="false">IFERROR(K515/J515,0)</f>
        <v>0.0638509446799602</v>
      </c>
      <c r="R515" s="11" t="str">
        <f aca="false">IF(COUNTIF($A$2:A515,A515)&gt;1,"Duplicate - Remove","Unique")</f>
        <v>Unique</v>
      </c>
      <c r="S515" s="11" t="str">
        <f aca="false">TRIM(IF(Raw_Data!G515="","Region missing; ","")&amp;IF(Raw_Data!H515="","Spend imputed; ","")&amp;IF(Raw_Data!L515="","Revenue imputed; ","")&amp;IF(Raw_Data!J515&lt;0,"Clicks corrected; ",""))</f>
        <v/>
      </c>
    </row>
    <row r="516" customFormat="false" ht="15" hidden="false" customHeight="true" outlineLevel="0" collapsed="false">
      <c r="A516" s="11" t="n">
        <f aca="false">Raw_Data!A516</f>
        <v>1804</v>
      </c>
      <c r="B516" s="11" t="str">
        <f aca="false">PROPER(TRIM(Raw_Data!B516))</f>
        <v>Back To College Offer</v>
      </c>
      <c r="C516" s="11" t="str">
        <f aca="false">IFERROR(INDEX(Lookup_Tables!$B$2:$B$26,MATCH(UPPER(TRIM(Raw_Data!C516)),Lookup_Tables!$C$2:$C$26,0)),"Unknown")</f>
        <v>Email</v>
      </c>
      <c r="D516" s="12" t="n">
        <f aca="false">IFERROR(IF(ISNUMBER(SEARCH("/",Raw_Data!D516)),DATE(VALUE(RIGHT(Raw_Data!D516,4)),VALUE(MID(Raw_Data!D516,FIND("/",Raw_Data!D516)+1,FIND("/",Raw_Data!D516,FIND("/",Raw_Data!D516)+1)-FIND("/",Raw_Data!D516)-1)),VALUE(LEFT(Raw_Data!D516,FIND("/",Raw_Data!D516)-1))),IF(ISNUMBER(VALUE(LEFT(Raw_Data!D516,4))),DATE(VALUE(LEFT(Raw_Data!D516,4)),VALUE(MID(Raw_Data!D516,6,2)),VALUE(MID(Raw_Data!D516,9,2))),DATEVALUE(Raw_Data!D516))),"")</f>
        <v>45429</v>
      </c>
      <c r="E516" s="12" t="n">
        <f aca="false">IFERROR(IF(ISNUMBER(SEARCH("/",Raw_Data!E516)),DATE(VALUE(RIGHT(Raw_Data!E516,4)),VALUE(MID(Raw_Data!E516,FIND("/",Raw_Data!E516)+1,FIND("/",Raw_Data!E516,FIND("/",Raw_Data!E516)+1)-FIND("/",Raw_Data!E516)-1)),VALUE(LEFT(Raw_Data!E516,FIND("/",Raw_Data!E516)-1))),IF(ISNUMBER(VALUE(LEFT(Raw_Data!E516,4))),DATE(VALUE(LEFT(Raw_Data!E516,4)),VALUE(MID(Raw_Data!E516,6,2)),VALUE(MID(Raw_Data!E516,9,2))),DATEVALUE(Raw_Data!E516))),"")</f>
        <v>45441</v>
      </c>
      <c r="F516" s="11" t="str">
        <f aca="false">Raw_Data!F516</f>
        <v>Male 25-34</v>
      </c>
      <c r="G516" s="11" t="str">
        <f aca="false">IF(TRIM(Raw_Data!G516)="","Unspecified",IFERROR(INDEX(Lookup_Tables!$F$2:$F$24,MATCH(UPPER(TRIM(Raw_Data!G516)),Lookup_Tables!$G$2:$G$24,0)),"Unknown"))</f>
        <v>West</v>
      </c>
      <c r="H516" s="11" t="n">
        <f aca="false">IF(Raw_Data!H516="",ROUND(AVERAGEIFS(Raw_Data!$H$2:$H$839,Raw_Data!$C$2:$C$839,Raw_Data!C516),2),Raw_Data!H516)</f>
        <v>6992.98</v>
      </c>
      <c r="I516" s="11" t="n">
        <f aca="false">Raw_Data!I516</f>
        <v>126686</v>
      </c>
      <c r="J516" s="11" t="n">
        <f aca="false">IF(Raw_Data!J516&lt;0,ABS(Raw_Data!J516),Raw_Data!J516)</f>
        <v>2230</v>
      </c>
      <c r="K516" s="11" t="n">
        <f aca="false">Raw_Data!K516</f>
        <v>123</v>
      </c>
      <c r="L516" s="11" t="n">
        <f aca="false">IF(Raw_Data!L516="",ROUND(AVERAGEIFS(Raw_Data!$L$2:$L$839,Raw_Data!$C$2:$C$839,Raw_Data!C516),2),Raw_Data!L516)</f>
        <v>131810.74</v>
      </c>
      <c r="M516" s="13" t="n">
        <f aca="false">IFERROR(J516/I516,0)</f>
        <v>0.0176025764488578</v>
      </c>
      <c r="N516" s="14" t="n">
        <f aca="false">IFERROR(H516/J516,0)</f>
        <v>3.13586547085202</v>
      </c>
      <c r="O516" s="14" t="n">
        <f aca="false">IFERROR(H516/K516,0)</f>
        <v>56.8534959349594</v>
      </c>
      <c r="P516" s="15" t="n">
        <f aca="false">IFERROR(L516/H516,0)</f>
        <v>18.8490085771731</v>
      </c>
      <c r="Q516" s="13" t="n">
        <f aca="false">IFERROR(K516/J516,0)</f>
        <v>0.0551569506726457</v>
      </c>
      <c r="R516" s="11" t="str">
        <f aca="false">IF(COUNTIF($A$2:A516,A516)&gt;1,"Duplicate - Remove","Unique")</f>
        <v>Unique</v>
      </c>
      <c r="S516" s="11" t="str">
        <f aca="false">TRIM(IF(Raw_Data!G516="","Region missing; ","")&amp;IF(Raw_Data!H516="","Spend imputed; ","")&amp;IF(Raw_Data!L516="","Revenue imputed; ","")&amp;IF(Raw_Data!J516&lt;0,"Clicks corrected; ",""))</f>
        <v/>
      </c>
    </row>
    <row r="517" customFormat="false" ht="15" hidden="false" customHeight="true" outlineLevel="0" collapsed="false">
      <c r="A517" s="11" t="n">
        <f aca="false">Raw_Data!A517</f>
        <v>1221</v>
      </c>
      <c r="B517" s="11" t="str">
        <f aca="false">PROPER(TRIM(Raw_Data!B517))</f>
        <v>Men'S Grooming Drive</v>
      </c>
      <c r="C517" s="11" t="str">
        <f aca="false">IFERROR(INDEX(Lookup_Tables!$B$2:$B$26,MATCH(UPPER(TRIM(Raw_Data!C517)),Lookup_Tables!$C$2:$C$26,0)),"Unknown")</f>
        <v>Facebook</v>
      </c>
      <c r="D517" s="12" t="n">
        <f aca="false">IFERROR(IF(ISNUMBER(SEARCH("/",Raw_Data!D517)),DATE(VALUE(RIGHT(Raw_Data!D517,4)),VALUE(MID(Raw_Data!D517,FIND("/",Raw_Data!D517)+1,FIND("/",Raw_Data!D517,FIND("/",Raw_Data!D517)+1)-FIND("/",Raw_Data!D517)-1)),VALUE(LEFT(Raw_Data!D517,FIND("/",Raw_Data!D517)-1))),IF(ISNUMBER(VALUE(LEFT(Raw_Data!D517,4))),DATE(VALUE(LEFT(Raw_Data!D517,4)),VALUE(MID(Raw_Data!D517,6,2)),VALUE(MID(Raw_Data!D517,9,2))),DATEVALUE(Raw_Data!D517))),"")</f>
        <v>45490</v>
      </c>
      <c r="E517" s="12" t="n">
        <f aca="false">IFERROR(IF(ISNUMBER(SEARCH("/",Raw_Data!E517)),DATE(VALUE(RIGHT(Raw_Data!E517,4)),VALUE(MID(Raw_Data!E517,FIND("/",Raw_Data!E517)+1,FIND("/",Raw_Data!E517,FIND("/",Raw_Data!E517)+1)-FIND("/",Raw_Data!E517)-1)),VALUE(LEFT(Raw_Data!E517,FIND("/",Raw_Data!E517)-1))),IF(ISNUMBER(VALUE(LEFT(Raw_Data!E517,4))),DATE(VALUE(LEFT(Raw_Data!E517,4)),VALUE(MID(Raw_Data!E517,6,2)),VALUE(MID(Raw_Data!E517,9,2))),DATEVALUE(Raw_Data!E517))),"")</f>
        <v>45510</v>
      </c>
      <c r="F517" s="11" t="str">
        <f aca="false">Raw_Data!F517</f>
        <v>Male 35-44</v>
      </c>
      <c r="G517" s="11" t="str">
        <f aca="false">IF(TRIM(Raw_Data!G517)="","Unspecified",IFERROR(INDEX(Lookup_Tables!$F$2:$F$24,MATCH(UPPER(TRIM(Raw_Data!G517)),Lookup_Tables!$G$2:$G$24,0)),"Unknown"))</f>
        <v>South</v>
      </c>
      <c r="H517" s="11" t="n">
        <f aca="false">IF(Raw_Data!H517="",ROUND(AVERAGEIFS(Raw_Data!$H$2:$H$839,Raw_Data!$C$2:$C$839,Raw_Data!C517),2),Raw_Data!H517)</f>
        <v>44788.29</v>
      </c>
      <c r="I517" s="11" t="n">
        <f aca="false">Raw_Data!I517</f>
        <v>716505</v>
      </c>
      <c r="J517" s="11" t="n">
        <f aca="false">IF(Raw_Data!J517&lt;0,ABS(Raw_Data!J517),Raw_Data!J517)</f>
        <v>17522</v>
      </c>
      <c r="K517" s="11" t="n">
        <f aca="false">Raw_Data!K517</f>
        <v>301</v>
      </c>
      <c r="L517" s="11" t="n">
        <f aca="false">IF(Raw_Data!L517="",ROUND(AVERAGEIFS(Raw_Data!$L$2:$L$839,Raw_Data!$C$2:$C$839,Raw_Data!C517),2),Raw_Data!L517)</f>
        <v>528026.25</v>
      </c>
      <c r="M517" s="13" t="n">
        <f aca="false">IFERROR(J517/I517,0)</f>
        <v>0.0244548188777468</v>
      </c>
      <c r="N517" s="14" t="n">
        <f aca="false">IFERROR(H517/J517,0)</f>
        <v>2.55611745234562</v>
      </c>
      <c r="O517" s="14" t="n">
        <f aca="false">IFERROR(H517/K517,0)</f>
        <v>148.798305647841</v>
      </c>
      <c r="P517" s="15" t="n">
        <f aca="false">IFERROR(L517/H517,0)</f>
        <v>11.7893817781389</v>
      </c>
      <c r="Q517" s="13" t="n">
        <f aca="false">IFERROR(K517/J517,0)</f>
        <v>0.0171784042917475</v>
      </c>
      <c r="R517" s="11" t="str">
        <f aca="false">IF(COUNTIF($A$2:A517,A517)&gt;1,"Duplicate - Remove","Unique")</f>
        <v>Unique</v>
      </c>
      <c r="S517" s="11" t="str">
        <f aca="false">TRIM(IF(Raw_Data!G517="","Region missing; ","")&amp;IF(Raw_Data!H517="","Spend imputed; ","")&amp;IF(Raw_Data!L517="","Revenue imputed; ","")&amp;IF(Raw_Data!J517&lt;0,"Clicks corrected; ",""))</f>
        <v/>
      </c>
    </row>
    <row r="518" customFormat="false" ht="15" hidden="false" customHeight="true" outlineLevel="0" collapsed="false">
      <c r="A518" s="11" t="n">
        <f aca="false">Raw_Data!A518</f>
        <v>1162</v>
      </c>
      <c r="B518" s="11" t="str">
        <f aca="false">PROPER(TRIM(Raw_Data!B518))</f>
        <v>Monsoon Skincare Push</v>
      </c>
      <c r="C518" s="11" t="str">
        <f aca="false">IFERROR(INDEX(Lookup_Tables!$B$2:$B$26,MATCH(UPPER(TRIM(Raw_Data!C518)),Lookup_Tables!$C$2:$C$26,0)),"Unknown")</f>
        <v>Email</v>
      </c>
      <c r="D518" s="12" t="n">
        <f aca="false">IFERROR(IF(ISNUMBER(SEARCH("/",Raw_Data!D518)),DATE(VALUE(RIGHT(Raw_Data!D518,4)),VALUE(MID(Raw_Data!D518,FIND("/",Raw_Data!D518)+1,FIND("/",Raw_Data!D518,FIND("/",Raw_Data!D518)+1)-FIND("/",Raw_Data!D518)-1)),VALUE(LEFT(Raw_Data!D518,FIND("/",Raw_Data!D518)-1))),IF(ISNUMBER(VALUE(LEFT(Raw_Data!D518,4))),DATE(VALUE(LEFT(Raw_Data!D518,4)),VALUE(MID(Raw_Data!D518,6,2)),VALUE(MID(Raw_Data!D518,9,2))),DATEVALUE(Raw_Data!D518))),"")</f>
        <v>45487</v>
      </c>
      <c r="E518" s="12" t="n">
        <f aca="false">IFERROR(IF(ISNUMBER(SEARCH("/",Raw_Data!E518)),DATE(VALUE(RIGHT(Raw_Data!E518,4)),VALUE(MID(Raw_Data!E518,FIND("/",Raw_Data!E518)+1,FIND("/",Raw_Data!E518,FIND("/",Raw_Data!E518)+1)-FIND("/",Raw_Data!E518)-1)),VALUE(LEFT(Raw_Data!E518,FIND("/",Raw_Data!E518)-1))),IF(ISNUMBER(VALUE(LEFT(Raw_Data!E518,4))),DATE(VALUE(LEFT(Raw_Data!E518,4)),VALUE(MID(Raw_Data!E518,6,2)),VALUE(MID(Raw_Data!E518,9,2))),DATEVALUE(Raw_Data!E518))),"")</f>
        <v>45517</v>
      </c>
      <c r="F518" s="11" t="str">
        <f aca="false">Raw_Data!F518</f>
        <v>Female 18-24</v>
      </c>
      <c r="G518" s="11" t="str">
        <f aca="false">IF(TRIM(Raw_Data!G518)="","Unspecified",IFERROR(INDEX(Lookup_Tables!$F$2:$F$24,MATCH(UPPER(TRIM(Raw_Data!G518)),Lookup_Tables!$G$2:$G$24,0)),"Unknown"))</f>
        <v>South</v>
      </c>
      <c r="H518" s="11" t="n">
        <f aca="false">IF(Raw_Data!H518="",ROUND(AVERAGEIFS(Raw_Data!$H$2:$H$839,Raw_Data!$C$2:$C$839,Raw_Data!C518),2),Raw_Data!H518)</f>
        <v>3513.78</v>
      </c>
      <c r="I518" s="11" t="n">
        <f aca="false">Raw_Data!I518</f>
        <v>100539</v>
      </c>
      <c r="J518" s="11" t="n">
        <f aca="false">IF(Raw_Data!J518&lt;0,ABS(Raw_Data!J518),Raw_Data!J518)</f>
        <v>1964</v>
      </c>
      <c r="K518" s="11" t="n">
        <f aca="false">Raw_Data!K518</f>
        <v>145</v>
      </c>
      <c r="L518" s="11" t="n">
        <f aca="false">IF(Raw_Data!L518="",ROUND(AVERAGEIFS(Raw_Data!$L$2:$L$839,Raw_Data!$C$2:$C$839,Raw_Data!C518),2),Raw_Data!L518)</f>
        <v>156378.18</v>
      </c>
      <c r="M518" s="13" t="n">
        <f aca="false">IFERROR(J518/I518,0)</f>
        <v>0.0195347079242881</v>
      </c>
      <c r="N518" s="14" t="n">
        <f aca="false">IFERROR(H518/J518,0)</f>
        <v>1.78909368635438</v>
      </c>
      <c r="O518" s="14" t="n">
        <f aca="false">IFERROR(H518/K518,0)</f>
        <v>24.2329655172414</v>
      </c>
      <c r="P518" s="15" t="n">
        <f aca="false">IFERROR(L518/H518,0)</f>
        <v>44.5042603691751</v>
      </c>
      <c r="Q518" s="13" t="n">
        <f aca="false">IFERROR(K518/J518,0)</f>
        <v>0.0738289205702648</v>
      </c>
      <c r="R518" s="11" t="str">
        <f aca="false">IF(COUNTIF($A$2:A518,A518)&gt;1,"Duplicate - Remove","Unique")</f>
        <v>Unique</v>
      </c>
      <c r="S518" s="11" t="str">
        <f aca="false">TRIM(IF(Raw_Data!G518="","Region missing; ","")&amp;IF(Raw_Data!H518="","Spend imputed; ","")&amp;IF(Raw_Data!L518="","Revenue imputed; ","")&amp;IF(Raw_Data!J518&lt;0,"Clicks corrected; ",""))</f>
        <v/>
      </c>
    </row>
    <row r="519" customFormat="false" ht="15" hidden="false" customHeight="true" outlineLevel="0" collapsed="false">
      <c r="A519" s="11" t="n">
        <f aca="false">Raw_Data!A519</f>
        <v>1681</v>
      </c>
      <c r="B519" s="11" t="str">
        <f aca="false">PROPER(TRIM(Raw_Data!B519))</f>
        <v>New Year Wellness</v>
      </c>
      <c r="C519" s="11" t="str">
        <f aca="false">IFERROR(INDEX(Lookup_Tables!$B$2:$B$26,MATCH(UPPER(TRIM(Raw_Data!C519)),Lookup_Tables!$C$2:$C$26,0)),"Unknown")</f>
        <v>YouTube</v>
      </c>
      <c r="D519" s="12" t="n">
        <f aca="false">IFERROR(IF(ISNUMBER(SEARCH("/",Raw_Data!D519)),DATE(VALUE(RIGHT(Raw_Data!D519,4)),VALUE(MID(Raw_Data!D519,FIND("/",Raw_Data!D519)+1,FIND("/",Raw_Data!D519,FIND("/",Raw_Data!D519)+1)-FIND("/",Raw_Data!D519)-1)),VALUE(LEFT(Raw_Data!D519,FIND("/",Raw_Data!D519)-1))),IF(ISNUMBER(VALUE(LEFT(Raw_Data!D519,4))),DATE(VALUE(LEFT(Raw_Data!D519,4)),VALUE(MID(Raw_Data!D519,6,2)),VALUE(MID(Raw_Data!D519,9,2))),DATEVALUE(Raw_Data!D519))),"")</f>
        <v>45425</v>
      </c>
      <c r="E519" s="12" t="n">
        <f aca="false">IFERROR(IF(ISNUMBER(SEARCH("/",Raw_Data!E519)),DATE(VALUE(RIGHT(Raw_Data!E519,4)),VALUE(MID(Raw_Data!E519,FIND("/",Raw_Data!E519)+1,FIND("/",Raw_Data!E519,FIND("/",Raw_Data!E519)+1)-FIND("/",Raw_Data!E519)-1)),VALUE(LEFT(Raw_Data!E519,FIND("/",Raw_Data!E519)-1))),IF(ISNUMBER(VALUE(LEFT(Raw_Data!E519,4))),DATE(VALUE(LEFT(Raw_Data!E519,4)),VALUE(MID(Raw_Data!E519,6,2)),VALUE(MID(Raw_Data!E519,9,2))),DATEVALUE(Raw_Data!E519))),"")</f>
        <v>45452</v>
      </c>
      <c r="F519" s="11" t="str">
        <f aca="false">Raw_Data!F519</f>
        <v>Female 45+</v>
      </c>
      <c r="G519" s="11" t="str">
        <f aca="false">IF(TRIM(Raw_Data!G519)="","Unspecified",IFERROR(INDEX(Lookup_Tables!$F$2:$F$24,MATCH(UPPER(TRIM(Raw_Data!G519)),Lookup_Tables!$G$2:$G$24,0)),"Unknown"))</f>
        <v>Central</v>
      </c>
      <c r="H519" s="11" t="n">
        <f aca="false">IF(Raw_Data!H519="",ROUND(AVERAGEIFS(Raw_Data!$H$2:$H$839,Raw_Data!$C$2:$C$839,Raw_Data!C519),2),Raw_Data!H519)</f>
        <v>75256.96</v>
      </c>
      <c r="I519" s="11" t="n">
        <f aca="false">Raw_Data!I519</f>
        <v>1624717</v>
      </c>
      <c r="J519" s="11" t="n">
        <f aca="false">IF(Raw_Data!J519&lt;0,ABS(Raw_Data!J519),Raw_Data!J519)</f>
        <v>26169</v>
      </c>
      <c r="K519" s="11" t="n">
        <f aca="false">Raw_Data!K519</f>
        <v>1910</v>
      </c>
      <c r="L519" s="11" t="n">
        <f aca="false">IF(Raw_Data!L519="",ROUND(AVERAGEIFS(Raw_Data!$L$2:$L$839,Raw_Data!$C$2:$C$839,Raw_Data!C519),2),Raw_Data!L519)</f>
        <v>3263305.96</v>
      </c>
      <c r="M519" s="13" t="n">
        <f aca="false">IFERROR(J519/I519,0)</f>
        <v>0.0161068050620508</v>
      </c>
      <c r="N519" s="14" t="n">
        <f aca="false">IFERROR(H519/J519,0)</f>
        <v>2.87580572433031</v>
      </c>
      <c r="O519" s="14" t="n">
        <f aca="false">IFERROR(H519/K519,0)</f>
        <v>39.4015497382199</v>
      </c>
      <c r="P519" s="15" t="n">
        <f aca="false">IFERROR(L519/H519,0)</f>
        <v>43.362181517829</v>
      </c>
      <c r="Q519" s="13" t="n">
        <f aca="false">IFERROR(K519/J519,0)</f>
        <v>0.07298712216745</v>
      </c>
      <c r="R519" s="11" t="str">
        <f aca="false">IF(COUNTIF($A$2:A519,A519)&gt;1,"Duplicate - Remove","Unique")</f>
        <v>Unique</v>
      </c>
      <c r="S519" s="11" t="str">
        <f aca="false">TRIM(IF(Raw_Data!G519="","Region missing; ","")&amp;IF(Raw_Data!H519="","Spend imputed; ","")&amp;IF(Raw_Data!L519="","Revenue imputed; ","")&amp;IF(Raw_Data!J519&lt;0,"Clicks corrected; ",""))</f>
        <v/>
      </c>
    </row>
    <row r="520" customFormat="false" ht="15" hidden="false" customHeight="true" outlineLevel="0" collapsed="false">
      <c r="A520" s="11" t="n">
        <f aca="false">Raw_Data!A520</f>
        <v>1200</v>
      </c>
      <c r="B520" s="11" t="str">
        <f aca="false">PROPER(TRIM(Raw_Data!B520))</f>
        <v>Herbal Range Awareness</v>
      </c>
      <c r="C520" s="11" t="str">
        <f aca="false">IFERROR(INDEX(Lookup_Tables!$B$2:$B$26,MATCH(UPPER(TRIM(Raw_Data!C520)),Lookup_Tables!$C$2:$C$26,0)),"Unknown")</f>
        <v>Email</v>
      </c>
      <c r="D520" s="12" t="n">
        <f aca="false">IFERROR(IF(ISNUMBER(SEARCH("/",Raw_Data!D520)),DATE(VALUE(RIGHT(Raw_Data!D520,4)),VALUE(MID(Raw_Data!D520,FIND("/",Raw_Data!D520)+1,FIND("/",Raw_Data!D520,FIND("/",Raw_Data!D520)+1)-FIND("/",Raw_Data!D520)-1)),VALUE(LEFT(Raw_Data!D520,FIND("/",Raw_Data!D520)-1))),IF(ISNUMBER(VALUE(LEFT(Raw_Data!D520,4))),DATE(VALUE(LEFT(Raw_Data!D520,4)),VALUE(MID(Raw_Data!D520,6,2)),VALUE(MID(Raw_Data!D520,9,2))),DATEVALUE(Raw_Data!D520))),"")</f>
        <v>45478</v>
      </c>
      <c r="E520" s="12" t="n">
        <f aca="false">IFERROR(IF(ISNUMBER(SEARCH("/",Raw_Data!E520)),DATE(VALUE(RIGHT(Raw_Data!E520,4)),VALUE(MID(Raw_Data!E520,FIND("/",Raw_Data!E520)+1,FIND("/",Raw_Data!E520,FIND("/",Raw_Data!E520)+1)-FIND("/",Raw_Data!E520)-1)),VALUE(LEFT(Raw_Data!E520,FIND("/",Raw_Data!E520)-1))),IF(ISNUMBER(VALUE(LEFT(Raw_Data!E520,4))),DATE(VALUE(LEFT(Raw_Data!E520,4)),VALUE(MID(Raw_Data!E520,6,2)),VALUE(MID(Raw_Data!E520,9,2))),DATEVALUE(Raw_Data!E520))),"")</f>
        <v>45505</v>
      </c>
      <c r="F520" s="11" t="str">
        <f aca="false">Raw_Data!F520</f>
        <v>Male 45+</v>
      </c>
      <c r="G520" s="11" t="str">
        <f aca="false">IF(TRIM(Raw_Data!G520)="","Unspecified",IFERROR(INDEX(Lookup_Tables!$F$2:$F$24,MATCH(UPPER(TRIM(Raw_Data!G520)),Lookup_Tables!$G$2:$G$24,0)),"Unknown"))</f>
        <v>West</v>
      </c>
      <c r="H520" s="11" t="n">
        <f aca="false">IF(Raw_Data!H520="",ROUND(AVERAGEIFS(Raw_Data!$H$2:$H$839,Raw_Data!$C$2:$C$839,Raw_Data!C520),2),Raw_Data!H520)</f>
        <v>1798.16</v>
      </c>
      <c r="I520" s="11" t="n">
        <f aca="false">Raw_Data!I520</f>
        <v>61106</v>
      </c>
      <c r="J520" s="11" t="n">
        <f aca="false">IF(Raw_Data!J520&lt;0,ABS(Raw_Data!J520),Raw_Data!J520)</f>
        <v>712</v>
      </c>
      <c r="K520" s="11" t="n">
        <f aca="false">Raw_Data!K520</f>
        <v>24</v>
      </c>
      <c r="L520" s="11" t="n">
        <f aca="false">IF(Raw_Data!L520="",ROUND(AVERAGEIFS(Raw_Data!$L$2:$L$839,Raw_Data!$C$2:$C$839,Raw_Data!C520),2),Raw_Data!L520)</f>
        <v>37279.96</v>
      </c>
      <c r="M520" s="13" t="n">
        <f aca="false">IFERROR(J520/I520,0)</f>
        <v>0.0116518836120839</v>
      </c>
      <c r="N520" s="14" t="n">
        <f aca="false">IFERROR(H520/J520,0)</f>
        <v>2.52550561797753</v>
      </c>
      <c r="O520" s="14" t="n">
        <f aca="false">IFERROR(H520/K520,0)</f>
        <v>74.9233333333333</v>
      </c>
      <c r="P520" s="15" t="n">
        <f aca="false">IFERROR(L520/H520,0)</f>
        <v>20.7322818881523</v>
      </c>
      <c r="Q520" s="13" t="n">
        <f aca="false">IFERROR(K520/J520,0)</f>
        <v>0.0337078651685393</v>
      </c>
      <c r="R520" s="11" t="str">
        <f aca="false">IF(COUNTIF($A$2:A520,A520)&gt;1,"Duplicate - Remove","Unique")</f>
        <v>Unique</v>
      </c>
      <c r="S520" s="11" t="str">
        <f aca="false">TRIM(IF(Raw_Data!G520="","Region missing; ","")&amp;IF(Raw_Data!H520="","Spend imputed; ","")&amp;IF(Raw_Data!L520="","Revenue imputed; ","")&amp;IF(Raw_Data!J520&lt;0,"Clicks corrected; ",""))</f>
        <v/>
      </c>
    </row>
    <row r="521" customFormat="false" ht="15" hidden="false" customHeight="true" outlineLevel="0" collapsed="false">
      <c r="A521" s="11" t="n">
        <f aca="false">Raw_Data!A521</f>
        <v>1676</v>
      </c>
      <c r="B521" s="11" t="str">
        <f aca="false">PROPER(TRIM(Raw_Data!B521))</f>
        <v>Clearance Sale Push</v>
      </c>
      <c r="C521" s="11" t="str">
        <f aca="false">IFERROR(INDEX(Lookup_Tables!$B$2:$B$26,MATCH(UPPER(TRIM(Raw_Data!C521)),Lookup_Tables!$C$2:$C$26,0)),"Unknown")</f>
        <v>Email</v>
      </c>
      <c r="D521" s="12" t="n">
        <f aca="false">IFERROR(IF(ISNUMBER(SEARCH("/",Raw_Data!D521)),DATE(VALUE(RIGHT(Raw_Data!D521,4)),VALUE(MID(Raw_Data!D521,FIND("/",Raw_Data!D521)+1,FIND("/",Raw_Data!D521,FIND("/",Raw_Data!D521)+1)-FIND("/",Raw_Data!D521)-1)),VALUE(LEFT(Raw_Data!D521,FIND("/",Raw_Data!D521)-1))),IF(ISNUMBER(VALUE(LEFT(Raw_Data!D521,4))),DATE(VALUE(LEFT(Raw_Data!D521,4)),VALUE(MID(Raw_Data!D521,6,2)),VALUE(MID(Raw_Data!D521,9,2))),DATEVALUE(Raw_Data!D521))),"")</f>
        <v>45433</v>
      </c>
      <c r="E521" s="12" t="n">
        <f aca="false">IFERROR(IF(ISNUMBER(SEARCH("/",Raw_Data!E521)),DATE(VALUE(RIGHT(Raw_Data!E521,4)),VALUE(MID(Raw_Data!E521,FIND("/",Raw_Data!E521)+1,FIND("/",Raw_Data!E521,FIND("/",Raw_Data!E521)+1)-FIND("/",Raw_Data!E521)-1)),VALUE(LEFT(Raw_Data!E521,FIND("/",Raw_Data!E521)-1))),IF(ISNUMBER(VALUE(LEFT(Raw_Data!E521,4))),DATE(VALUE(LEFT(Raw_Data!E521,4)),VALUE(MID(Raw_Data!E521,6,2)),VALUE(MID(Raw_Data!E521,9,2))),DATEVALUE(Raw_Data!E521))),"")</f>
        <v>45452</v>
      </c>
      <c r="F521" s="11" t="str">
        <f aca="false">Raw_Data!F521</f>
        <v>Male 18-24</v>
      </c>
      <c r="G521" s="11" t="str">
        <f aca="false">IF(TRIM(Raw_Data!G521)="","Unspecified",IFERROR(INDEX(Lookup_Tables!$F$2:$F$24,MATCH(UPPER(TRIM(Raw_Data!G521)),Lookup_Tables!$G$2:$G$24,0)),"Unknown"))</f>
        <v>East</v>
      </c>
      <c r="H521" s="11" t="n">
        <f aca="false">IF(Raw_Data!H521="",ROUND(AVERAGEIFS(Raw_Data!$H$2:$H$839,Raw_Data!$C$2:$C$839,Raw_Data!C521),2),Raw_Data!H521)</f>
        <v>3271.59</v>
      </c>
      <c r="I521" s="11" t="n">
        <f aca="false">Raw_Data!I521</f>
        <v>106253</v>
      </c>
      <c r="J521" s="11" t="n">
        <f aca="false">IF(Raw_Data!J521&lt;0,ABS(Raw_Data!J521),Raw_Data!J521)</f>
        <v>2554</v>
      </c>
      <c r="K521" s="11" t="n">
        <f aca="false">Raw_Data!K521</f>
        <v>162</v>
      </c>
      <c r="L521" s="11" t="n">
        <f aca="false">IF(Raw_Data!L521="",ROUND(AVERAGEIFS(Raw_Data!$L$2:$L$839,Raw_Data!$C$2:$C$839,Raw_Data!C521),2),Raw_Data!L521)</f>
        <v>94423.09</v>
      </c>
      <c r="M521" s="13" t="n">
        <f aca="false">IFERROR(J521/I521,0)</f>
        <v>0.024036968367952</v>
      </c>
      <c r="N521" s="14" t="n">
        <f aca="false">IFERROR(H521/J521,0)</f>
        <v>1.28096711041504</v>
      </c>
      <c r="O521" s="14" t="n">
        <f aca="false">IFERROR(H521/K521,0)</f>
        <v>20.195</v>
      </c>
      <c r="P521" s="15" t="n">
        <f aca="false">IFERROR(L521/H521,0)</f>
        <v>28.8615291035857</v>
      </c>
      <c r="Q521" s="13" t="n">
        <f aca="false">IFERROR(K521/J521,0)</f>
        <v>0.0634299138606108</v>
      </c>
      <c r="R521" s="11" t="str">
        <f aca="false">IF(COUNTIF($A$2:A521,A521)&gt;1,"Duplicate - Remove","Unique")</f>
        <v>Unique</v>
      </c>
      <c r="S521" s="11" t="str">
        <f aca="false">TRIM(IF(Raw_Data!G521="","Region missing; ","")&amp;IF(Raw_Data!H521="","Spend imputed; ","")&amp;IF(Raw_Data!L521="","Revenue imputed; ","")&amp;IF(Raw_Data!J521&lt;0,"Clicks corrected; ",""))</f>
        <v/>
      </c>
    </row>
    <row r="522" customFormat="false" ht="15" hidden="false" customHeight="true" outlineLevel="0" collapsed="false">
      <c r="A522" s="11" t="n">
        <f aca="false">Raw_Data!A522</f>
        <v>1143</v>
      </c>
      <c r="B522" s="11" t="str">
        <f aca="false">PROPER(TRIM(Raw_Data!B522))</f>
        <v>New Year Wellness</v>
      </c>
      <c r="C522" s="11" t="str">
        <f aca="false">IFERROR(INDEX(Lookup_Tables!$B$2:$B$26,MATCH(UPPER(TRIM(Raw_Data!C522)),Lookup_Tables!$C$2:$C$26,0)),"Unknown")</f>
        <v>YouTube</v>
      </c>
      <c r="D522" s="12" t="n">
        <f aca="false">IFERROR(IF(ISNUMBER(SEARCH("/",Raw_Data!D522)),DATE(VALUE(RIGHT(Raw_Data!D522,4)),VALUE(MID(Raw_Data!D522,FIND("/",Raw_Data!D522)+1,FIND("/",Raw_Data!D522,FIND("/",Raw_Data!D522)+1)-FIND("/",Raw_Data!D522)-1)),VALUE(LEFT(Raw_Data!D522,FIND("/",Raw_Data!D522)-1))),IF(ISNUMBER(VALUE(LEFT(Raw_Data!D522,4))),DATE(VALUE(LEFT(Raw_Data!D522,4)),VALUE(MID(Raw_Data!D522,6,2)),VALUE(MID(Raw_Data!D522,9,2))),DATEVALUE(Raw_Data!D522))),"")</f>
        <v>45464</v>
      </c>
      <c r="E522" s="12" t="n">
        <f aca="false">IFERROR(IF(ISNUMBER(SEARCH("/",Raw_Data!E522)),DATE(VALUE(RIGHT(Raw_Data!E522,4)),VALUE(MID(Raw_Data!E522,FIND("/",Raw_Data!E522)+1,FIND("/",Raw_Data!E522,FIND("/",Raw_Data!E522)+1)-FIND("/",Raw_Data!E522)-1)),VALUE(LEFT(Raw_Data!E522,FIND("/",Raw_Data!E522)-1))),IF(ISNUMBER(VALUE(LEFT(Raw_Data!E522,4))),DATE(VALUE(LEFT(Raw_Data!E522,4)),VALUE(MID(Raw_Data!E522,6,2)),VALUE(MID(Raw_Data!E522,9,2))),DATEVALUE(Raw_Data!E522))),"")</f>
        <v>45486</v>
      </c>
      <c r="F522" s="11" t="str">
        <f aca="false">Raw_Data!F522</f>
        <v>Male 25-34</v>
      </c>
      <c r="G522" s="11" t="str">
        <f aca="false">IF(TRIM(Raw_Data!G522)="","Unspecified",IFERROR(INDEX(Lookup_Tables!$F$2:$F$24,MATCH(UPPER(TRIM(Raw_Data!G522)),Lookup_Tables!$G$2:$G$24,0)),"Unknown"))</f>
        <v>West</v>
      </c>
      <c r="H522" s="11" t="n">
        <f aca="false">IF(Raw_Data!H522="",ROUND(AVERAGEIFS(Raw_Data!$H$2:$H$839,Raw_Data!$C$2:$C$839,Raw_Data!C522),2),Raw_Data!H522)</f>
        <v>24794.57</v>
      </c>
      <c r="I522" s="11" t="n">
        <f aca="false">Raw_Data!I522</f>
        <v>900304</v>
      </c>
      <c r="J522" s="11" t="n">
        <f aca="false">IF(Raw_Data!J522&lt;0,ABS(Raw_Data!J522),Raw_Data!J522)</f>
        <v>25792</v>
      </c>
      <c r="K522" s="11" t="n">
        <f aca="false">Raw_Data!K522</f>
        <v>1872</v>
      </c>
      <c r="L522" s="11" t="n">
        <f aca="false">IF(Raw_Data!L522="",ROUND(AVERAGEIFS(Raw_Data!$L$2:$L$839,Raw_Data!$C$2:$C$839,Raw_Data!C522),2),Raw_Data!L522)</f>
        <v>2724262.32</v>
      </c>
      <c r="M522" s="13" t="n">
        <f aca="false">IFERROR(J522/I522,0)</f>
        <v>0.0286481010858554</v>
      </c>
      <c r="N522" s="14" t="n">
        <f aca="false">IFERROR(H522/J522,0)</f>
        <v>0.961327931141439</v>
      </c>
      <c r="O522" s="14" t="n">
        <f aca="false">IFERROR(H522/K522,0)</f>
        <v>13.2449626068376</v>
      </c>
      <c r="P522" s="15" t="n">
        <f aca="false">IFERROR(L522/H522,0)</f>
        <v>109.873344042667</v>
      </c>
      <c r="Q522" s="13" t="n">
        <f aca="false">IFERROR(K522/J522,0)</f>
        <v>0.0725806451612903</v>
      </c>
      <c r="R522" s="11" t="str">
        <f aca="false">IF(COUNTIF($A$2:A522,A522)&gt;1,"Duplicate - Remove","Unique")</f>
        <v>Unique</v>
      </c>
      <c r="S522" s="11" t="str">
        <f aca="false">TRIM(IF(Raw_Data!G522="","Region missing; ","")&amp;IF(Raw_Data!H522="","Spend imputed; ","")&amp;IF(Raw_Data!L522="","Revenue imputed; ","")&amp;IF(Raw_Data!J522&lt;0,"Clicks corrected; ",""))</f>
        <v/>
      </c>
    </row>
    <row r="523" customFormat="false" ht="15" hidden="false" customHeight="true" outlineLevel="0" collapsed="false">
      <c r="A523" s="11" t="n">
        <f aca="false">Raw_Data!A523</f>
        <v>1805</v>
      </c>
      <c r="B523" s="11" t="str">
        <f aca="false">PROPER(TRIM(Raw_Data!B523))</f>
        <v>Baby Care Trust Campaign</v>
      </c>
      <c r="C523" s="11" t="str">
        <f aca="false">IFERROR(INDEX(Lookup_Tables!$B$2:$B$26,MATCH(UPPER(TRIM(Raw_Data!C523)),Lookup_Tables!$C$2:$C$26,0)),"Unknown")</f>
        <v>Google Ads</v>
      </c>
      <c r="D523" s="12" t="n">
        <f aca="false">IFERROR(IF(ISNUMBER(SEARCH("/",Raw_Data!D523)),DATE(VALUE(RIGHT(Raw_Data!D523,4)),VALUE(MID(Raw_Data!D523,FIND("/",Raw_Data!D523)+1,FIND("/",Raw_Data!D523,FIND("/",Raw_Data!D523)+1)-FIND("/",Raw_Data!D523)-1)),VALUE(LEFT(Raw_Data!D523,FIND("/",Raw_Data!D523)-1))),IF(ISNUMBER(VALUE(LEFT(Raw_Data!D523,4))),DATE(VALUE(LEFT(Raw_Data!D523,4)),VALUE(MID(Raw_Data!D523,6,2)),VALUE(MID(Raw_Data!D523,9,2))),DATEVALUE(Raw_Data!D523))),"")</f>
        <v>45410</v>
      </c>
      <c r="E523" s="12" t="n">
        <f aca="false">IFERROR(IF(ISNUMBER(SEARCH("/",Raw_Data!E523)),DATE(VALUE(RIGHT(Raw_Data!E523,4)),VALUE(MID(Raw_Data!E523,FIND("/",Raw_Data!E523)+1,FIND("/",Raw_Data!E523,FIND("/",Raw_Data!E523)+1)-FIND("/",Raw_Data!E523)-1)),VALUE(LEFT(Raw_Data!E523,FIND("/",Raw_Data!E523)-1))),IF(ISNUMBER(VALUE(LEFT(Raw_Data!E523,4))),DATE(VALUE(LEFT(Raw_Data!E523,4)),VALUE(MID(Raw_Data!E523,6,2)),VALUE(MID(Raw_Data!E523,9,2))),DATEVALUE(Raw_Data!E523))),"")</f>
        <v>45422</v>
      </c>
      <c r="F523" s="11" t="str">
        <f aca="false">Raw_Data!F523</f>
        <v>Female 18-24</v>
      </c>
      <c r="G523" s="11" t="str">
        <f aca="false">IF(TRIM(Raw_Data!G523)="","Unspecified",IFERROR(INDEX(Lookup_Tables!$F$2:$F$24,MATCH(UPPER(TRIM(Raw_Data!G523)),Lookup_Tables!$G$2:$G$24,0)),"Unknown"))</f>
        <v>North</v>
      </c>
      <c r="H523" s="11" t="n">
        <f aca="false">IF(Raw_Data!H523="",ROUND(AVERAGEIFS(Raw_Data!$H$2:$H$839,Raw_Data!$C$2:$C$839,Raw_Data!C523),2),Raw_Data!H523)</f>
        <v>47625.9</v>
      </c>
      <c r="I523" s="11" t="n">
        <f aca="false">Raw_Data!I523</f>
        <v>222825</v>
      </c>
      <c r="J523" s="11" t="n">
        <f aca="false">IF(Raw_Data!J523&lt;0,ABS(Raw_Data!J523),Raw_Data!J523)</f>
        <v>3752</v>
      </c>
      <c r="K523" s="11" t="n">
        <f aca="false">Raw_Data!K523</f>
        <v>291</v>
      </c>
      <c r="L523" s="11" t="n">
        <f aca="false">IF(Raw_Data!L523="",ROUND(AVERAGEIFS(Raw_Data!$L$2:$L$839,Raw_Data!$C$2:$C$839,Raw_Data!C523),2),Raw_Data!L523)</f>
        <v>218539.88</v>
      </c>
      <c r="M523" s="13" t="n">
        <f aca="false">IFERROR(J523/I523,0)</f>
        <v>0.0168383260406148</v>
      </c>
      <c r="N523" s="14" t="n">
        <f aca="false">IFERROR(H523/J523,0)</f>
        <v>12.6934701492537</v>
      </c>
      <c r="O523" s="14" t="n">
        <f aca="false">IFERROR(H523/K523,0)</f>
        <v>163.662886597938</v>
      </c>
      <c r="P523" s="15" t="n">
        <f aca="false">IFERROR(L523/H523,0)</f>
        <v>4.58867716935533</v>
      </c>
      <c r="Q523" s="13" t="n">
        <f aca="false">IFERROR(K523/J523,0)</f>
        <v>0.0775586353944563</v>
      </c>
      <c r="R523" s="11" t="str">
        <f aca="false">IF(COUNTIF($A$2:A523,A523)&gt;1,"Duplicate - Remove","Unique")</f>
        <v>Unique</v>
      </c>
      <c r="S523" s="11" t="str">
        <f aca="false">TRIM(IF(Raw_Data!G523="","Region missing; ","")&amp;IF(Raw_Data!H523="","Spend imputed; ","")&amp;IF(Raw_Data!L523="","Revenue imputed; ","")&amp;IF(Raw_Data!J523&lt;0,"Clicks corrected; ",""))</f>
        <v>Spend imputed;</v>
      </c>
    </row>
    <row r="524" customFormat="false" ht="15" hidden="false" customHeight="true" outlineLevel="0" collapsed="false">
      <c r="A524" s="11" t="n">
        <f aca="false">Raw_Data!A524</f>
        <v>1352</v>
      </c>
      <c r="B524" s="11" t="str">
        <f aca="false">PROPER(TRIM(Raw_Data!B524))</f>
        <v>Herbal Range Awareness</v>
      </c>
      <c r="C524" s="11" t="str">
        <f aca="false">IFERROR(INDEX(Lookup_Tables!$B$2:$B$26,MATCH(UPPER(TRIM(Raw_Data!C524)),Lookup_Tables!$C$2:$C$26,0)),"Unknown")</f>
        <v>Google Ads</v>
      </c>
      <c r="D524" s="12" t="n">
        <f aca="false">IFERROR(IF(ISNUMBER(SEARCH("/",Raw_Data!D524)),DATE(VALUE(RIGHT(Raw_Data!D524,4)),VALUE(MID(Raw_Data!D524,FIND("/",Raw_Data!D524)+1,FIND("/",Raw_Data!D524,FIND("/",Raw_Data!D524)+1)-FIND("/",Raw_Data!D524)-1)),VALUE(LEFT(Raw_Data!D524,FIND("/",Raw_Data!D524)-1))),IF(ISNUMBER(VALUE(LEFT(Raw_Data!D524,4))),DATE(VALUE(LEFT(Raw_Data!D524,4)),VALUE(MID(Raw_Data!D524,6,2)),VALUE(MID(Raw_Data!D524,9,2))),DATEVALUE(Raw_Data!D524))),"")</f>
        <v>45612</v>
      </c>
      <c r="E524" s="12" t="n">
        <f aca="false">IFERROR(IF(ISNUMBER(SEARCH("/",Raw_Data!E524)),DATE(VALUE(RIGHT(Raw_Data!E524,4)),VALUE(MID(Raw_Data!E524,FIND("/",Raw_Data!E524)+1,FIND("/",Raw_Data!E524,FIND("/",Raw_Data!E524)+1)-FIND("/",Raw_Data!E524)-1)),VALUE(LEFT(Raw_Data!E524,FIND("/",Raw_Data!E524)-1))),IF(ISNUMBER(VALUE(LEFT(Raw_Data!E524,4))),DATE(VALUE(LEFT(Raw_Data!E524,4)),VALUE(MID(Raw_Data!E524,6,2)),VALUE(MID(Raw_Data!E524,9,2))),DATEVALUE(Raw_Data!E524))),"")</f>
        <v>45627</v>
      </c>
      <c r="F524" s="11" t="str">
        <f aca="false">Raw_Data!F524</f>
        <v>Female 18-24</v>
      </c>
      <c r="G524" s="11" t="str">
        <f aca="false">IF(TRIM(Raw_Data!G524)="","Unspecified",IFERROR(INDEX(Lookup_Tables!$F$2:$F$24,MATCH(UPPER(TRIM(Raw_Data!G524)),Lookup_Tables!$G$2:$G$24,0)),"Unknown"))</f>
        <v>South</v>
      </c>
      <c r="H524" s="11" t="n">
        <f aca="false">IF(Raw_Data!H524="",ROUND(AVERAGEIFS(Raw_Data!$H$2:$H$839,Raw_Data!$C$2:$C$839,Raw_Data!C524),2),Raw_Data!H524)</f>
        <v>16814.5</v>
      </c>
      <c r="I524" s="11" t="n">
        <f aca="false">Raw_Data!I524</f>
        <v>397302</v>
      </c>
      <c r="J524" s="11" t="n">
        <f aca="false">IF(Raw_Data!J524&lt;0,ABS(Raw_Data!J524),Raw_Data!J524)</f>
        <v>6245</v>
      </c>
      <c r="K524" s="11" t="n">
        <f aca="false">Raw_Data!K524</f>
        <v>216</v>
      </c>
      <c r="L524" s="11" t="n">
        <f aca="false">IF(Raw_Data!L524="",ROUND(AVERAGEIFS(Raw_Data!$L$2:$L$839,Raw_Data!$C$2:$C$839,Raw_Data!C524),2),Raw_Data!L524)</f>
        <v>282700.37</v>
      </c>
      <c r="M524" s="13" t="n">
        <f aca="false">IFERROR(J524/I524,0)</f>
        <v>0.0157185214270253</v>
      </c>
      <c r="N524" s="14" t="n">
        <f aca="false">IFERROR(H524/J524,0)</f>
        <v>2.69247397918335</v>
      </c>
      <c r="O524" s="14" t="n">
        <f aca="false">IFERROR(H524/K524,0)</f>
        <v>77.8449074074074</v>
      </c>
      <c r="P524" s="15" t="n">
        <f aca="false">IFERROR(L524/H524,0)</f>
        <v>16.8128918492967</v>
      </c>
      <c r="Q524" s="13" t="n">
        <f aca="false">IFERROR(K524/J524,0)</f>
        <v>0.0345876701361089</v>
      </c>
      <c r="R524" s="11" t="str">
        <f aca="false">IF(COUNTIF($A$2:A524,A524)&gt;1,"Duplicate - Remove","Unique")</f>
        <v>Unique</v>
      </c>
      <c r="S524" s="11" t="str">
        <f aca="false">TRIM(IF(Raw_Data!G524="","Region missing; ","")&amp;IF(Raw_Data!H524="","Spend imputed; ","")&amp;IF(Raw_Data!L524="","Revenue imputed; ","")&amp;IF(Raw_Data!J524&lt;0,"Clicks corrected; ",""))</f>
        <v/>
      </c>
    </row>
    <row r="525" customFormat="false" ht="15" hidden="false" customHeight="true" outlineLevel="0" collapsed="false">
      <c r="A525" s="11" t="n">
        <f aca="false">Raw_Data!A525</f>
        <v>1799</v>
      </c>
      <c r="B525" s="11" t="str">
        <f aca="false">PROPER(TRIM(Raw_Data!B525))</f>
        <v>Back To College Offer</v>
      </c>
      <c r="C525" s="11" t="str">
        <f aca="false">IFERROR(INDEX(Lookup_Tables!$B$2:$B$26,MATCH(UPPER(TRIM(Raw_Data!C525)),Lookup_Tables!$C$2:$C$26,0)),"Unknown")</f>
        <v>Google Ads</v>
      </c>
      <c r="D525" s="12" t="n">
        <f aca="false">IFERROR(IF(ISNUMBER(SEARCH("/",Raw_Data!D525)),DATE(VALUE(RIGHT(Raw_Data!D525,4)),VALUE(MID(Raw_Data!D525,FIND("/",Raw_Data!D525)+1,FIND("/",Raw_Data!D525,FIND("/",Raw_Data!D525)+1)-FIND("/",Raw_Data!D525)-1)),VALUE(LEFT(Raw_Data!D525,FIND("/",Raw_Data!D525)-1))),IF(ISNUMBER(VALUE(LEFT(Raw_Data!D525,4))),DATE(VALUE(LEFT(Raw_Data!D525,4)),VALUE(MID(Raw_Data!D525,6,2)),VALUE(MID(Raw_Data!D525,9,2))),DATEVALUE(Raw_Data!D525))),"")</f>
        <v>45424</v>
      </c>
      <c r="E525" s="12" t="n">
        <f aca="false">IFERROR(IF(ISNUMBER(SEARCH("/",Raw_Data!E525)),DATE(VALUE(RIGHT(Raw_Data!E525,4)),VALUE(MID(Raw_Data!E525,FIND("/",Raw_Data!E525)+1,FIND("/",Raw_Data!E525,FIND("/",Raw_Data!E525)+1)-FIND("/",Raw_Data!E525)-1)),VALUE(LEFT(Raw_Data!E525,FIND("/",Raw_Data!E525)-1))),IF(ISNUMBER(VALUE(LEFT(Raw_Data!E525,4))),DATE(VALUE(LEFT(Raw_Data!E525,4)),VALUE(MID(Raw_Data!E525,6,2)),VALUE(MID(Raw_Data!E525,9,2))),DATEVALUE(Raw_Data!E525))),"")</f>
        <v>45441</v>
      </c>
      <c r="F525" s="11" t="str">
        <f aca="false">Raw_Data!F525</f>
        <v>Female 35-44</v>
      </c>
      <c r="G525" s="11" t="str">
        <f aca="false">IF(TRIM(Raw_Data!G525)="","Unspecified",IFERROR(INDEX(Lookup_Tables!$F$2:$F$24,MATCH(UPPER(TRIM(Raw_Data!G525)),Lookup_Tables!$G$2:$G$24,0)),"Unknown"))</f>
        <v>North</v>
      </c>
      <c r="H525" s="11" t="n">
        <f aca="false">IF(Raw_Data!H525="",ROUND(AVERAGEIFS(Raw_Data!$H$2:$H$839,Raw_Data!$C$2:$C$839,Raw_Data!C525),2),Raw_Data!H525)</f>
        <v>29646.77</v>
      </c>
      <c r="I525" s="11" t="n">
        <f aca="false">Raw_Data!I525</f>
        <v>1074500</v>
      </c>
      <c r="J525" s="11" t="n">
        <f aca="false">IF(Raw_Data!J525&lt;0,ABS(Raw_Data!J525),Raw_Data!J525)</f>
        <v>37005</v>
      </c>
      <c r="K525" s="11" t="n">
        <f aca="false">Raw_Data!K525</f>
        <v>2895</v>
      </c>
      <c r="L525" s="11" t="n">
        <f aca="false">IF(Raw_Data!L525="",ROUND(AVERAGEIFS(Raw_Data!$L$2:$L$839,Raw_Data!$C$2:$C$839,Raw_Data!C525),2),Raw_Data!L525)</f>
        <v>2540329.48</v>
      </c>
      <c r="M525" s="13" t="n">
        <f aca="false">IFERROR(J525/I525,0)</f>
        <v>0.0344392740809679</v>
      </c>
      <c r="N525" s="14" t="n">
        <f aca="false">IFERROR(H525/J525,0)</f>
        <v>0.801155789758141</v>
      </c>
      <c r="O525" s="14" t="n">
        <f aca="false">IFERROR(H525/K525,0)</f>
        <v>10.2406804835924</v>
      </c>
      <c r="P525" s="15" t="n">
        <f aca="false">IFERROR(L525/H525,0)</f>
        <v>85.6865513511253</v>
      </c>
      <c r="Q525" s="13" t="n">
        <f aca="false">IFERROR(K525/J525,0)</f>
        <v>0.0782326712606405</v>
      </c>
      <c r="R525" s="11" t="str">
        <f aca="false">IF(COUNTIF($A$2:A525,A525)&gt;1,"Duplicate - Remove","Unique")</f>
        <v>Unique</v>
      </c>
      <c r="S525" s="11" t="str">
        <f aca="false">TRIM(IF(Raw_Data!G525="","Region missing; ","")&amp;IF(Raw_Data!H525="","Spend imputed; ","")&amp;IF(Raw_Data!L525="","Revenue imputed; ","")&amp;IF(Raw_Data!J525&lt;0,"Clicks corrected; ",""))</f>
        <v/>
      </c>
    </row>
    <row r="526" customFormat="false" ht="15" hidden="false" customHeight="true" outlineLevel="0" collapsed="false">
      <c r="A526" s="11" t="n">
        <f aca="false">Raw_Data!A526</f>
        <v>1407</v>
      </c>
      <c r="B526" s="11" t="str">
        <f aca="false">PROPER(TRIM(Raw_Data!B526))</f>
        <v>New Year Wellness</v>
      </c>
      <c r="C526" s="11" t="str">
        <f aca="false">IFERROR(INDEX(Lookup_Tables!$B$2:$B$26,MATCH(UPPER(TRIM(Raw_Data!C526)),Lookup_Tables!$C$2:$C$26,0)),"Unknown")</f>
        <v>Google Ads</v>
      </c>
      <c r="D526" s="12" t="n">
        <f aca="false">IFERROR(IF(ISNUMBER(SEARCH("/",Raw_Data!D526)),DATE(VALUE(RIGHT(Raw_Data!D526,4)),VALUE(MID(Raw_Data!D526,FIND("/",Raw_Data!D526)+1,FIND("/",Raw_Data!D526,FIND("/",Raw_Data!D526)+1)-FIND("/",Raw_Data!D526)-1)),VALUE(LEFT(Raw_Data!D526,FIND("/",Raw_Data!D526)-1))),IF(ISNUMBER(VALUE(LEFT(Raw_Data!D526,4))),DATE(VALUE(LEFT(Raw_Data!D526,4)),VALUE(MID(Raw_Data!D526,6,2)),VALUE(MID(Raw_Data!D526,9,2))),DATEVALUE(Raw_Data!D526))),"")</f>
        <v>45603</v>
      </c>
      <c r="E526" s="12" t="n">
        <f aca="false">IFERROR(IF(ISNUMBER(SEARCH("/",Raw_Data!E526)),DATE(VALUE(RIGHT(Raw_Data!E526,4)),VALUE(MID(Raw_Data!E526,FIND("/",Raw_Data!E526)+1,FIND("/",Raw_Data!E526,FIND("/",Raw_Data!E526)+1)-FIND("/",Raw_Data!E526)-1)),VALUE(LEFT(Raw_Data!E526,FIND("/",Raw_Data!E526)-1))),IF(ISNUMBER(VALUE(LEFT(Raw_Data!E526,4))),DATE(VALUE(LEFT(Raw_Data!E526,4)),VALUE(MID(Raw_Data!E526,6,2)),VALUE(MID(Raw_Data!E526,9,2))),DATEVALUE(Raw_Data!E526))),"")</f>
        <v>45623</v>
      </c>
      <c r="F526" s="11" t="str">
        <f aca="false">Raw_Data!F526</f>
        <v>Female 18-24</v>
      </c>
      <c r="G526" s="11" t="str">
        <f aca="false">IF(TRIM(Raw_Data!G526)="","Unspecified",IFERROR(INDEX(Lookup_Tables!$F$2:$F$24,MATCH(UPPER(TRIM(Raw_Data!G526)),Lookup_Tables!$G$2:$G$24,0)),"Unknown"))</f>
        <v>North</v>
      </c>
      <c r="H526" s="11" t="n">
        <f aca="false">IF(Raw_Data!H526="",ROUND(AVERAGEIFS(Raw_Data!$H$2:$H$839,Raw_Data!$C$2:$C$839,Raw_Data!C526),2),Raw_Data!H526)</f>
        <v>73101.15</v>
      </c>
      <c r="I526" s="11" t="n">
        <f aca="false">Raw_Data!I526</f>
        <v>2325907</v>
      </c>
      <c r="J526" s="11" t="n">
        <f aca="false">IF(Raw_Data!J526&lt;0,ABS(Raw_Data!J526),Raw_Data!J526)</f>
        <v>40458</v>
      </c>
      <c r="K526" s="11" t="n">
        <f aca="false">Raw_Data!K526</f>
        <v>2940</v>
      </c>
      <c r="L526" s="11" t="n">
        <f aca="false">IF(Raw_Data!L526="",ROUND(AVERAGEIFS(Raw_Data!$L$2:$L$839,Raw_Data!$C$2:$C$839,Raw_Data!C526),2),Raw_Data!L526)</f>
        <v>4027166.51</v>
      </c>
      <c r="M526" s="13" t="n">
        <f aca="false">IFERROR(J526/I526,0)</f>
        <v>0.0173945045954116</v>
      </c>
      <c r="N526" s="14" t="n">
        <f aca="false">IFERROR(H526/J526,0)</f>
        <v>1.8068404271096</v>
      </c>
      <c r="O526" s="14" t="n">
        <f aca="false">IFERROR(H526/K526,0)</f>
        <v>24.8643367346939</v>
      </c>
      <c r="P526" s="15" t="n">
        <f aca="false">IFERROR(L526/H526,0)</f>
        <v>55.0903304530777</v>
      </c>
      <c r="Q526" s="13" t="n">
        <f aca="false">IFERROR(K526/J526,0)</f>
        <v>0.0726679519501706</v>
      </c>
      <c r="R526" s="11" t="str">
        <f aca="false">IF(COUNTIF($A$2:A526,A526)&gt;1,"Duplicate - Remove","Unique")</f>
        <v>Unique</v>
      </c>
      <c r="S526" s="11" t="str">
        <f aca="false">TRIM(IF(Raw_Data!G526="","Region missing; ","")&amp;IF(Raw_Data!H526="","Spend imputed; ","")&amp;IF(Raw_Data!L526="","Revenue imputed; ","")&amp;IF(Raw_Data!J526&lt;0,"Clicks corrected; ",""))</f>
        <v/>
      </c>
    </row>
    <row r="527" customFormat="false" ht="15" hidden="false" customHeight="true" outlineLevel="0" collapsed="false">
      <c r="A527" s="11" t="n">
        <f aca="false">Raw_Data!A527</f>
        <v>1237</v>
      </c>
      <c r="B527" s="11" t="str">
        <f aca="false">PROPER(TRIM(Raw_Data!B527))</f>
        <v>Summer Glow Launch</v>
      </c>
      <c r="C527" s="11" t="str">
        <f aca="false">IFERROR(INDEX(Lookup_Tables!$B$2:$B$26,MATCH(UPPER(TRIM(Raw_Data!C527)),Lookup_Tables!$C$2:$C$26,0)),"Unknown")</f>
        <v>Email</v>
      </c>
      <c r="D527" s="12" t="n">
        <f aca="false">IFERROR(IF(ISNUMBER(SEARCH("/",Raw_Data!D527)),DATE(VALUE(RIGHT(Raw_Data!D527,4)),VALUE(MID(Raw_Data!D527,FIND("/",Raw_Data!D527)+1,FIND("/",Raw_Data!D527,FIND("/",Raw_Data!D527)+1)-FIND("/",Raw_Data!D527)-1)),VALUE(LEFT(Raw_Data!D527,FIND("/",Raw_Data!D527)-1))),IF(ISNUMBER(VALUE(LEFT(Raw_Data!D527,4))),DATE(VALUE(LEFT(Raw_Data!D527,4)),VALUE(MID(Raw_Data!D527,6,2)),VALUE(MID(Raw_Data!D527,9,2))),DATEVALUE(Raw_Data!D527))),"")</f>
        <v>45544</v>
      </c>
      <c r="E527" s="12" t="n">
        <f aca="false">IFERROR(IF(ISNUMBER(SEARCH("/",Raw_Data!E527)),DATE(VALUE(RIGHT(Raw_Data!E527,4)),VALUE(MID(Raw_Data!E527,FIND("/",Raw_Data!E527)+1,FIND("/",Raw_Data!E527,FIND("/",Raw_Data!E527)+1)-FIND("/",Raw_Data!E527)-1)),VALUE(LEFT(Raw_Data!E527,FIND("/",Raw_Data!E527)-1))),IF(ISNUMBER(VALUE(LEFT(Raw_Data!E527,4))),DATE(VALUE(LEFT(Raw_Data!E527,4)),VALUE(MID(Raw_Data!E527,6,2)),VALUE(MID(Raw_Data!E527,9,2))),DATEVALUE(Raw_Data!E527))),"")</f>
        <v>45567</v>
      </c>
      <c r="F527" s="11" t="str">
        <f aca="false">Raw_Data!F527</f>
        <v>Male 35-44</v>
      </c>
      <c r="G527" s="11" t="str">
        <f aca="false">IF(TRIM(Raw_Data!G527)="","Unspecified",IFERROR(INDEX(Lookup_Tables!$F$2:$F$24,MATCH(UPPER(TRIM(Raw_Data!G527)),Lookup_Tables!$G$2:$G$24,0)),"Unknown"))</f>
        <v>North</v>
      </c>
      <c r="H527" s="11" t="n">
        <f aca="false">IF(Raw_Data!H527="",ROUND(AVERAGEIFS(Raw_Data!$H$2:$H$839,Raw_Data!$C$2:$C$839,Raw_Data!C527),2),Raw_Data!H527)</f>
        <v>4435.64</v>
      </c>
      <c r="I527" s="11" t="n">
        <f aca="false">Raw_Data!I527</f>
        <v>175695</v>
      </c>
      <c r="J527" s="11" t="n">
        <f aca="false">IF(Raw_Data!J527&lt;0,ABS(Raw_Data!J527),Raw_Data!J527)</f>
        <v>5706</v>
      </c>
      <c r="K527" s="11" t="n">
        <f aca="false">Raw_Data!K527</f>
        <v>169</v>
      </c>
      <c r="L527" s="11" t="n">
        <f aca="false">IF(Raw_Data!L527="",ROUND(AVERAGEIFS(Raw_Data!$L$2:$L$839,Raw_Data!$C$2:$C$839,Raw_Data!C527),2),Raw_Data!L527)</f>
        <v>113573.84</v>
      </c>
      <c r="M527" s="13" t="n">
        <f aca="false">IFERROR(J527/I527,0)</f>
        <v>0.03247673525143</v>
      </c>
      <c r="N527" s="14" t="n">
        <f aca="false">IFERROR(H527/J527,0)</f>
        <v>0.777364178058185</v>
      </c>
      <c r="O527" s="14" t="n">
        <f aca="false">IFERROR(H527/K527,0)</f>
        <v>26.2463905325444</v>
      </c>
      <c r="P527" s="15" t="n">
        <f aca="false">IFERROR(L527/H527,0)</f>
        <v>25.6048371824584</v>
      </c>
      <c r="Q527" s="13" t="n">
        <f aca="false">IFERROR(K527/J527,0)</f>
        <v>0.0296179460217315</v>
      </c>
      <c r="R527" s="11" t="str">
        <f aca="false">IF(COUNTIF($A$2:A527,A527)&gt;1,"Duplicate - Remove","Unique")</f>
        <v>Unique</v>
      </c>
      <c r="S527" s="11" t="str">
        <f aca="false">TRIM(IF(Raw_Data!G527="","Region missing; ","")&amp;IF(Raw_Data!H527="","Spend imputed; ","")&amp;IF(Raw_Data!L527="","Revenue imputed; ","")&amp;IF(Raw_Data!J527&lt;0,"Clicks corrected; ",""))</f>
        <v/>
      </c>
    </row>
    <row r="528" customFormat="false" ht="15" hidden="false" customHeight="true" outlineLevel="0" collapsed="false">
      <c r="A528" s="11" t="n">
        <f aca="false">Raw_Data!A528</f>
        <v>1578</v>
      </c>
      <c r="B528" s="11" t="str">
        <f aca="false">PROPER(TRIM(Raw_Data!B528))</f>
        <v>Herbal Range Awareness</v>
      </c>
      <c r="C528" s="11" t="str">
        <f aca="false">IFERROR(INDEX(Lookup_Tables!$B$2:$B$26,MATCH(UPPER(TRIM(Raw_Data!C528)),Lookup_Tables!$C$2:$C$26,0)),"Unknown")</f>
        <v>Email</v>
      </c>
      <c r="D528" s="12" t="n">
        <f aca="false">IFERROR(IF(ISNUMBER(SEARCH("/",Raw_Data!D528)),DATE(VALUE(RIGHT(Raw_Data!D528,4)),VALUE(MID(Raw_Data!D528,FIND("/",Raw_Data!D528)+1,FIND("/",Raw_Data!D528,FIND("/",Raw_Data!D528)+1)-FIND("/",Raw_Data!D528)-1)),VALUE(LEFT(Raw_Data!D528,FIND("/",Raw_Data!D528)-1))),IF(ISNUMBER(VALUE(LEFT(Raw_Data!D528,4))),DATE(VALUE(LEFT(Raw_Data!D528,4)),VALUE(MID(Raw_Data!D528,6,2)),VALUE(MID(Raw_Data!D528,9,2))),DATEVALUE(Raw_Data!D528))),"")</f>
        <v>45521</v>
      </c>
      <c r="E528" s="12" t="n">
        <f aca="false">IFERROR(IF(ISNUMBER(SEARCH("/",Raw_Data!E528)),DATE(VALUE(RIGHT(Raw_Data!E528,4)),VALUE(MID(Raw_Data!E528,FIND("/",Raw_Data!E528)+1,FIND("/",Raw_Data!E528,FIND("/",Raw_Data!E528)+1)-FIND("/",Raw_Data!E528)-1)),VALUE(LEFT(Raw_Data!E528,FIND("/",Raw_Data!E528)-1))),IF(ISNUMBER(VALUE(LEFT(Raw_Data!E528,4))),DATE(VALUE(LEFT(Raw_Data!E528,4)),VALUE(MID(Raw_Data!E528,6,2)),VALUE(MID(Raw_Data!E528,9,2))),DATEVALUE(Raw_Data!E528))),"")</f>
        <v>45551</v>
      </c>
      <c r="F528" s="11" t="str">
        <f aca="false">Raw_Data!F528</f>
        <v>Male 18-24</v>
      </c>
      <c r="G528" s="11" t="str">
        <f aca="false">IF(TRIM(Raw_Data!G528)="","Unspecified",IFERROR(INDEX(Lookup_Tables!$F$2:$F$24,MATCH(UPPER(TRIM(Raw_Data!G528)),Lookup_Tables!$G$2:$G$24,0)),"Unknown"))</f>
        <v>North</v>
      </c>
      <c r="H528" s="11" t="n">
        <f aca="false">IF(Raw_Data!H528="",ROUND(AVERAGEIFS(Raw_Data!$H$2:$H$839,Raw_Data!$C$2:$C$839,Raw_Data!C528),2),Raw_Data!H528)</f>
        <v>2608.34</v>
      </c>
      <c r="I528" s="11" t="n">
        <f aca="false">Raw_Data!I528</f>
        <v>93106</v>
      </c>
      <c r="J528" s="11" t="n">
        <f aca="false">IF(Raw_Data!J528&lt;0,ABS(Raw_Data!J528),Raw_Data!J528)</f>
        <v>3221</v>
      </c>
      <c r="K528" s="11" t="n">
        <f aca="false">Raw_Data!K528</f>
        <v>240</v>
      </c>
      <c r="L528" s="11" t="n">
        <f aca="false">IF(Raw_Data!L528="",ROUND(AVERAGEIFS(Raw_Data!$L$2:$L$839,Raw_Data!$C$2:$C$839,Raw_Data!C528),2),Raw_Data!L528)</f>
        <v>169240.49</v>
      </c>
      <c r="M528" s="13" t="n">
        <f aca="false">IFERROR(J528/I528,0)</f>
        <v>0.034594977767276</v>
      </c>
      <c r="N528" s="14" t="n">
        <f aca="false">IFERROR(H528/J528,0)</f>
        <v>0.809791990065197</v>
      </c>
      <c r="O528" s="14" t="n">
        <f aca="false">IFERROR(H528/K528,0)</f>
        <v>10.8680833333333</v>
      </c>
      <c r="P528" s="15" t="n">
        <f aca="false">IFERROR(L528/H528,0)</f>
        <v>64.8843670687104</v>
      </c>
      <c r="Q528" s="13" t="n">
        <f aca="false">IFERROR(K528/J528,0)</f>
        <v>0.0745110214219187</v>
      </c>
      <c r="R528" s="11" t="str">
        <f aca="false">IF(COUNTIF($A$2:A528,A528)&gt;1,"Duplicate - Remove","Unique")</f>
        <v>Unique</v>
      </c>
      <c r="S528" s="11" t="str">
        <f aca="false">TRIM(IF(Raw_Data!G528="","Region missing; ","")&amp;IF(Raw_Data!H528="","Spend imputed; ","")&amp;IF(Raw_Data!L528="","Revenue imputed; ","")&amp;IF(Raw_Data!J528&lt;0,"Clicks corrected; ",""))</f>
        <v/>
      </c>
    </row>
    <row r="529" customFormat="false" ht="15" hidden="false" customHeight="true" outlineLevel="0" collapsed="false">
      <c r="A529" s="11" t="n">
        <f aca="false">Raw_Data!A529</f>
        <v>1809</v>
      </c>
      <c r="B529" s="11" t="str">
        <f aca="false">PROPER(TRIM(Raw_Data!B529))</f>
        <v>Monsoon Skincare Push</v>
      </c>
      <c r="C529" s="11" t="str">
        <f aca="false">IFERROR(INDEX(Lookup_Tables!$B$2:$B$26,MATCH(UPPER(TRIM(Raw_Data!C529)),Lookup_Tables!$C$2:$C$26,0)),"Unknown")</f>
        <v>YouTube</v>
      </c>
      <c r="D529" s="12" t="n">
        <f aca="false">IFERROR(IF(ISNUMBER(SEARCH("/",Raw_Data!D529)),DATE(VALUE(RIGHT(Raw_Data!D529,4)),VALUE(MID(Raw_Data!D529,FIND("/",Raw_Data!D529)+1,FIND("/",Raw_Data!D529,FIND("/",Raw_Data!D529)+1)-FIND("/",Raw_Data!D529)-1)),VALUE(LEFT(Raw_Data!D529,FIND("/",Raw_Data!D529)-1))),IF(ISNUMBER(VALUE(LEFT(Raw_Data!D529,4))),DATE(VALUE(LEFT(Raw_Data!D529,4)),VALUE(MID(Raw_Data!D529,6,2)),VALUE(MID(Raw_Data!D529,9,2))),DATEVALUE(Raw_Data!D529))),"")</f>
        <v>45498</v>
      </c>
      <c r="E529" s="12" t="n">
        <f aca="false">IFERROR(IF(ISNUMBER(SEARCH("/",Raw_Data!E529)),DATE(VALUE(RIGHT(Raw_Data!E529,4)),VALUE(MID(Raw_Data!E529,FIND("/",Raw_Data!E529)+1,FIND("/",Raw_Data!E529,FIND("/",Raw_Data!E529)+1)-FIND("/",Raw_Data!E529)-1)),VALUE(LEFT(Raw_Data!E529,FIND("/",Raw_Data!E529)-1))),IF(ISNUMBER(VALUE(LEFT(Raw_Data!E529,4))),DATE(VALUE(LEFT(Raw_Data!E529,4)),VALUE(MID(Raw_Data!E529,6,2)),VALUE(MID(Raw_Data!E529,9,2))),DATEVALUE(Raw_Data!E529))),"")</f>
        <v>45503</v>
      </c>
      <c r="F529" s="11" t="str">
        <f aca="false">Raw_Data!F529</f>
        <v>Male 25-34</v>
      </c>
      <c r="G529" s="11" t="str">
        <f aca="false">IF(TRIM(Raw_Data!G529)="","Unspecified",IFERROR(INDEX(Lookup_Tables!$F$2:$F$24,MATCH(UPPER(TRIM(Raw_Data!G529)),Lookup_Tables!$G$2:$G$24,0)),"Unknown"))</f>
        <v>East</v>
      </c>
      <c r="H529" s="11" t="n">
        <f aca="false">IF(Raw_Data!H529="",ROUND(AVERAGEIFS(Raw_Data!$H$2:$H$839,Raw_Data!$C$2:$C$839,Raw_Data!C529),2),Raw_Data!H529)</f>
        <v>57536.69</v>
      </c>
      <c r="I529" s="11" t="n">
        <f aca="false">Raw_Data!I529</f>
        <v>2135774</v>
      </c>
      <c r="J529" s="11" t="n">
        <f aca="false">IF(Raw_Data!J529&lt;0,ABS(Raw_Data!J529),Raw_Data!J529)</f>
        <v>26134</v>
      </c>
      <c r="K529" s="11" t="n">
        <f aca="false">Raw_Data!K529</f>
        <v>778</v>
      </c>
      <c r="L529" s="11" t="n">
        <f aca="false">IF(Raw_Data!L529="",ROUND(AVERAGEIFS(Raw_Data!$L$2:$L$839,Raw_Data!$C$2:$C$839,Raw_Data!C529),2),Raw_Data!L529)</f>
        <v>1185734.03</v>
      </c>
      <c r="M529" s="13" t="n">
        <f aca="false">IFERROR(J529/I529,0)</f>
        <v>0.0122363133927092</v>
      </c>
      <c r="N529" s="14" t="n">
        <f aca="false">IFERROR(H529/J529,0)</f>
        <v>2.20160289278335</v>
      </c>
      <c r="O529" s="14" t="n">
        <f aca="false">IFERROR(H529/K529,0)</f>
        <v>73.9546143958869</v>
      </c>
      <c r="P529" s="15" t="n">
        <f aca="false">IFERROR(L529/H529,0)</f>
        <v>20.6083114965425</v>
      </c>
      <c r="Q529" s="13" t="n">
        <f aca="false">IFERROR(K529/J529,0)</f>
        <v>0.0297696487334507</v>
      </c>
      <c r="R529" s="11" t="str">
        <f aca="false">IF(COUNTIF($A$2:A529,A529)&gt;1,"Duplicate - Remove","Unique")</f>
        <v>Unique</v>
      </c>
      <c r="S529" s="11" t="str">
        <f aca="false">TRIM(IF(Raw_Data!G529="","Region missing; ","")&amp;IF(Raw_Data!H529="","Spend imputed; ","")&amp;IF(Raw_Data!L529="","Revenue imputed; ","")&amp;IF(Raw_Data!J529&lt;0,"Clicks corrected; ",""))</f>
        <v/>
      </c>
    </row>
    <row r="530" customFormat="false" ht="15" hidden="false" customHeight="true" outlineLevel="0" collapsed="false">
      <c r="A530" s="11" t="n">
        <f aca="false">Raw_Data!A530</f>
        <v>1627</v>
      </c>
      <c r="B530" s="11" t="str">
        <f aca="false">PROPER(TRIM(Raw_Data!B530))</f>
        <v>New Year Wellness</v>
      </c>
      <c r="C530" s="11" t="str">
        <f aca="false">IFERROR(INDEX(Lookup_Tables!$B$2:$B$26,MATCH(UPPER(TRIM(Raw_Data!C530)),Lookup_Tables!$C$2:$C$26,0)),"Unknown")</f>
        <v>Google Ads</v>
      </c>
      <c r="D530" s="12" t="n">
        <f aca="false">IFERROR(IF(ISNUMBER(SEARCH("/",Raw_Data!D530)),DATE(VALUE(RIGHT(Raw_Data!D530,4)),VALUE(MID(Raw_Data!D530,FIND("/",Raw_Data!D530)+1,FIND("/",Raw_Data!D530,FIND("/",Raw_Data!D530)+1)-FIND("/",Raw_Data!D530)-1)),VALUE(LEFT(Raw_Data!D530,FIND("/",Raw_Data!D530)-1))),IF(ISNUMBER(VALUE(LEFT(Raw_Data!D530,4))),DATE(VALUE(LEFT(Raw_Data!D530,4)),VALUE(MID(Raw_Data!D530,6,2)),VALUE(MID(Raw_Data!D530,9,2))),DATEVALUE(Raw_Data!D530))),"")</f>
        <v>45593</v>
      </c>
      <c r="E530" s="12" t="n">
        <f aca="false">IFERROR(IF(ISNUMBER(SEARCH("/",Raw_Data!E530)),DATE(VALUE(RIGHT(Raw_Data!E530,4)),VALUE(MID(Raw_Data!E530,FIND("/",Raw_Data!E530)+1,FIND("/",Raw_Data!E530,FIND("/",Raw_Data!E530)+1)-FIND("/",Raw_Data!E530)-1)),VALUE(LEFT(Raw_Data!E530,FIND("/",Raw_Data!E530)-1))),IF(ISNUMBER(VALUE(LEFT(Raw_Data!E530,4))),DATE(VALUE(LEFT(Raw_Data!E530,4)),VALUE(MID(Raw_Data!E530,6,2)),VALUE(MID(Raw_Data!E530,9,2))),DATEVALUE(Raw_Data!E530))),"")</f>
        <v>45611</v>
      </c>
      <c r="F530" s="11" t="str">
        <f aca="false">Raw_Data!F530</f>
        <v>Male 45+</v>
      </c>
      <c r="G530" s="11" t="str">
        <f aca="false">IF(TRIM(Raw_Data!G530)="","Unspecified",IFERROR(INDEX(Lookup_Tables!$F$2:$F$24,MATCH(UPPER(TRIM(Raw_Data!G530)),Lookup_Tables!$G$2:$G$24,0)),"Unknown"))</f>
        <v>South</v>
      </c>
      <c r="H530" s="11" t="n">
        <f aca="false">IF(Raw_Data!H530="",ROUND(AVERAGEIFS(Raw_Data!$H$2:$H$839,Raw_Data!$C$2:$C$839,Raw_Data!C530),2),Raw_Data!H530)</f>
        <v>51666.15</v>
      </c>
      <c r="I530" s="11" t="n">
        <f aca="false">Raw_Data!I530</f>
        <v>1474368</v>
      </c>
      <c r="J530" s="11" t="n">
        <f aca="false">IF(Raw_Data!J530&lt;0,ABS(Raw_Data!J530),Raw_Data!J530)</f>
        <v>28408</v>
      </c>
      <c r="K530" s="11" t="n">
        <f aca="false">Raw_Data!K530</f>
        <v>1393</v>
      </c>
      <c r="L530" s="11" t="n">
        <f aca="false">IF(Raw_Data!L530="",ROUND(AVERAGEIFS(Raw_Data!$L$2:$L$839,Raw_Data!$C$2:$C$839,Raw_Data!C530),2),Raw_Data!L530)</f>
        <v>1180259.01</v>
      </c>
      <c r="M530" s="13" t="n">
        <f aca="false">IFERROR(J530/I530,0)</f>
        <v>0.0192679168294483</v>
      </c>
      <c r="N530" s="14" t="n">
        <f aca="false">IFERROR(H530/J530,0)</f>
        <v>1.81871831878344</v>
      </c>
      <c r="O530" s="14" t="n">
        <f aca="false">IFERROR(H530/K530,0)</f>
        <v>37.0898420674803</v>
      </c>
      <c r="P530" s="15" t="n">
        <f aca="false">IFERROR(L530/H530,0)</f>
        <v>22.8439512137057</v>
      </c>
      <c r="Q530" s="13" t="n">
        <f aca="false">IFERROR(K530/J530,0)</f>
        <v>0.0490354829625458</v>
      </c>
      <c r="R530" s="11" t="str">
        <f aca="false">IF(COUNTIF($A$2:A530,A530)&gt;1,"Duplicate - Remove","Unique")</f>
        <v>Unique</v>
      </c>
      <c r="S530" s="11" t="str">
        <f aca="false">TRIM(IF(Raw_Data!G530="","Region missing; ","")&amp;IF(Raw_Data!H530="","Spend imputed; ","")&amp;IF(Raw_Data!L530="","Revenue imputed; ","")&amp;IF(Raw_Data!J530&lt;0,"Clicks corrected; ",""))</f>
        <v/>
      </c>
    </row>
    <row r="531" customFormat="false" ht="15" hidden="false" customHeight="true" outlineLevel="0" collapsed="false">
      <c r="A531" s="11" t="n">
        <f aca="false">Raw_Data!A531</f>
        <v>1294</v>
      </c>
      <c r="B531" s="11" t="str">
        <f aca="false">PROPER(TRIM(Raw_Data!B531))</f>
        <v>Back To College Offer</v>
      </c>
      <c r="C531" s="11" t="str">
        <f aca="false">IFERROR(INDEX(Lookup_Tables!$B$2:$B$26,MATCH(UPPER(TRIM(Raw_Data!C531)),Lookup_Tables!$C$2:$C$26,0)),"Unknown")</f>
        <v>Instagram</v>
      </c>
      <c r="D531" s="12" t="n">
        <f aca="false">IFERROR(IF(ISNUMBER(SEARCH("/",Raw_Data!D531)),DATE(VALUE(RIGHT(Raw_Data!D531,4)),VALUE(MID(Raw_Data!D531,FIND("/",Raw_Data!D531)+1,FIND("/",Raw_Data!D531,FIND("/",Raw_Data!D531)+1)-FIND("/",Raw_Data!D531)-1)),VALUE(LEFT(Raw_Data!D531,FIND("/",Raw_Data!D531)-1))),IF(ISNUMBER(VALUE(LEFT(Raw_Data!D531,4))),DATE(VALUE(LEFT(Raw_Data!D531,4)),VALUE(MID(Raw_Data!D531,6,2)),VALUE(MID(Raw_Data!D531,9,2))),DATEVALUE(Raw_Data!D531))),"")</f>
        <v>45497</v>
      </c>
      <c r="E531" s="12" t="n">
        <f aca="false">IFERROR(IF(ISNUMBER(SEARCH("/",Raw_Data!E531)),DATE(VALUE(RIGHT(Raw_Data!E531,4)),VALUE(MID(Raw_Data!E531,FIND("/",Raw_Data!E531)+1,FIND("/",Raw_Data!E531,FIND("/",Raw_Data!E531)+1)-FIND("/",Raw_Data!E531)-1)),VALUE(LEFT(Raw_Data!E531,FIND("/",Raw_Data!E531)-1))),IF(ISNUMBER(VALUE(LEFT(Raw_Data!E531,4))),DATE(VALUE(LEFT(Raw_Data!E531,4)),VALUE(MID(Raw_Data!E531,6,2)),VALUE(MID(Raw_Data!E531,9,2))),DATEVALUE(Raw_Data!E531))),"")</f>
        <v>45520</v>
      </c>
      <c r="F531" s="11" t="str">
        <f aca="false">Raw_Data!F531</f>
        <v>Male 45+</v>
      </c>
      <c r="G531" s="11" t="str">
        <f aca="false">IF(TRIM(Raw_Data!G531)="","Unspecified",IFERROR(INDEX(Lookup_Tables!$F$2:$F$24,MATCH(UPPER(TRIM(Raw_Data!G531)),Lookup_Tables!$G$2:$G$24,0)),"Unknown"))</f>
        <v>Central</v>
      </c>
      <c r="H531" s="11" t="n">
        <f aca="false">IF(Raw_Data!H531="",ROUND(AVERAGEIFS(Raw_Data!$H$2:$H$839,Raw_Data!$C$2:$C$839,Raw_Data!C531),2),Raw_Data!H531)</f>
        <v>20405.92</v>
      </c>
      <c r="I531" s="11" t="n">
        <f aca="false">Raw_Data!I531</f>
        <v>430407</v>
      </c>
      <c r="J531" s="11" t="n">
        <f aca="false">IF(Raw_Data!J531&lt;0,ABS(Raw_Data!J531),Raw_Data!J531)</f>
        <v>4205</v>
      </c>
      <c r="K531" s="11" t="n">
        <f aca="false">Raw_Data!K531</f>
        <v>184</v>
      </c>
      <c r="L531" s="11" t="n">
        <f aca="false">IF(Raw_Data!L531="",ROUND(AVERAGEIFS(Raw_Data!$L$2:$L$839,Raw_Data!$C$2:$C$839,Raw_Data!C531),2),Raw_Data!L531)</f>
        <v>82024.79</v>
      </c>
      <c r="M531" s="13" t="n">
        <f aca="false">IFERROR(J531/I531,0)</f>
        <v>0.0097698225168271</v>
      </c>
      <c r="N531" s="14" t="n">
        <f aca="false">IFERROR(H531/J531,0)</f>
        <v>4.85277526753864</v>
      </c>
      <c r="O531" s="14" t="n">
        <f aca="false">IFERROR(H531/K531,0)</f>
        <v>110.901739130435</v>
      </c>
      <c r="P531" s="15" t="n">
        <f aca="false">IFERROR(L531/H531,0)</f>
        <v>4.01965655064805</v>
      </c>
      <c r="Q531" s="13" t="n">
        <f aca="false">IFERROR(K531/J531,0)</f>
        <v>0.0437574316290131</v>
      </c>
      <c r="R531" s="11" t="str">
        <f aca="false">IF(COUNTIF($A$2:A531,A531)&gt;1,"Duplicate - Remove","Unique")</f>
        <v>Unique</v>
      </c>
      <c r="S531" s="11" t="str">
        <f aca="false">TRIM(IF(Raw_Data!G531="","Region missing; ","")&amp;IF(Raw_Data!H531="","Spend imputed; ","")&amp;IF(Raw_Data!L531="","Revenue imputed; ","")&amp;IF(Raw_Data!J531&lt;0,"Clicks corrected; ",""))</f>
        <v/>
      </c>
    </row>
    <row r="532" customFormat="false" ht="15" hidden="false" customHeight="true" outlineLevel="0" collapsed="false">
      <c r="A532" s="11" t="n">
        <f aca="false">Raw_Data!A532</f>
        <v>1632</v>
      </c>
      <c r="B532" s="11" t="str">
        <f aca="false">PROPER(TRIM(Raw_Data!B532))</f>
        <v>Ayurvedic Range Launch</v>
      </c>
      <c r="C532" s="11" t="str">
        <f aca="false">IFERROR(INDEX(Lookup_Tables!$B$2:$B$26,MATCH(UPPER(TRIM(Raw_Data!C532)),Lookup_Tables!$C$2:$C$26,0)),"Unknown")</f>
        <v>Email</v>
      </c>
      <c r="D532" s="12" t="n">
        <f aca="false">IFERROR(IF(ISNUMBER(SEARCH("/",Raw_Data!D532)),DATE(VALUE(RIGHT(Raw_Data!D532,4)),VALUE(MID(Raw_Data!D532,FIND("/",Raw_Data!D532)+1,FIND("/",Raw_Data!D532,FIND("/",Raw_Data!D532)+1)-FIND("/",Raw_Data!D532)-1)),VALUE(LEFT(Raw_Data!D532,FIND("/",Raw_Data!D532)-1))),IF(ISNUMBER(VALUE(LEFT(Raw_Data!D532,4))),DATE(VALUE(LEFT(Raw_Data!D532,4)),VALUE(MID(Raw_Data!D532,6,2)),VALUE(MID(Raw_Data!D532,9,2))),DATEVALUE(Raw_Data!D532))),"")</f>
        <v>45598</v>
      </c>
      <c r="E532" s="12" t="n">
        <f aca="false">IFERROR(IF(ISNUMBER(SEARCH("/",Raw_Data!E532)),DATE(VALUE(RIGHT(Raw_Data!E532,4)),VALUE(MID(Raw_Data!E532,FIND("/",Raw_Data!E532)+1,FIND("/",Raw_Data!E532,FIND("/",Raw_Data!E532)+1)-FIND("/",Raw_Data!E532)-1)),VALUE(LEFT(Raw_Data!E532,FIND("/",Raw_Data!E532)-1))),IF(ISNUMBER(VALUE(LEFT(Raw_Data!E532,4))),DATE(VALUE(LEFT(Raw_Data!E532,4)),VALUE(MID(Raw_Data!E532,6,2)),VALUE(MID(Raw_Data!E532,9,2))),DATEVALUE(Raw_Data!E532))),"")</f>
        <v>45621</v>
      </c>
      <c r="F532" s="11" t="str">
        <f aca="false">Raw_Data!F532</f>
        <v>Female 25-34</v>
      </c>
      <c r="G532" s="11" t="str">
        <f aca="false">IF(TRIM(Raw_Data!G532)="","Unspecified",IFERROR(INDEX(Lookup_Tables!$F$2:$F$24,MATCH(UPPER(TRIM(Raw_Data!G532)),Lookup_Tables!$G$2:$G$24,0)),"Unknown"))</f>
        <v>Central</v>
      </c>
      <c r="H532" s="11" t="n">
        <f aca="false">IF(Raw_Data!H532="",ROUND(AVERAGEIFS(Raw_Data!$H$2:$H$839,Raw_Data!$C$2:$C$839,Raw_Data!C532),2),Raw_Data!H532)</f>
        <v>3861.43</v>
      </c>
      <c r="I532" s="11" t="n">
        <f aca="false">Raw_Data!I532</f>
        <v>60125</v>
      </c>
      <c r="J532" s="11" t="n">
        <f aca="false">IF(Raw_Data!J532&lt;0,ABS(Raw_Data!J532),Raw_Data!J532)</f>
        <v>1400</v>
      </c>
      <c r="K532" s="11" t="n">
        <f aca="false">Raw_Data!K532</f>
        <v>30</v>
      </c>
      <c r="L532" s="11" t="n">
        <f aca="false">IF(Raw_Data!L532="",ROUND(AVERAGEIFS(Raw_Data!$L$2:$L$839,Raw_Data!$C$2:$C$839,Raw_Data!C532),2),Raw_Data!L532)</f>
        <v>37709.04</v>
      </c>
      <c r="M532" s="13" t="n">
        <f aca="false">IFERROR(J532/I532,0)</f>
        <v>0.0232848232848233</v>
      </c>
      <c r="N532" s="14" t="n">
        <f aca="false">IFERROR(H532/J532,0)</f>
        <v>2.75816428571429</v>
      </c>
      <c r="O532" s="14" t="n">
        <f aca="false">IFERROR(H532/K532,0)</f>
        <v>128.714333333333</v>
      </c>
      <c r="P532" s="15" t="n">
        <f aca="false">IFERROR(L532/H532,0)</f>
        <v>9.76556353475267</v>
      </c>
      <c r="Q532" s="13" t="n">
        <f aca="false">IFERROR(K532/J532,0)</f>
        <v>0.0214285714285714</v>
      </c>
      <c r="R532" s="11" t="str">
        <f aca="false">IF(COUNTIF($A$2:A532,A532)&gt;1,"Duplicate - Remove","Unique")</f>
        <v>Unique</v>
      </c>
      <c r="S532" s="11" t="str">
        <f aca="false">TRIM(IF(Raw_Data!G532="","Region missing; ","")&amp;IF(Raw_Data!H532="","Spend imputed; ","")&amp;IF(Raw_Data!L532="","Revenue imputed; ","")&amp;IF(Raw_Data!J532&lt;0,"Clicks corrected; ",""))</f>
        <v/>
      </c>
    </row>
    <row r="533" customFormat="false" ht="15" hidden="false" customHeight="true" outlineLevel="0" collapsed="false">
      <c r="A533" s="11" t="n">
        <f aca="false">Raw_Data!A533</f>
        <v>1073</v>
      </c>
      <c r="B533" s="11" t="str">
        <f aca="false">PROPER(TRIM(Raw_Data!B533))</f>
        <v>Monsoon Skincare Push</v>
      </c>
      <c r="C533" s="11" t="str">
        <f aca="false">IFERROR(INDEX(Lookup_Tables!$B$2:$B$26,MATCH(UPPER(TRIM(Raw_Data!C533)),Lookup_Tables!$C$2:$C$26,0)),"Unknown")</f>
        <v>Instagram</v>
      </c>
      <c r="D533" s="12" t="n">
        <f aca="false">IFERROR(IF(ISNUMBER(SEARCH("/",Raw_Data!D533)),DATE(VALUE(RIGHT(Raw_Data!D533,4)),VALUE(MID(Raw_Data!D533,FIND("/",Raw_Data!D533)+1,FIND("/",Raw_Data!D533,FIND("/",Raw_Data!D533)+1)-FIND("/",Raw_Data!D533)-1)),VALUE(LEFT(Raw_Data!D533,FIND("/",Raw_Data!D533)-1))),IF(ISNUMBER(VALUE(LEFT(Raw_Data!D533,4))),DATE(VALUE(LEFT(Raw_Data!D533,4)),VALUE(MID(Raw_Data!D533,6,2)),VALUE(MID(Raw_Data!D533,9,2))),DATEVALUE(Raw_Data!D533))),"")</f>
        <v>45462</v>
      </c>
      <c r="E533" s="12" t="n">
        <f aca="false">IFERROR(IF(ISNUMBER(SEARCH("/",Raw_Data!E533)),DATE(VALUE(RIGHT(Raw_Data!E533,4)),VALUE(MID(Raw_Data!E533,FIND("/",Raw_Data!E533)+1,FIND("/",Raw_Data!E533,FIND("/",Raw_Data!E533)+1)-FIND("/",Raw_Data!E533)-1)),VALUE(LEFT(Raw_Data!E533,FIND("/",Raw_Data!E533)-1))),IF(ISNUMBER(VALUE(LEFT(Raw_Data!E533,4))),DATE(VALUE(LEFT(Raw_Data!E533,4)),VALUE(MID(Raw_Data!E533,6,2)),VALUE(MID(Raw_Data!E533,9,2))),DATEVALUE(Raw_Data!E533))),"")</f>
        <v>45469</v>
      </c>
      <c r="F533" s="11" t="str">
        <f aca="false">Raw_Data!F533</f>
        <v>Female 35-44</v>
      </c>
      <c r="G533" s="11" t="str">
        <f aca="false">IF(TRIM(Raw_Data!G533)="","Unspecified",IFERROR(INDEX(Lookup_Tables!$F$2:$F$24,MATCH(UPPER(TRIM(Raw_Data!G533)),Lookup_Tables!$G$2:$G$24,0)),"Unknown"))</f>
        <v>West</v>
      </c>
      <c r="H533" s="11" t="n">
        <f aca="false">IF(Raw_Data!H533="",ROUND(AVERAGEIFS(Raw_Data!$H$2:$H$839,Raw_Data!$C$2:$C$839,Raw_Data!C533),2),Raw_Data!H533)</f>
        <v>42507.83</v>
      </c>
      <c r="I533" s="11" t="n">
        <f aca="false">Raw_Data!I533</f>
        <v>1611840</v>
      </c>
      <c r="J533" s="11" t="n">
        <f aca="false">IF(Raw_Data!J533&lt;0,ABS(Raw_Data!J533),Raw_Data!J533)</f>
        <v>23060</v>
      </c>
      <c r="K533" s="11" t="n">
        <f aca="false">Raw_Data!K533</f>
        <v>1289</v>
      </c>
      <c r="L533" s="11" t="n">
        <f aca="false">IF(Raw_Data!L533="",ROUND(AVERAGEIFS(Raw_Data!$L$2:$L$839,Raw_Data!$C$2:$C$839,Raw_Data!C533),2),Raw_Data!L533)</f>
        <v>1688713.72</v>
      </c>
      <c r="M533" s="13" t="n">
        <f aca="false">IFERROR(J533/I533,0)</f>
        <v>0.0143066309311098</v>
      </c>
      <c r="N533" s="14" t="n">
        <f aca="false">IFERROR(H533/J533,0)</f>
        <v>1.84335776235906</v>
      </c>
      <c r="O533" s="14" t="n">
        <f aca="false">IFERROR(H533/K533,0)</f>
        <v>32.9773700543057</v>
      </c>
      <c r="P533" s="15" t="n">
        <f aca="false">IFERROR(L533/H533,0)</f>
        <v>39.7271213327051</v>
      </c>
      <c r="Q533" s="13" t="n">
        <f aca="false">IFERROR(K533/J533,0)</f>
        <v>0.0558976582827407</v>
      </c>
      <c r="R533" s="11" t="str">
        <f aca="false">IF(COUNTIF($A$2:A533,A533)&gt;1,"Duplicate - Remove","Unique")</f>
        <v>Unique</v>
      </c>
      <c r="S533" s="11" t="str">
        <f aca="false">TRIM(IF(Raw_Data!G533="","Region missing; ","")&amp;IF(Raw_Data!H533="","Spend imputed; ","")&amp;IF(Raw_Data!L533="","Revenue imputed; ","")&amp;IF(Raw_Data!J533&lt;0,"Clicks corrected; ",""))</f>
        <v/>
      </c>
    </row>
    <row r="534" customFormat="false" ht="15" hidden="false" customHeight="true" outlineLevel="0" collapsed="false">
      <c r="A534" s="11" t="n">
        <f aca="false">Raw_Data!A534</f>
        <v>1319</v>
      </c>
      <c r="B534" s="11" t="str">
        <f aca="false">PROPER(TRIM(Raw_Data!B534))</f>
        <v>Men'S Grooming Drive</v>
      </c>
      <c r="C534" s="11" t="str">
        <f aca="false">IFERROR(INDEX(Lookup_Tables!$B$2:$B$26,MATCH(UPPER(TRIM(Raw_Data!C534)),Lookup_Tables!$C$2:$C$26,0)),"Unknown")</f>
        <v>Email</v>
      </c>
      <c r="D534" s="12" t="n">
        <f aca="false">IFERROR(IF(ISNUMBER(SEARCH("/",Raw_Data!D534)),DATE(VALUE(RIGHT(Raw_Data!D534,4)),VALUE(MID(Raw_Data!D534,FIND("/",Raw_Data!D534)+1,FIND("/",Raw_Data!D534,FIND("/",Raw_Data!D534)+1)-FIND("/",Raw_Data!D534)-1)),VALUE(LEFT(Raw_Data!D534,FIND("/",Raw_Data!D534)-1))),IF(ISNUMBER(VALUE(LEFT(Raw_Data!D534,4))),DATE(VALUE(LEFT(Raw_Data!D534,4)),VALUE(MID(Raw_Data!D534,6,2)),VALUE(MID(Raw_Data!D534,9,2))),DATEVALUE(Raw_Data!D534))),"")</f>
        <v>45314</v>
      </c>
      <c r="E534" s="12" t="n">
        <f aca="false">IFERROR(IF(ISNUMBER(SEARCH("/",Raw_Data!E534)),DATE(VALUE(RIGHT(Raw_Data!E534,4)),VALUE(MID(Raw_Data!E534,FIND("/",Raw_Data!E534)+1,FIND("/",Raw_Data!E534,FIND("/",Raw_Data!E534)+1)-FIND("/",Raw_Data!E534)-1)),VALUE(LEFT(Raw_Data!E534,FIND("/",Raw_Data!E534)-1))),IF(ISNUMBER(VALUE(LEFT(Raw_Data!E534,4))),DATE(VALUE(LEFT(Raw_Data!E534,4)),VALUE(MID(Raw_Data!E534,6,2)),VALUE(MID(Raw_Data!E534,9,2))),DATEVALUE(Raw_Data!E534))),"")</f>
        <v>45320</v>
      </c>
      <c r="F534" s="11" t="str">
        <f aca="false">Raw_Data!F534</f>
        <v>Female 35-44</v>
      </c>
      <c r="G534" s="11" t="str">
        <f aca="false">IF(TRIM(Raw_Data!G534)="","Unspecified",IFERROR(INDEX(Lookup_Tables!$F$2:$F$24,MATCH(UPPER(TRIM(Raw_Data!G534)),Lookup_Tables!$G$2:$G$24,0)),"Unknown"))</f>
        <v>South</v>
      </c>
      <c r="H534" s="11" t="n">
        <f aca="false">IF(Raw_Data!H534="",ROUND(AVERAGEIFS(Raw_Data!$H$2:$H$839,Raw_Data!$C$2:$C$839,Raw_Data!C534),2),Raw_Data!H534)</f>
        <v>3549.35</v>
      </c>
      <c r="I534" s="11" t="n">
        <f aca="false">Raw_Data!I534</f>
        <v>71837</v>
      </c>
      <c r="J534" s="11" t="n">
        <f aca="false">IF(Raw_Data!J534&lt;0,ABS(Raw_Data!J534),Raw_Data!J534)</f>
        <v>900</v>
      </c>
      <c r="K534" s="11" t="n">
        <f aca="false">Raw_Data!K534</f>
        <v>47</v>
      </c>
      <c r="L534" s="11" t="n">
        <f aca="false">IF(Raw_Data!L534="",ROUND(AVERAGEIFS(Raw_Data!$L$2:$L$839,Raw_Data!$C$2:$C$839,Raw_Data!C534),2),Raw_Data!L534)</f>
        <v>77108.92</v>
      </c>
      <c r="M534" s="13" t="n">
        <f aca="false">IFERROR(J534/I534,0)</f>
        <v>0.0125283628213873</v>
      </c>
      <c r="N534" s="14" t="n">
        <f aca="false">IFERROR(H534/J534,0)</f>
        <v>3.94372222222222</v>
      </c>
      <c r="O534" s="14" t="n">
        <f aca="false">IFERROR(H534/K534,0)</f>
        <v>75.518085106383</v>
      </c>
      <c r="P534" s="15" t="n">
        <f aca="false">IFERROR(L534/H534,0)</f>
        <v>21.7248003155507</v>
      </c>
      <c r="Q534" s="13" t="n">
        <f aca="false">IFERROR(K534/J534,0)</f>
        <v>0.0522222222222222</v>
      </c>
      <c r="R534" s="11" t="str">
        <f aca="false">IF(COUNTIF($A$2:A534,A534)&gt;1,"Duplicate - Remove","Unique")</f>
        <v>Unique</v>
      </c>
      <c r="S534" s="11" t="str">
        <f aca="false">TRIM(IF(Raw_Data!G534="","Region missing; ","")&amp;IF(Raw_Data!H534="","Spend imputed; ","")&amp;IF(Raw_Data!L534="","Revenue imputed; ","")&amp;IF(Raw_Data!J534&lt;0,"Clicks corrected; ",""))</f>
        <v/>
      </c>
    </row>
    <row r="535" customFormat="false" ht="15" hidden="false" customHeight="true" outlineLevel="0" collapsed="false">
      <c r="A535" s="11" t="n">
        <f aca="false">Raw_Data!A535</f>
        <v>1574</v>
      </c>
      <c r="B535" s="11" t="str">
        <f aca="false">PROPER(TRIM(Raw_Data!B535))</f>
        <v>Summer Glow Launch</v>
      </c>
      <c r="C535" s="11" t="str">
        <f aca="false">IFERROR(INDEX(Lookup_Tables!$B$2:$B$26,MATCH(UPPER(TRIM(Raw_Data!C535)),Lookup_Tables!$C$2:$C$26,0)),"Unknown")</f>
        <v>Google Ads</v>
      </c>
      <c r="D535" s="12" t="n">
        <f aca="false">IFERROR(IF(ISNUMBER(SEARCH("/",Raw_Data!D535)),DATE(VALUE(RIGHT(Raw_Data!D535,4)),VALUE(MID(Raw_Data!D535,FIND("/",Raw_Data!D535)+1,FIND("/",Raw_Data!D535,FIND("/",Raw_Data!D535)+1)-FIND("/",Raw_Data!D535)-1)),VALUE(LEFT(Raw_Data!D535,FIND("/",Raw_Data!D535)-1))),IF(ISNUMBER(VALUE(LEFT(Raw_Data!D535,4))),DATE(VALUE(LEFT(Raw_Data!D535,4)),VALUE(MID(Raw_Data!D535,6,2)),VALUE(MID(Raw_Data!D535,9,2))),DATEVALUE(Raw_Data!D535))),"")</f>
        <v>45471</v>
      </c>
      <c r="E535" s="12" t="n">
        <f aca="false">IFERROR(IF(ISNUMBER(SEARCH("/",Raw_Data!E535)),DATE(VALUE(RIGHT(Raw_Data!E535,4)),VALUE(MID(Raw_Data!E535,FIND("/",Raw_Data!E535)+1,FIND("/",Raw_Data!E535,FIND("/",Raw_Data!E535)+1)-FIND("/",Raw_Data!E535)-1)),VALUE(LEFT(Raw_Data!E535,FIND("/",Raw_Data!E535)-1))),IF(ISNUMBER(VALUE(LEFT(Raw_Data!E535,4))),DATE(VALUE(LEFT(Raw_Data!E535,4)),VALUE(MID(Raw_Data!E535,6,2)),VALUE(MID(Raw_Data!E535,9,2))),DATEVALUE(Raw_Data!E535))),"")</f>
        <v>45479</v>
      </c>
      <c r="F535" s="11" t="str">
        <f aca="false">Raw_Data!F535</f>
        <v>Male 18-24</v>
      </c>
      <c r="G535" s="11" t="str">
        <f aca="false">IF(TRIM(Raw_Data!G535)="","Unspecified",IFERROR(INDEX(Lookup_Tables!$F$2:$F$24,MATCH(UPPER(TRIM(Raw_Data!G535)),Lookup_Tables!$G$2:$G$24,0)),"Unknown"))</f>
        <v>East</v>
      </c>
      <c r="H535" s="11" t="n">
        <f aca="false">IF(Raw_Data!H535="",ROUND(AVERAGEIFS(Raw_Data!$H$2:$H$839,Raw_Data!$C$2:$C$839,Raw_Data!C535),2),Raw_Data!H535)</f>
        <v>45485.66</v>
      </c>
      <c r="I535" s="11" t="n">
        <f aca="false">Raw_Data!I535</f>
        <v>810989</v>
      </c>
      <c r="J535" s="11" t="n">
        <f aca="false">IF(Raw_Data!J535&lt;0,ABS(Raw_Data!J535),Raw_Data!J535)</f>
        <v>5939</v>
      </c>
      <c r="K535" s="11" t="n">
        <f aca="false">Raw_Data!K535</f>
        <v>144</v>
      </c>
      <c r="L535" s="11" t="n">
        <f aca="false">IF(Raw_Data!L535="",ROUND(AVERAGEIFS(Raw_Data!$L$2:$L$839,Raw_Data!$C$2:$C$839,Raw_Data!C535),2),Raw_Data!L535)</f>
        <v>169492.4</v>
      </c>
      <c r="M535" s="13" t="n">
        <f aca="false">IFERROR(J535/I535,0)</f>
        <v>0.00732315728080159</v>
      </c>
      <c r="N535" s="14" t="n">
        <f aca="false">IFERROR(H535/J535,0)</f>
        <v>7.6588078801145</v>
      </c>
      <c r="O535" s="14" t="n">
        <f aca="false">IFERROR(H535/K535,0)</f>
        <v>315.872638888889</v>
      </c>
      <c r="P535" s="15" t="n">
        <f aca="false">IFERROR(L535/H535,0)</f>
        <v>3.72628208538691</v>
      </c>
      <c r="Q535" s="13" t="n">
        <f aca="false">IFERROR(K535/J535,0)</f>
        <v>0.0242465061458158</v>
      </c>
      <c r="R535" s="11" t="str">
        <f aca="false">IF(COUNTIF($A$2:A535,A535)&gt;1,"Duplicate - Remove","Unique")</f>
        <v>Unique</v>
      </c>
      <c r="S535" s="11" t="str">
        <f aca="false">TRIM(IF(Raw_Data!G535="","Region missing; ","")&amp;IF(Raw_Data!H535="","Spend imputed; ","")&amp;IF(Raw_Data!L535="","Revenue imputed; ","")&amp;IF(Raw_Data!J535&lt;0,"Clicks corrected; ",""))</f>
        <v/>
      </c>
    </row>
    <row r="536" customFormat="false" ht="15" hidden="false" customHeight="true" outlineLevel="0" collapsed="false">
      <c r="A536" s="11" t="n">
        <f aca="false">Raw_Data!A536</f>
        <v>1060</v>
      </c>
      <c r="B536" s="11" t="str">
        <f aca="false">PROPER(TRIM(Raw_Data!B536))</f>
        <v>Summer Glow Launch</v>
      </c>
      <c r="C536" s="11" t="str">
        <f aca="false">IFERROR(INDEX(Lookup_Tables!$B$2:$B$26,MATCH(UPPER(TRIM(Raw_Data!C536)),Lookup_Tables!$C$2:$C$26,0)),"Unknown")</f>
        <v>Email</v>
      </c>
      <c r="D536" s="12" t="n">
        <f aca="false">IFERROR(IF(ISNUMBER(SEARCH("/",Raw_Data!D536)),DATE(VALUE(RIGHT(Raw_Data!D536,4)),VALUE(MID(Raw_Data!D536,FIND("/",Raw_Data!D536)+1,FIND("/",Raw_Data!D536,FIND("/",Raw_Data!D536)+1)-FIND("/",Raw_Data!D536)-1)),VALUE(LEFT(Raw_Data!D536,FIND("/",Raw_Data!D536)-1))),IF(ISNUMBER(VALUE(LEFT(Raw_Data!D536,4))),DATE(VALUE(LEFT(Raw_Data!D536,4)),VALUE(MID(Raw_Data!D536,6,2)),VALUE(MID(Raw_Data!D536,9,2))),DATEVALUE(Raw_Data!D536))),"")</f>
        <v>45329</v>
      </c>
      <c r="E536" s="12" t="n">
        <f aca="false">IFERROR(IF(ISNUMBER(SEARCH("/",Raw_Data!E536)),DATE(VALUE(RIGHT(Raw_Data!E536,4)),VALUE(MID(Raw_Data!E536,FIND("/",Raw_Data!E536)+1,FIND("/",Raw_Data!E536,FIND("/",Raw_Data!E536)+1)-FIND("/",Raw_Data!E536)-1)),VALUE(LEFT(Raw_Data!E536,FIND("/",Raw_Data!E536)-1))),IF(ISNUMBER(VALUE(LEFT(Raw_Data!E536,4))),DATE(VALUE(LEFT(Raw_Data!E536,4)),VALUE(MID(Raw_Data!E536,6,2)),VALUE(MID(Raw_Data!E536,9,2))),DATEVALUE(Raw_Data!E536))),"")</f>
        <v>45336</v>
      </c>
      <c r="F536" s="11" t="str">
        <f aca="false">Raw_Data!F536</f>
        <v>Male 45+</v>
      </c>
      <c r="G536" s="11" t="str">
        <f aca="false">IF(TRIM(Raw_Data!G536)="","Unspecified",IFERROR(INDEX(Lookup_Tables!$F$2:$F$24,MATCH(UPPER(TRIM(Raw_Data!G536)),Lookup_Tables!$G$2:$G$24,0)),"Unknown"))</f>
        <v>West</v>
      </c>
      <c r="H536" s="11" t="n">
        <f aca="false">IF(Raw_Data!H536="",ROUND(AVERAGEIFS(Raw_Data!$H$2:$H$839,Raw_Data!$C$2:$C$839,Raw_Data!C536),2),Raw_Data!H536)</f>
        <v>5258.08</v>
      </c>
      <c r="I536" s="11" t="n">
        <f aca="false">Raw_Data!I536</f>
        <v>87505</v>
      </c>
      <c r="J536" s="11" t="n">
        <f aca="false">IF(Raw_Data!J536&lt;0,ABS(Raw_Data!J536),Raw_Data!J536)</f>
        <v>1159</v>
      </c>
      <c r="K536" s="11" t="n">
        <f aca="false">Raw_Data!K536</f>
        <v>62</v>
      </c>
      <c r="L536" s="11" t="n">
        <f aca="false">IF(Raw_Data!L536="",ROUND(AVERAGEIFS(Raw_Data!$L$2:$L$839,Raw_Data!$C$2:$C$839,Raw_Data!C536),2),Raw_Data!L536)</f>
        <v>70997.24</v>
      </c>
      <c r="M536" s="13" t="n">
        <f aca="false">IFERROR(J536/I536,0)</f>
        <v>0.0132449574310039</v>
      </c>
      <c r="N536" s="14" t="n">
        <f aca="false">IFERROR(H536/J536,0)</f>
        <v>4.5367385677308</v>
      </c>
      <c r="O536" s="14" t="n">
        <f aca="false">IFERROR(H536/K536,0)</f>
        <v>84.8077419354839</v>
      </c>
      <c r="P536" s="15" t="n">
        <f aca="false">IFERROR(L536/H536,0)</f>
        <v>13.5025028147156</v>
      </c>
      <c r="Q536" s="13" t="n">
        <f aca="false">IFERROR(K536/J536,0)</f>
        <v>0.0534943917169974</v>
      </c>
      <c r="R536" s="11" t="str">
        <f aca="false">IF(COUNTIF($A$2:A536,A536)&gt;1,"Duplicate - Remove","Unique")</f>
        <v>Unique</v>
      </c>
      <c r="S536" s="11" t="str">
        <f aca="false">TRIM(IF(Raw_Data!G536="","Region missing; ","")&amp;IF(Raw_Data!H536="","Spend imputed; ","")&amp;IF(Raw_Data!L536="","Revenue imputed; ","")&amp;IF(Raw_Data!J536&lt;0,"Clicks corrected; ",""))</f>
        <v/>
      </c>
    </row>
    <row r="537" customFormat="false" ht="15" hidden="false" customHeight="true" outlineLevel="0" collapsed="false">
      <c r="A537" s="11" t="n">
        <f aca="false">Raw_Data!A537</f>
        <v>1581</v>
      </c>
      <c r="B537" s="11" t="str">
        <f aca="false">PROPER(TRIM(Raw_Data!B537))</f>
        <v>Baby Care Trust Campaign</v>
      </c>
      <c r="C537" s="11" t="str">
        <f aca="false">IFERROR(INDEX(Lookup_Tables!$B$2:$B$26,MATCH(UPPER(TRIM(Raw_Data!C537)),Lookup_Tables!$C$2:$C$26,0)),"Unknown")</f>
        <v>YouTube</v>
      </c>
      <c r="D537" s="12" t="n">
        <f aca="false">IFERROR(IF(ISNUMBER(SEARCH("/",Raw_Data!D537)),DATE(VALUE(RIGHT(Raw_Data!D537,4)),VALUE(MID(Raw_Data!D537,FIND("/",Raw_Data!D537)+1,FIND("/",Raw_Data!D537,FIND("/",Raw_Data!D537)+1)-FIND("/",Raw_Data!D537)-1)),VALUE(LEFT(Raw_Data!D537,FIND("/",Raw_Data!D537)-1))),IF(ISNUMBER(VALUE(LEFT(Raw_Data!D537,4))),DATE(VALUE(LEFT(Raw_Data!D537,4)),VALUE(MID(Raw_Data!D537,6,2)),VALUE(MID(Raw_Data!D537,9,2))),DATEVALUE(Raw_Data!D537))),"")</f>
        <v>45614</v>
      </c>
      <c r="E537" s="12" t="n">
        <f aca="false">IFERROR(IF(ISNUMBER(SEARCH("/",Raw_Data!E537)),DATE(VALUE(RIGHT(Raw_Data!E537,4)),VALUE(MID(Raw_Data!E537,FIND("/",Raw_Data!E537)+1,FIND("/",Raw_Data!E537,FIND("/",Raw_Data!E537)+1)-FIND("/",Raw_Data!E537)-1)),VALUE(LEFT(Raw_Data!E537,FIND("/",Raw_Data!E537)-1))),IF(ISNUMBER(VALUE(LEFT(Raw_Data!E537,4))),DATE(VALUE(LEFT(Raw_Data!E537,4)),VALUE(MID(Raw_Data!E537,6,2)),VALUE(MID(Raw_Data!E537,9,2))),DATEVALUE(Raw_Data!E537))),"")</f>
        <v>45633</v>
      </c>
      <c r="F537" s="11" t="str">
        <f aca="false">Raw_Data!F537</f>
        <v>Female 45+</v>
      </c>
      <c r="G537" s="11" t="str">
        <f aca="false">IF(TRIM(Raw_Data!G537)="","Unspecified",IFERROR(INDEX(Lookup_Tables!$F$2:$F$24,MATCH(UPPER(TRIM(Raw_Data!G537)),Lookup_Tables!$G$2:$G$24,0)),"Unknown"))</f>
        <v>North</v>
      </c>
      <c r="H537" s="11" t="n">
        <f aca="false">IF(Raw_Data!H537="",ROUND(AVERAGEIFS(Raw_Data!$H$2:$H$839,Raw_Data!$C$2:$C$839,Raw_Data!C537),2),Raw_Data!H537)</f>
        <v>77610.35</v>
      </c>
      <c r="I537" s="11" t="n">
        <f aca="false">Raw_Data!I537</f>
        <v>1725454</v>
      </c>
      <c r="J537" s="11" t="n">
        <f aca="false">IF(Raw_Data!J537&lt;0,ABS(Raw_Data!J537),Raw_Data!J537)</f>
        <v>33324</v>
      </c>
      <c r="K537" s="11" t="n">
        <f aca="false">Raw_Data!K537</f>
        <v>647</v>
      </c>
      <c r="L537" s="11" t="n">
        <f aca="false">IF(Raw_Data!L537="",ROUND(AVERAGEIFS(Raw_Data!$L$2:$L$839,Raw_Data!$C$2:$C$839,Raw_Data!C537),2),Raw_Data!L537)</f>
        <v>398554.35</v>
      </c>
      <c r="M537" s="13" t="n">
        <f aca="false">IFERROR(J537/I537,0)</f>
        <v>0.019313177865072</v>
      </c>
      <c r="N537" s="14" t="n">
        <f aca="false">IFERROR(H537/J537,0)</f>
        <v>2.32896260953067</v>
      </c>
      <c r="O537" s="14" t="n">
        <f aca="false">IFERROR(H537/K537,0)</f>
        <v>119.954173106646</v>
      </c>
      <c r="P537" s="15" t="n">
        <f aca="false">IFERROR(L537/H537,0)</f>
        <v>5.13532473439432</v>
      </c>
      <c r="Q537" s="13" t="n">
        <f aca="false">IFERROR(K537/J537,0)</f>
        <v>0.0194154363221702</v>
      </c>
      <c r="R537" s="11" t="str">
        <f aca="false">IF(COUNTIF($A$2:A537,A537)&gt;1,"Duplicate - Remove","Unique")</f>
        <v>Unique</v>
      </c>
      <c r="S537" s="11" t="str">
        <f aca="false">TRIM(IF(Raw_Data!G537="","Region missing; ","")&amp;IF(Raw_Data!H537="","Spend imputed; ","")&amp;IF(Raw_Data!L537="","Revenue imputed; ","")&amp;IF(Raw_Data!J537&lt;0,"Clicks corrected; ",""))</f>
        <v/>
      </c>
    </row>
    <row r="538" customFormat="false" ht="15" hidden="false" customHeight="true" outlineLevel="0" collapsed="false">
      <c r="A538" s="11" t="n">
        <f aca="false">Raw_Data!A538</f>
        <v>1355</v>
      </c>
      <c r="B538" s="11" t="str">
        <f aca="false">PROPER(TRIM(Raw_Data!B538))</f>
        <v>Clearance Sale Push</v>
      </c>
      <c r="C538" s="11" t="str">
        <f aca="false">IFERROR(INDEX(Lookup_Tables!$B$2:$B$26,MATCH(UPPER(TRIM(Raw_Data!C538)),Lookup_Tables!$C$2:$C$26,0)),"Unknown")</f>
        <v>Facebook</v>
      </c>
      <c r="D538" s="12" t="n">
        <f aca="false">IFERROR(IF(ISNUMBER(SEARCH("/",Raw_Data!D538)),DATE(VALUE(RIGHT(Raw_Data!D538,4)),VALUE(MID(Raw_Data!D538,FIND("/",Raw_Data!D538)+1,FIND("/",Raw_Data!D538,FIND("/",Raw_Data!D538)+1)-FIND("/",Raw_Data!D538)-1)),VALUE(LEFT(Raw_Data!D538,FIND("/",Raw_Data!D538)-1))),IF(ISNUMBER(VALUE(LEFT(Raw_Data!D538,4))),DATE(VALUE(LEFT(Raw_Data!D538,4)),VALUE(MID(Raw_Data!D538,6,2)),VALUE(MID(Raw_Data!D538,9,2))),DATEVALUE(Raw_Data!D538))),"")</f>
        <v>45326</v>
      </c>
      <c r="E538" s="12" t="n">
        <f aca="false">IFERROR(IF(ISNUMBER(SEARCH("/",Raw_Data!E538)),DATE(VALUE(RIGHT(Raw_Data!E538,4)),VALUE(MID(Raw_Data!E538,FIND("/",Raw_Data!E538)+1,FIND("/",Raw_Data!E538,FIND("/",Raw_Data!E538)+1)-FIND("/",Raw_Data!E538)-1)),VALUE(LEFT(Raw_Data!E538,FIND("/",Raw_Data!E538)-1))),IF(ISNUMBER(VALUE(LEFT(Raw_Data!E538,4))),DATE(VALUE(LEFT(Raw_Data!E538,4)),VALUE(MID(Raw_Data!E538,6,2)),VALUE(MID(Raw_Data!E538,9,2))),DATEVALUE(Raw_Data!E538))),"")</f>
        <v>45349</v>
      </c>
      <c r="F538" s="11" t="str">
        <f aca="false">Raw_Data!F538</f>
        <v>Male 25-34</v>
      </c>
      <c r="G538" s="11" t="str">
        <f aca="false">IF(TRIM(Raw_Data!G538)="","Unspecified",IFERROR(INDEX(Lookup_Tables!$F$2:$F$24,MATCH(UPPER(TRIM(Raw_Data!G538)),Lookup_Tables!$G$2:$G$24,0)),"Unknown"))</f>
        <v>Central</v>
      </c>
      <c r="H538" s="11" t="n">
        <f aca="false">IF(Raw_Data!H538="",ROUND(AVERAGEIFS(Raw_Data!$H$2:$H$839,Raw_Data!$C$2:$C$839,Raw_Data!C538),2),Raw_Data!H538)</f>
        <v>26911.81</v>
      </c>
      <c r="I538" s="11" t="n">
        <f aca="false">Raw_Data!I538</f>
        <v>544788</v>
      </c>
      <c r="J538" s="11" t="n">
        <f aca="false">IF(Raw_Data!J538&lt;0,ABS(Raw_Data!J538),Raw_Data!J538)</f>
        <v>15727</v>
      </c>
      <c r="K538" s="11" t="n">
        <f aca="false">Raw_Data!K538</f>
        <v>874</v>
      </c>
      <c r="L538" s="11" t="n">
        <f aca="false">IF(Raw_Data!L538="",ROUND(AVERAGEIFS(Raw_Data!$L$2:$L$839,Raw_Data!$C$2:$C$839,Raw_Data!C538),2),Raw_Data!L538)</f>
        <v>688430.72</v>
      </c>
      <c r="M538" s="13" t="n">
        <f aca="false">IFERROR(J538/I538,0)</f>
        <v>0.0288681101639537</v>
      </c>
      <c r="N538" s="14" t="n">
        <f aca="false">IFERROR(H538/J538,0)</f>
        <v>1.71118522286514</v>
      </c>
      <c r="O538" s="14" t="n">
        <f aca="false">IFERROR(H538/K538,0)</f>
        <v>30.7915446224256</v>
      </c>
      <c r="P538" s="15" t="n">
        <f aca="false">IFERROR(L538/H538,0)</f>
        <v>25.5809891642368</v>
      </c>
      <c r="Q538" s="13" t="n">
        <f aca="false">IFERROR(K538/J538,0)</f>
        <v>0.0555732180326827</v>
      </c>
      <c r="R538" s="11" t="str">
        <f aca="false">IF(COUNTIF($A$2:A538,A538)&gt;1,"Duplicate - Remove","Unique")</f>
        <v>Unique</v>
      </c>
      <c r="S538" s="11" t="str">
        <f aca="false">TRIM(IF(Raw_Data!G538="","Region missing; ","")&amp;IF(Raw_Data!H538="","Spend imputed; ","")&amp;IF(Raw_Data!L538="","Revenue imputed; ","")&amp;IF(Raw_Data!J538&lt;0,"Clicks corrected; ",""))</f>
        <v/>
      </c>
    </row>
    <row r="539" customFormat="false" ht="15" hidden="false" customHeight="true" outlineLevel="0" collapsed="false">
      <c r="A539" s="11" t="n">
        <f aca="false">Raw_Data!A539</f>
        <v>1377</v>
      </c>
      <c r="B539" s="11" t="str">
        <f aca="false">PROPER(TRIM(Raw_Data!B539))</f>
        <v>Monsoon Skincare Push</v>
      </c>
      <c r="C539" s="11" t="str">
        <f aca="false">IFERROR(INDEX(Lookup_Tables!$B$2:$B$26,MATCH(UPPER(TRIM(Raw_Data!C539)),Lookup_Tables!$C$2:$C$26,0)),"Unknown")</f>
        <v>Email</v>
      </c>
      <c r="D539" s="12" t="n">
        <f aca="false">IFERROR(IF(ISNUMBER(SEARCH("/",Raw_Data!D539)),DATE(VALUE(RIGHT(Raw_Data!D539,4)),VALUE(MID(Raw_Data!D539,FIND("/",Raw_Data!D539)+1,FIND("/",Raw_Data!D539,FIND("/",Raw_Data!D539)+1)-FIND("/",Raw_Data!D539)-1)),VALUE(LEFT(Raw_Data!D539,FIND("/",Raw_Data!D539)-1))),IF(ISNUMBER(VALUE(LEFT(Raw_Data!D539,4))),DATE(VALUE(LEFT(Raw_Data!D539,4)),VALUE(MID(Raw_Data!D539,6,2)),VALUE(MID(Raw_Data!D539,9,2))),DATEVALUE(Raw_Data!D539))),"")</f>
        <v>45545</v>
      </c>
      <c r="E539" s="12" t="n">
        <f aca="false">IFERROR(IF(ISNUMBER(SEARCH("/",Raw_Data!E539)),DATE(VALUE(RIGHT(Raw_Data!E539,4)),VALUE(MID(Raw_Data!E539,FIND("/",Raw_Data!E539)+1,FIND("/",Raw_Data!E539,FIND("/",Raw_Data!E539)+1)-FIND("/",Raw_Data!E539)-1)),VALUE(LEFT(Raw_Data!E539,FIND("/",Raw_Data!E539)-1))),IF(ISNUMBER(VALUE(LEFT(Raw_Data!E539,4))),DATE(VALUE(LEFT(Raw_Data!E539,4)),VALUE(MID(Raw_Data!E539,6,2)),VALUE(MID(Raw_Data!E539,9,2))),DATEVALUE(Raw_Data!E539))),"")</f>
        <v>45566</v>
      </c>
      <c r="F539" s="11" t="str">
        <f aca="false">Raw_Data!F539</f>
        <v>Female 35-44</v>
      </c>
      <c r="G539" s="11" t="str">
        <f aca="false">IF(TRIM(Raw_Data!G539)="","Unspecified",IFERROR(INDEX(Lookup_Tables!$F$2:$F$24,MATCH(UPPER(TRIM(Raw_Data!G539)),Lookup_Tables!$G$2:$G$24,0)),"Unknown"))</f>
        <v>West</v>
      </c>
      <c r="H539" s="11" t="n">
        <f aca="false">IF(Raw_Data!H539="",ROUND(AVERAGEIFS(Raw_Data!$H$2:$H$839,Raw_Data!$C$2:$C$839,Raw_Data!C539),2),Raw_Data!H539)</f>
        <v>5530.58</v>
      </c>
      <c r="I539" s="11" t="n">
        <f aca="false">Raw_Data!I539</f>
        <v>94568</v>
      </c>
      <c r="J539" s="11" t="n">
        <f aca="false">IF(Raw_Data!J539&lt;0,ABS(Raw_Data!J539),Raw_Data!J539)</f>
        <v>1801</v>
      </c>
      <c r="K539" s="11" t="n">
        <f aca="false">Raw_Data!K539</f>
        <v>27</v>
      </c>
      <c r="L539" s="11" t="n">
        <f aca="false">IF(Raw_Data!L539="",ROUND(AVERAGEIFS(Raw_Data!$L$2:$L$839,Raw_Data!$C$2:$C$839,Raw_Data!C539),2),Raw_Data!L539)</f>
        <v>40830.47</v>
      </c>
      <c r="M539" s="13" t="n">
        <f aca="false">IFERROR(J539/I539,0)</f>
        <v>0.0190444970814652</v>
      </c>
      <c r="N539" s="14" t="n">
        <f aca="false">IFERROR(H539/J539,0)</f>
        <v>3.07083842309828</v>
      </c>
      <c r="O539" s="14" t="n">
        <f aca="false">IFERROR(H539/K539,0)</f>
        <v>204.836296296296</v>
      </c>
      <c r="P539" s="15" t="n">
        <f aca="false">IFERROR(L539/H539,0)</f>
        <v>7.38267414990833</v>
      </c>
      <c r="Q539" s="13" t="n">
        <f aca="false">IFERROR(K539/J539,0)</f>
        <v>0.0149916712937257</v>
      </c>
      <c r="R539" s="11" t="str">
        <f aca="false">IF(COUNTIF($A$2:A539,A539)&gt;1,"Duplicate - Remove","Unique")</f>
        <v>Unique</v>
      </c>
      <c r="S539" s="11" t="str">
        <f aca="false">TRIM(IF(Raw_Data!G539="","Region missing; ","")&amp;IF(Raw_Data!H539="","Spend imputed; ","")&amp;IF(Raw_Data!L539="","Revenue imputed; ","")&amp;IF(Raw_Data!J539&lt;0,"Clicks corrected; ",""))</f>
        <v/>
      </c>
    </row>
    <row r="540" customFormat="false" ht="15" hidden="false" customHeight="true" outlineLevel="0" collapsed="false">
      <c r="A540" s="11" t="n">
        <f aca="false">Raw_Data!A540</f>
        <v>1713</v>
      </c>
      <c r="B540" s="11" t="str">
        <f aca="false">PROPER(TRIM(Raw_Data!B540))</f>
        <v>Wedding Season Special</v>
      </c>
      <c r="C540" s="11" t="str">
        <f aca="false">IFERROR(INDEX(Lookup_Tables!$B$2:$B$26,MATCH(UPPER(TRIM(Raw_Data!C540)),Lookup_Tables!$C$2:$C$26,0)),"Unknown")</f>
        <v>Google Ads</v>
      </c>
      <c r="D540" s="12" t="n">
        <f aca="false">IFERROR(IF(ISNUMBER(SEARCH("/",Raw_Data!D540)),DATE(VALUE(RIGHT(Raw_Data!D540,4)),VALUE(MID(Raw_Data!D540,FIND("/",Raw_Data!D540)+1,FIND("/",Raw_Data!D540,FIND("/",Raw_Data!D540)+1)-FIND("/",Raw_Data!D540)-1)),VALUE(LEFT(Raw_Data!D540,FIND("/",Raw_Data!D540)-1))),IF(ISNUMBER(VALUE(LEFT(Raw_Data!D540,4))),DATE(VALUE(LEFT(Raw_Data!D540,4)),VALUE(MID(Raw_Data!D540,6,2)),VALUE(MID(Raw_Data!D540,9,2))),DATEVALUE(Raw_Data!D540))),"")</f>
        <v>45325</v>
      </c>
      <c r="E540" s="12" t="n">
        <f aca="false">IFERROR(IF(ISNUMBER(SEARCH("/",Raw_Data!E540)),DATE(VALUE(RIGHT(Raw_Data!E540,4)),VALUE(MID(Raw_Data!E540,FIND("/",Raw_Data!E540)+1,FIND("/",Raw_Data!E540,FIND("/",Raw_Data!E540)+1)-FIND("/",Raw_Data!E540)-1)),VALUE(LEFT(Raw_Data!E540,FIND("/",Raw_Data!E540)-1))),IF(ISNUMBER(VALUE(LEFT(Raw_Data!E540,4))),DATE(VALUE(LEFT(Raw_Data!E540,4)),VALUE(MID(Raw_Data!E540,6,2)),VALUE(MID(Raw_Data!E540,9,2))),DATEVALUE(Raw_Data!E540))),"")</f>
        <v>45334</v>
      </c>
      <c r="F540" s="11" t="str">
        <f aca="false">Raw_Data!F540</f>
        <v>Male 35-44</v>
      </c>
      <c r="G540" s="11" t="str">
        <f aca="false">IF(TRIM(Raw_Data!G540)="","Unspecified",IFERROR(INDEX(Lookup_Tables!$F$2:$F$24,MATCH(UPPER(TRIM(Raw_Data!G540)),Lookup_Tables!$G$2:$G$24,0)),"Unknown"))</f>
        <v>North</v>
      </c>
      <c r="H540" s="11" t="n">
        <f aca="false">IF(Raw_Data!H540="",ROUND(AVERAGEIFS(Raw_Data!$H$2:$H$839,Raw_Data!$C$2:$C$839,Raw_Data!C540),2),Raw_Data!H540)</f>
        <v>66101.99</v>
      </c>
      <c r="I540" s="11" t="n">
        <f aca="false">Raw_Data!I540</f>
        <v>2278662</v>
      </c>
      <c r="J540" s="11" t="n">
        <f aca="false">IF(Raw_Data!J540&lt;0,ABS(Raw_Data!J540),Raw_Data!J540)</f>
        <v>70435</v>
      </c>
      <c r="K540" s="11" t="n">
        <f aca="false">Raw_Data!K540</f>
        <v>751</v>
      </c>
      <c r="L540" s="11" t="n">
        <f aca="false">IF(Raw_Data!L540="",ROUND(AVERAGEIFS(Raw_Data!$L$2:$L$839,Raw_Data!$C$2:$C$839,Raw_Data!C540),2),Raw_Data!L540)</f>
        <v>277493.35</v>
      </c>
      <c r="M540" s="13" t="n">
        <f aca="false">IFERROR(J540/I540,0)</f>
        <v>0.0309106835502589</v>
      </c>
      <c r="N540" s="14" t="n">
        <f aca="false">IFERROR(H540/J540,0)</f>
        <v>0.938482146660041</v>
      </c>
      <c r="O540" s="14" t="n">
        <f aca="false">IFERROR(H540/K540,0)</f>
        <v>88.0186284953396</v>
      </c>
      <c r="P540" s="15" t="n">
        <f aca="false">IFERROR(L540/H540,0)</f>
        <v>4.19795758039962</v>
      </c>
      <c r="Q540" s="13" t="n">
        <f aca="false">IFERROR(K540/J540,0)</f>
        <v>0.0106623127706396</v>
      </c>
      <c r="R540" s="11" t="str">
        <f aca="false">IF(COUNTIF($A$2:A540,A540)&gt;1,"Duplicate - Remove","Unique")</f>
        <v>Unique</v>
      </c>
      <c r="S540" s="11" t="str">
        <f aca="false">TRIM(IF(Raw_Data!G540="","Region missing; ","")&amp;IF(Raw_Data!H540="","Spend imputed; ","")&amp;IF(Raw_Data!L540="","Revenue imputed; ","")&amp;IF(Raw_Data!J540&lt;0,"Clicks corrected; ",""))</f>
        <v/>
      </c>
    </row>
    <row r="541" customFormat="false" ht="15" hidden="false" customHeight="true" outlineLevel="0" collapsed="false">
      <c r="A541" s="11" t="n">
        <f aca="false">Raw_Data!A541</f>
        <v>1219</v>
      </c>
      <c r="B541" s="11" t="str">
        <f aca="false">PROPER(TRIM(Raw_Data!B541))</f>
        <v>Influencer Collab - Skincare</v>
      </c>
      <c r="C541" s="11" t="str">
        <f aca="false">IFERROR(INDEX(Lookup_Tables!$B$2:$B$26,MATCH(UPPER(TRIM(Raw_Data!C541)),Lookup_Tables!$C$2:$C$26,0)),"Unknown")</f>
        <v>YouTube</v>
      </c>
      <c r="D541" s="12" t="n">
        <f aca="false">IFERROR(IF(ISNUMBER(SEARCH("/",Raw_Data!D541)),DATE(VALUE(RIGHT(Raw_Data!D541,4)),VALUE(MID(Raw_Data!D541,FIND("/",Raw_Data!D541)+1,FIND("/",Raw_Data!D541,FIND("/",Raw_Data!D541)+1)-FIND("/",Raw_Data!D541)-1)),VALUE(LEFT(Raw_Data!D541,FIND("/",Raw_Data!D541)-1))),IF(ISNUMBER(VALUE(LEFT(Raw_Data!D541,4))),DATE(VALUE(LEFT(Raw_Data!D541,4)),VALUE(MID(Raw_Data!D541,6,2)),VALUE(MID(Raw_Data!D541,9,2))),DATEVALUE(Raw_Data!D541))),"")</f>
        <v>45626</v>
      </c>
      <c r="E541" s="12" t="n">
        <f aca="false">IFERROR(IF(ISNUMBER(SEARCH("/",Raw_Data!E541)),DATE(VALUE(RIGHT(Raw_Data!E541,4)),VALUE(MID(Raw_Data!E541,FIND("/",Raw_Data!E541)+1,FIND("/",Raw_Data!E541,FIND("/",Raw_Data!E541)+1)-FIND("/",Raw_Data!E541)-1)),VALUE(LEFT(Raw_Data!E541,FIND("/",Raw_Data!E541)-1))),IF(ISNUMBER(VALUE(LEFT(Raw_Data!E541,4))),DATE(VALUE(LEFT(Raw_Data!E541,4)),VALUE(MID(Raw_Data!E541,6,2)),VALUE(MID(Raw_Data!E541,9,2))),DATEVALUE(Raw_Data!E541))),"")</f>
        <v>45655</v>
      </c>
      <c r="F541" s="11" t="str">
        <f aca="false">Raw_Data!F541</f>
        <v>Male 45+</v>
      </c>
      <c r="G541" s="11" t="str">
        <f aca="false">IF(TRIM(Raw_Data!G541)="","Unspecified",IFERROR(INDEX(Lookup_Tables!$F$2:$F$24,MATCH(UPPER(TRIM(Raw_Data!G541)),Lookup_Tables!$G$2:$G$24,0)),"Unknown"))</f>
        <v>Central</v>
      </c>
      <c r="H541" s="11" t="n">
        <f aca="false">IF(Raw_Data!H541="",ROUND(AVERAGEIFS(Raw_Data!$H$2:$H$839,Raw_Data!$C$2:$C$839,Raw_Data!C541),2),Raw_Data!H541)</f>
        <v>42436.4</v>
      </c>
      <c r="I541" s="11" t="n">
        <f aca="false">Raw_Data!I541</f>
        <v>873454</v>
      </c>
      <c r="J541" s="11" t="n">
        <f aca="false">IF(Raw_Data!J541&lt;0,ABS(Raw_Data!J541),Raw_Data!J541)</f>
        <v>24600</v>
      </c>
      <c r="K541" s="11" t="n">
        <f aca="false">Raw_Data!K541</f>
        <v>1508</v>
      </c>
      <c r="L541" s="11" t="n">
        <f aca="false">IF(Raw_Data!L541="",ROUND(AVERAGEIFS(Raw_Data!$L$2:$L$839,Raw_Data!$C$2:$C$839,Raw_Data!C541),2),Raw_Data!L541)</f>
        <v>1164098.76</v>
      </c>
      <c r="M541" s="13" t="n">
        <f aca="false">IFERROR(J541/I541,0)</f>
        <v>0.028164047562894</v>
      </c>
      <c r="N541" s="14" t="n">
        <f aca="false">IFERROR(H541/J541,0)</f>
        <v>1.72505691056911</v>
      </c>
      <c r="O541" s="14" t="n">
        <f aca="false">IFERROR(H541/K541,0)</f>
        <v>28.140848806366</v>
      </c>
      <c r="P541" s="15" t="n">
        <f aca="false">IFERROR(L541/H541,0)</f>
        <v>27.4316096558615</v>
      </c>
      <c r="Q541" s="13" t="n">
        <f aca="false">IFERROR(K541/J541,0)</f>
        <v>0.0613008130081301</v>
      </c>
      <c r="R541" s="11" t="str">
        <f aca="false">IF(COUNTIF($A$2:A541,A541)&gt;1,"Duplicate - Remove","Unique")</f>
        <v>Unique</v>
      </c>
      <c r="S541" s="11" t="str">
        <f aca="false">TRIM(IF(Raw_Data!G541="","Region missing; ","")&amp;IF(Raw_Data!H541="","Spend imputed; ","")&amp;IF(Raw_Data!L541="","Revenue imputed; ","")&amp;IF(Raw_Data!J541&lt;0,"Clicks corrected; ",""))</f>
        <v/>
      </c>
    </row>
    <row r="542" customFormat="false" ht="15" hidden="false" customHeight="true" outlineLevel="0" collapsed="false">
      <c r="A542" s="11" t="n">
        <f aca="false">Raw_Data!A542</f>
        <v>1004</v>
      </c>
      <c r="B542" s="11" t="str">
        <f aca="false">PROPER(TRIM(Raw_Data!B542))</f>
        <v>Clearance Sale Push</v>
      </c>
      <c r="C542" s="11" t="str">
        <f aca="false">IFERROR(INDEX(Lookup_Tables!$B$2:$B$26,MATCH(UPPER(TRIM(Raw_Data!C542)),Lookup_Tables!$C$2:$C$26,0)),"Unknown")</f>
        <v>Facebook</v>
      </c>
      <c r="D542" s="12" t="n">
        <f aca="false">IFERROR(IF(ISNUMBER(SEARCH("/",Raw_Data!D542)),DATE(VALUE(RIGHT(Raw_Data!D542,4)),VALUE(MID(Raw_Data!D542,FIND("/",Raw_Data!D542)+1,FIND("/",Raw_Data!D542,FIND("/",Raw_Data!D542)+1)-FIND("/",Raw_Data!D542)-1)),VALUE(LEFT(Raw_Data!D542,FIND("/",Raw_Data!D542)-1))),IF(ISNUMBER(VALUE(LEFT(Raw_Data!D542,4))),DATE(VALUE(LEFT(Raw_Data!D542,4)),VALUE(MID(Raw_Data!D542,6,2)),VALUE(MID(Raw_Data!D542,9,2))),DATEVALUE(Raw_Data!D542))),"")</f>
        <v>45320</v>
      </c>
      <c r="E542" s="12" t="n">
        <f aca="false">IFERROR(IF(ISNUMBER(SEARCH("/",Raw_Data!E542)),DATE(VALUE(RIGHT(Raw_Data!E542,4)),VALUE(MID(Raw_Data!E542,FIND("/",Raw_Data!E542)+1,FIND("/",Raw_Data!E542,FIND("/",Raw_Data!E542)+1)-FIND("/",Raw_Data!E542)-1)),VALUE(LEFT(Raw_Data!E542,FIND("/",Raw_Data!E542)-1))),IF(ISNUMBER(VALUE(LEFT(Raw_Data!E542,4))),DATE(VALUE(LEFT(Raw_Data!E542,4)),VALUE(MID(Raw_Data!E542,6,2)),VALUE(MID(Raw_Data!E542,9,2))),DATEVALUE(Raw_Data!E542))),"")</f>
        <v>45332</v>
      </c>
      <c r="F542" s="11" t="str">
        <f aca="false">Raw_Data!F542</f>
        <v>Male 35-44</v>
      </c>
      <c r="G542" s="11" t="str">
        <f aca="false">IF(TRIM(Raw_Data!G542)="","Unspecified",IFERROR(INDEX(Lookup_Tables!$F$2:$F$24,MATCH(UPPER(TRIM(Raw_Data!G542)),Lookup_Tables!$G$2:$G$24,0)),"Unknown"))</f>
        <v>East</v>
      </c>
      <c r="H542" s="11" t="n">
        <f aca="false">IF(Raw_Data!H542="",ROUND(AVERAGEIFS(Raw_Data!$H$2:$H$839,Raw_Data!$C$2:$C$839,Raw_Data!C542),2),Raw_Data!H542)</f>
        <v>41422.02</v>
      </c>
      <c r="I542" s="11" t="n">
        <f aca="false">Raw_Data!I542</f>
        <v>1036756</v>
      </c>
      <c r="J542" s="11" t="n">
        <f aca="false">IF(Raw_Data!J542&lt;0,ABS(Raw_Data!J542),Raw_Data!J542)</f>
        <v>7242</v>
      </c>
      <c r="K542" s="11" t="n">
        <f aca="false">Raw_Data!K542</f>
        <v>535</v>
      </c>
      <c r="L542" s="11" t="n">
        <f aca="false">IF(Raw_Data!L542="",ROUND(AVERAGEIFS(Raw_Data!$L$2:$L$839,Raw_Data!$C$2:$C$839,Raw_Data!C542),2),Raw_Data!L542)</f>
        <v>627239.92</v>
      </c>
      <c r="M542" s="13" t="n">
        <f aca="false">IFERROR(J542/I542,0)</f>
        <v>0.00698525014564661</v>
      </c>
      <c r="N542" s="14" t="n">
        <f aca="false">IFERROR(H542/J542,0)</f>
        <v>5.71969345484673</v>
      </c>
      <c r="O542" s="14" t="n">
        <f aca="false">IFERROR(H542/K542,0)</f>
        <v>77.4243364485981</v>
      </c>
      <c r="P542" s="15" t="n">
        <f aca="false">IFERROR(L542/H542,0)</f>
        <v>15.1426685613111</v>
      </c>
      <c r="Q542" s="13" t="n">
        <f aca="false">IFERROR(K542/J542,0)</f>
        <v>0.0738746202706435</v>
      </c>
      <c r="R542" s="11" t="str">
        <f aca="false">IF(COUNTIF($A$2:A542,A542)&gt;1,"Duplicate - Remove","Unique")</f>
        <v>Unique</v>
      </c>
      <c r="S542" s="11" t="str">
        <f aca="false">TRIM(IF(Raw_Data!G542="","Region missing; ","")&amp;IF(Raw_Data!H542="","Spend imputed; ","")&amp;IF(Raw_Data!L542="","Revenue imputed; ","")&amp;IF(Raw_Data!J542&lt;0,"Clicks corrected; ",""))</f>
        <v/>
      </c>
    </row>
    <row r="543" customFormat="false" ht="15" hidden="false" customHeight="true" outlineLevel="0" collapsed="false">
      <c r="A543" s="11" t="n">
        <f aca="false">Raw_Data!A543</f>
        <v>1426</v>
      </c>
      <c r="B543" s="11" t="str">
        <f aca="false">PROPER(TRIM(Raw_Data!B543))</f>
        <v>Men'S Grooming Drive</v>
      </c>
      <c r="C543" s="11" t="str">
        <f aca="false">IFERROR(INDEX(Lookup_Tables!$B$2:$B$26,MATCH(UPPER(TRIM(Raw_Data!C543)),Lookup_Tables!$C$2:$C$26,0)),"Unknown")</f>
        <v>Facebook</v>
      </c>
      <c r="D543" s="12" t="n">
        <f aca="false">IFERROR(IF(ISNUMBER(SEARCH("/",Raw_Data!D543)),DATE(VALUE(RIGHT(Raw_Data!D543,4)),VALUE(MID(Raw_Data!D543,FIND("/",Raw_Data!D543)+1,FIND("/",Raw_Data!D543,FIND("/",Raw_Data!D543)+1)-FIND("/",Raw_Data!D543)-1)),VALUE(LEFT(Raw_Data!D543,FIND("/",Raw_Data!D543)-1))),IF(ISNUMBER(VALUE(LEFT(Raw_Data!D543,4))),DATE(VALUE(LEFT(Raw_Data!D543,4)),VALUE(MID(Raw_Data!D543,6,2)),VALUE(MID(Raw_Data!D543,9,2))),DATEVALUE(Raw_Data!D543))),"")</f>
        <v>45570</v>
      </c>
      <c r="E543" s="12" t="n">
        <f aca="false">IFERROR(IF(ISNUMBER(SEARCH("/",Raw_Data!E543)),DATE(VALUE(RIGHT(Raw_Data!E543,4)),VALUE(MID(Raw_Data!E543,FIND("/",Raw_Data!E543)+1,FIND("/",Raw_Data!E543,FIND("/",Raw_Data!E543)+1)-FIND("/",Raw_Data!E543)-1)),VALUE(LEFT(Raw_Data!E543,FIND("/",Raw_Data!E543)-1))),IF(ISNUMBER(VALUE(LEFT(Raw_Data!E543,4))),DATE(VALUE(LEFT(Raw_Data!E543,4)),VALUE(MID(Raw_Data!E543,6,2)),VALUE(MID(Raw_Data!E543,9,2))),DATEVALUE(Raw_Data!E543))),"")</f>
        <v>45583</v>
      </c>
      <c r="F543" s="11" t="str">
        <f aca="false">Raw_Data!F543</f>
        <v>Female 35-44</v>
      </c>
      <c r="G543" s="11" t="str">
        <f aca="false">IF(TRIM(Raw_Data!G543)="","Unspecified",IFERROR(INDEX(Lookup_Tables!$F$2:$F$24,MATCH(UPPER(TRIM(Raw_Data!G543)),Lookup_Tables!$G$2:$G$24,0)),"Unknown"))</f>
        <v>East</v>
      </c>
      <c r="H543" s="11" t="n">
        <f aca="false">IF(Raw_Data!H543="",ROUND(AVERAGEIFS(Raw_Data!$H$2:$H$839,Raw_Data!$C$2:$C$839,Raw_Data!C543),2),Raw_Data!H543)</f>
        <v>39883.35</v>
      </c>
      <c r="I543" s="11" t="n">
        <f aca="false">Raw_Data!I543</f>
        <v>879273</v>
      </c>
      <c r="J543" s="11" t="n">
        <f aca="false">IF(Raw_Data!J543&lt;0,ABS(Raw_Data!J543),Raw_Data!J543)</f>
        <v>13539</v>
      </c>
      <c r="K543" s="11" t="n">
        <f aca="false">Raw_Data!K543</f>
        <v>1080</v>
      </c>
      <c r="L543" s="11" t="n">
        <f aca="false">IF(Raw_Data!L543="",ROUND(AVERAGEIFS(Raw_Data!$L$2:$L$839,Raw_Data!$C$2:$C$839,Raw_Data!C543),2),Raw_Data!L543)</f>
        <v>1859146.3</v>
      </c>
      <c r="M543" s="13" t="n">
        <f aca="false">IFERROR(J543/I543,0)</f>
        <v>0.0153979480775595</v>
      </c>
      <c r="N543" s="14" t="n">
        <f aca="false">IFERROR(H543/J543,0)</f>
        <v>2.94581209838245</v>
      </c>
      <c r="O543" s="14" t="n">
        <f aca="false">IFERROR(H543/K543,0)</f>
        <v>36.9290277777778</v>
      </c>
      <c r="P543" s="15" t="n">
        <f aca="false">IFERROR(L543/H543,0)</f>
        <v>46.6145973194328</v>
      </c>
      <c r="Q543" s="13" t="n">
        <f aca="false">IFERROR(K543/J543,0)</f>
        <v>0.0797695546199867</v>
      </c>
      <c r="R543" s="11" t="str">
        <f aca="false">IF(COUNTIF($A$2:A543,A543)&gt;1,"Duplicate - Remove","Unique")</f>
        <v>Unique</v>
      </c>
      <c r="S543" s="11" t="str">
        <f aca="false">TRIM(IF(Raw_Data!G543="","Region missing; ","")&amp;IF(Raw_Data!H543="","Spend imputed; ","")&amp;IF(Raw_Data!L543="","Revenue imputed; ","")&amp;IF(Raw_Data!J543&lt;0,"Clicks corrected; ",""))</f>
        <v/>
      </c>
    </row>
    <row r="544" customFormat="false" ht="15" hidden="false" customHeight="true" outlineLevel="0" collapsed="false">
      <c r="A544" s="11" t="n">
        <f aca="false">Raw_Data!A544</f>
        <v>1123</v>
      </c>
      <c r="B544" s="11" t="str">
        <f aca="false">PROPER(TRIM(Raw_Data!B544))</f>
        <v>Festive Gift Bundle</v>
      </c>
      <c r="C544" s="11" t="str">
        <f aca="false">IFERROR(INDEX(Lookup_Tables!$B$2:$B$26,MATCH(UPPER(TRIM(Raw_Data!C544)),Lookup_Tables!$C$2:$C$26,0)),"Unknown")</f>
        <v>YouTube</v>
      </c>
      <c r="D544" s="12" t="n">
        <f aca="false">IFERROR(IF(ISNUMBER(SEARCH("/",Raw_Data!D544)),DATE(VALUE(RIGHT(Raw_Data!D544,4)),VALUE(MID(Raw_Data!D544,FIND("/",Raw_Data!D544)+1,FIND("/",Raw_Data!D544,FIND("/",Raw_Data!D544)+1)-FIND("/",Raw_Data!D544)-1)),VALUE(LEFT(Raw_Data!D544,FIND("/",Raw_Data!D544)-1))),IF(ISNUMBER(VALUE(LEFT(Raw_Data!D544,4))),DATE(VALUE(LEFT(Raw_Data!D544,4)),VALUE(MID(Raw_Data!D544,6,2)),VALUE(MID(Raw_Data!D544,9,2))),DATEVALUE(Raw_Data!D544))),"")</f>
        <v>45331</v>
      </c>
      <c r="E544" s="12" t="n">
        <f aca="false">IFERROR(IF(ISNUMBER(SEARCH("/",Raw_Data!E544)),DATE(VALUE(RIGHT(Raw_Data!E544,4)),VALUE(MID(Raw_Data!E544,FIND("/",Raw_Data!E544)+1,FIND("/",Raw_Data!E544,FIND("/",Raw_Data!E544)+1)-FIND("/",Raw_Data!E544)-1)),VALUE(LEFT(Raw_Data!E544,FIND("/",Raw_Data!E544)-1))),IF(ISNUMBER(VALUE(LEFT(Raw_Data!E544,4))),DATE(VALUE(LEFT(Raw_Data!E544,4)),VALUE(MID(Raw_Data!E544,6,2)),VALUE(MID(Raw_Data!E544,9,2))),DATEVALUE(Raw_Data!E544))),"")</f>
        <v>45345</v>
      </c>
      <c r="F544" s="11" t="str">
        <f aca="false">Raw_Data!F544</f>
        <v>Female 45+</v>
      </c>
      <c r="G544" s="11" t="str">
        <f aca="false">IF(TRIM(Raw_Data!G544)="","Unspecified",IFERROR(INDEX(Lookup_Tables!$F$2:$F$24,MATCH(UPPER(TRIM(Raw_Data!G544)),Lookup_Tables!$G$2:$G$24,0)),"Unknown"))</f>
        <v>South</v>
      </c>
      <c r="H544" s="11" t="n">
        <f aca="false">IF(Raw_Data!H544="",ROUND(AVERAGEIFS(Raw_Data!$H$2:$H$839,Raw_Data!$C$2:$C$839,Raw_Data!C544),2),Raw_Data!H544)</f>
        <v>57296.86</v>
      </c>
      <c r="I544" s="11" t="n">
        <f aca="false">Raw_Data!I544</f>
        <v>1671200</v>
      </c>
      <c r="J544" s="11" t="n">
        <f aca="false">IF(Raw_Data!J544&lt;0,ABS(Raw_Data!J544),Raw_Data!J544)</f>
        <v>50943</v>
      </c>
      <c r="K544" s="11" t="n">
        <f aca="false">Raw_Data!K544</f>
        <v>2923</v>
      </c>
      <c r="L544" s="11" t="n">
        <f aca="false">IF(Raw_Data!L544="",ROUND(AVERAGEIFS(Raw_Data!$L$2:$L$839,Raw_Data!$C$2:$C$839,Raw_Data!C544),2),Raw_Data!L544)</f>
        <v>3314142.78</v>
      </c>
      <c r="M544" s="13" t="n">
        <f aca="false">IFERROR(J544/I544,0)</f>
        <v>0.0304828865485878</v>
      </c>
      <c r="N544" s="14" t="n">
        <f aca="false">IFERROR(H544/J544,0)</f>
        <v>1.12472488860099</v>
      </c>
      <c r="O544" s="14" t="n">
        <f aca="false">IFERROR(H544/K544,0)</f>
        <v>19.602073212453</v>
      </c>
      <c r="P544" s="15" t="n">
        <f aca="false">IFERROR(L544/H544,0)</f>
        <v>57.8416126119302</v>
      </c>
      <c r="Q544" s="13" t="n">
        <f aca="false">IFERROR(K544/J544,0)</f>
        <v>0.0573778536796027</v>
      </c>
      <c r="R544" s="11" t="str">
        <f aca="false">IF(COUNTIF($A$2:A544,A544)&gt;1,"Duplicate - Remove","Unique")</f>
        <v>Unique</v>
      </c>
      <c r="S544" s="11" t="str">
        <f aca="false">TRIM(IF(Raw_Data!G544="","Region missing; ","")&amp;IF(Raw_Data!H544="","Spend imputed; ","")&amp;IF(Raw_Data!L544="","Revenue imputed; ","")&amp;IF(Raw_Data!J544&lt;0,"Clicks corrected; ",""))</f>
        <v/>
      </c>
    </row>
    <row r="545" customFormat="false" ht="15" hidden="false" customHeight="true" outlineLevel="0" collapsed="false">
      <c r="A545" s="11" t="n">
        <f aca="false">Raw_Data!A545</f>
        <v>1291</v>
      </c>
      <c r="B545" s="11" t="str">
        <f aca="false">PROPER(TRIM(Raw_Data!B545))</f>
        <v>Clearance Sale Push</v>
      </c>
      <c r="C545" s="11" t="str">
        <f aca="false">IFERROR(INDEX(Lookup_Tables!$B$2:$B$26,MATCH(UPPER(TRIM(Raw_Data!C545)),Lookup_Tables!$C$2:$C$26,0)),"Unknown")</f>
        <v>Google Ads</v>
      </c>
      <c r="D545" s="12" t="n">
        <f aca="false">IFERROR(IF(ISNUMBER(SEARCH("/",Raw_Data!D545)),DATE(VALUE(RIGHT(Raw_Data!D545,4)),VALUE(MID(Raw_Data!D545,FIND("/",Raw_Data!D545)+1,FIND("/",Raw_Data!D545,FIND("/",Raw_Data!D545)+1)-FIND("/",Raw_Data!D545)-1)),VALUE(LEFT(Raw_Data!D545,FIND("/",Raw_Data!D545)-1))),IF(ISNUMBER(VALUE(LEFT(Raw_Data!D545,4))),DATE(VALUE(LEFT(Raw_Data!D545,4)),VALUE(MID(Raw_Data!D545,6,2)),VALUE(MID(Raw_Data!D545,9,2))),DATEVALUE(Raw_Data!D545))),"")</f>
        <v>45568</v>
      </c>
      <c r="E545" s="12" t="n">
        <f aca="false">IFERROR(IF(ISNUMBER(SEARCH("/",Raw_Data!E545)),DATE(VALUE(RIGHT(Raw_Data!E545,4)),VALUE(MID(Raw_Data!E545,FIND("/",Raw_Data!E545)+1,FIND("/",Raw_Data!E545,FIND("/",Raw_Data!E545)+1)-FIND("/",Raw_Data!E545)-1)),VALUE(LEFT(Raw_Data!E545,FIND("/",Raw_Data!E545)-1))),IF(ISNUMBER(VALUE(LEFT(Raw_Data!E545,4))),DATE(VALUE(LEFT(Raw_Data!E545,4)),VALUE(MID(Raw_Data!E545,6,2)),VALUE(MID(Raw_Data!E545,9,2))),DATEVALUE(Raw_Data!E545))),"")</f>
        <v>45587</v>
      </c>
      <c r="F545" s="11" t="str">
        <f aca="false">Raw_Data!F545</f>
        <v>Male 35-44</v>
      </c>
      <c r="G545" s="11" t="str">
        <f aca="false">IF(TRIM(Raw_Data!G545)="","Unspecified",IFERROR(INDEX(Lookup_Tables!$F$2:$F$24,MATCH(UPPER(TRIM(Raw_Data!G545)),Lookup_Tables!$G$2:$G$24,0)),"Unknown"))</f>
        <v>South</v>
      </c>
      <c r="H545" s="11" t="n">
        <f aca="false">IF(Raw_Data!H545="",ROUND(AVERAGEIFS(Raw_Data!$H$2:$H$839,Raw_Data!$C$2:$C$839,Raw_Data!C545),2),Raw_Data!H545)</f>
        <v>19105.18</v>
      </c>
      <c r="I545" s="11" t="n">
        <f aca="false">Raw_Data!I545</f>
        <v>511414</v>
      </c>
      <c r="J545" s="11" t="n">
        <f aca="false">IF(Raw_Data!J545&lt;0,ABS(Raw_Data!J545),Raw_Data!J545)</f>
        <v>12920</v>
      </c>
      <c r="K545" s="11" t="n">
        <f aca="false">Raw_Data!K545</f>
        <v>225</v>
      </c>
      <c r="L545" s="11" t="n">
        <f aca="false">IF(Raw_Data!L545="",ROUND(AVERAGEIFS(Raw_Data!$L$2:$L$839,Raw_Data!$C$2:$C$839,Raw_Data!C545),2),Raw_Data!L545)</f>
        <v>96302.21</v>
      </c>
      <c r="M545" s="13" t="n">
        <f aca="false">IFERROR(J545/I545,0)</f>
        <v>0.025263289624453</v>
      </c>
      <c r="N545" s="14" t="n">
        <f aca="false">IFERROR(H545/J545,0)</f>
        <v>1.47872910216718</v>
      </c>
      <c r="O545" s="14" t="n">
        <f aca="false">IFERROR(H545/K545,0)</f>
        <v>84.9119111111111</v>
      </c>
      <c r="P545" s="15" t="n">
        <f aca="false">IFERROR(L545/H545,0)</f>
        <v>5.04063348264712</v>
      </c>
      <c r="Q545" s="13" t="n">
        <f aca="false">IFERROR(K545/J545,0)</f>
        <v>0.0174148606811146</v>
      </c>
      <c r="R545" s="11" t="str">
        <f aca="false">IF(COUNTIF($A$2:A545,A545)&gt;1,"Duplicate - Remove","Unique")</f>
        <v>Unique</v>
      </c>
      <c r="S545" s="11" t="str">
        <f aca="false">TRIM(IF(Raw_Data!G545="","Region missing; ","")&amp;IF(Raw_Data!H545="","Spend imputed; ","")&amp;IF(Raw_Data!L545="","Revenue imputed; ","")&amp;IF(Raw_Data!J545&lt;0,"Clicks corrected; ",""))</f>
        <v/>
      </c>
    </row>
    <row r="546" customFormat="false" ht="15" hidden="false" customHeight="true" outlineLevel="0" collapsed="false">
      <c r="A546" s="11" t="n">
        <f aca="false">Raw_Data!A546</f>
        <v>1271</v>
      </c>
      <c r="B546" s="11" t="str">
        <f aca="false">PROPER(TRIM(Raw_Data!B546))</f>
        <v>New Year Wellness</v>
      </c>
      <c r="C546" s="11" t="str">
        <f aca="false">IFERROR(INDEX(Lookup_Tables!$B$2:$B$26,MATCH(UPPER(TRIM(Raw_Data!C546)),Lookup_Tables!$C$2:$C$26,0)),"Unknown")</f>
        <v>Facebook</v>
      </c>
      <c r="D546" s="12" t="n">
        <f aca="false">IFERROR(IF(ISNUMBER(SEARCH("/",Raw_Data!D546)),DATE(VALUE(RIGHT(Raw_Data!D546,4)),VALUE(MID(Raw_Data!D546,FIND("/",Raw_Data!D546)+1,FIND("/",Raw_Data!D546,FIND("/",Raw_Data!D546)+1)-FIND("/",Raw_Data!D546)-1)),VALUE(LEFT(Raw_Data!D546,FIND("/",Raw_Data!D546)-1))),IF(ISNUMBER(VALUE(LEFT(Raw_Data!D546,4))),DATE(VALUE(LEFT(Raw_Data!D546,4)),VALUE(MID(Raw_Data!D546,6,2)),VALUE(MID(Raw_Data!D546,9,2))),DATEVALUE(Raw_Data!D546))),"")</f>
        <v>45397</v>
      </c>
      <c r="E546" s="12" t="n">
        <f aca="false">IFERROR(IF(ISNUMBER(SEARCH("/",Raw_Data!E546)),DATE(VALUE(RIGHT(Raw_Data!E546,4)),VALUE(MID(Raw_Data!E546,FIND("/",Raw_Data!E546)+1,FIND("/",Raw_Data!E546,FIND("/",Raw_Data!E546)+1)-FIND("/",Raw_Data!E546)-1)),VALUE(LEFT(Raw_Data!E546,FIND("/",Raw_Data!E546)-1))),IF(ISNUMBER(VALUE(LEFT(Raw_Data!E546,4))),DATE(VALUE(LEFT(Raw_Data!E546,4)),VALUE(MID(Raw_Data!E546,6,2)),VALUE(MID(Raw_Data!E546,9,2))),DATEVALUE(Raw_Data!E546))),"")</f>
        <v>45422</v>
      </c>
      <c r="F546" s="11" t="str">
        <f aca="false">Raw_Data!F546</f>
        <v>Female 35-44</v>
      </c>
      <c r="G546" s="11" t="str">
        <f aca="false">IF(TRIM(Raw_Data!G546)="","Unspecified",IFERROR(INDEX(Lookup_Tables!$F$2:$F$24,MATCH(UPPER(TRIM(Raw_Data!G546)),Lookup_Tables!$G$2:$G$24,0)),"Unknown"))</f>
        <v>East</v>
      </c>
      <c r="H546" s="11" t="n">
        <f aca="false">IF(Raw_Data!H546="",ROUND(AVERAGEIFS(Raw_Data!$H$2:$H$839,Raw_Data!$C$2:$C$839,Raw_Data!C546),2),Raw_Data!H546)</f>
        <v>31565.35</v>
      </c>
      <c r="I546" s="11" t="n">
        <f aca="false">Raw_Data!I546</f>
        <v>1013286</v>
      </c>
      <c r="J546" s="11" t="n">
        <f aca="false">IF(Raw_Data!J546&lt;0,ABS(Raw_Data!J546),Raw_Data!J546)</f>
        <v>11216</v>
      </c>
      <c r="K546" s="11" t="n">
        <f aca="false">Raw_Data!K546</f>
        <v>220</v>
      </c>
      <c r="L546" s="11" t="n">
        <f aca="false">IF(Raw_Data!L546="",ROUND(AVERAGEIFS(Raw_Data!$L$2:$L$839,Raw_Data!$C$2:$C$839,Raw_Data!C546),2),Raw_Data!L546)</f>
        <v>296641.74</v>
      </c>
      <c r="M546" s="13" t="n">
        <f aca="false">IFERROR(J546/I546,0)</f>
        <v>0.0110689380885555</v>
      </c>
      <c r="N546" s="14" t="n">
        <f aca="false">IFERROR(H546/J546,0)</f>
        <v>2.81431437232525</v>
      </c>
      <c r="O546" s="14" t="n">
        <f aca="false">IFERROR(H546/K546,0)</f>
        <v>143.478863636364</v>
      </c>
      <c r="P546" s="15" t="n">
        <f aca="false">IFERROR(L546/H546,0)</f>
        <v>9.39770159367788</v>
      </c>
      <c r="Q546" s="13" t="n">
        <f aca="false">IFERROR(K546/J546,0)</f>
        <v>0.0196148359486448</v>
      </c>
      <c r="R546" s="11" t="str">
        <f aca="false">IF(COUNTIF($A$2:A546,A546)&gt;1,"Duplicate - Remove","Unique")</f>
        <v>Unique</v>
      </c>
      <c r="S546" s="11" t="str">
        <f aca="false">TRIM(IF(Raw_Data!G546="","Region missing; ","")&amp;IF(Raw_Data!H546="","Spend imputed; ","")&amp;IF(Raw_Data!L546="","Revenue imputed; ","")&amp;IF(Raw_Data!J546&lt;0,"Clicks corrected; ",""))</f>
        <v/>
      </c>
    </row>
    <row r="547" customFormat="false" ht="15" hidden="false" customHeight="true" outlineLevel="0" collapsed="false">
      <c r="A547" s="11" t="n">
        <f aca="false">Raw_Data!A547</f>
        <v>1510</v>
      </c>
      <c r="B547" s="11" t="str">
        <f aca="false">PROPER(TRIM(Raw_Data!B547))</f>
        <v>Clearance Sale Push</v>
      </c>
      <c r="C547" s="11" t="str">
        <f aca="false">IFERROR(INDEX(Lookup_Tables!$B$2:$B$26,MATCH(UPPER(TRIM(Raw_Data!C547)),Lookup_Tables!$C$2:$C$26,0)),"Unknown")</f>
        <v>YouTube</v>
      </c>
      <c r="D547" s="12" t="n">
        <f aca="false">IFERROR(IF(ISNUMBER(SEARCH("/",Raw_Data!D547)),DATE(VALUE(RIGHT(Raw_Data!D547,4)),VALUE(MID(Raw_Data!D547,FIND("/",Raw_Data!D547)+1,FIND("/",Raw_Data!D547,FIND("/",Raw_Data!D547)+1)-FIND("/",Raw_Data!D547)-1)),VALUE(LEFT(Raw_Data!D547,FIND("/",Raw_Data!D547)-1))),IF(ISNUMBER(VALUE(LEFT(Raw_Data!D547,4))),DATE(VALUE(LEFT(Raw_Data!D547,4)),VALUE(MID(Raw_Data!D547,6,2)),VALUE(MID(Raw_Data!D547,9,2))),DATEVALUE(Raw_Data!D547))),"")</f>
        <v>45440</v>
      </c>
      <c r="E547" s="12" t="n">
        <f aca="false">IFERROR(IF(ISNUMBER(SEARCH("/",Raw_Data!E547)),DATE(VALUE(RIGHT(Raw_Data!E547,4)),VALUE(MID(Raw_Data!E547,FIND("/",Raw_Data!E547)+1,FIND("/",Raw_Data!E547,FIND("/",Raw_Data!E547)+1)-FIND("/",Raw_Data!E547)-1)),VALUE(LEFT(Raw_Data!E547,FIND("/",Raw_Data!E547)-1))),IF(ISNUMBER(VALUE(LEFT(Raw_Data!E547,4))),DATE(VALUE(LEFT(Raw_Data!E547,4)),VALUE(MID(Raw_Data!E547,6,2)),VALUE(MID(Raw_Data!E547,9,2))),DATEVALUE(Raw_Data!E547))),"")</f>
        <v>45457</v>
      </c>
      <c r="F547" s="11" t="str">
        <f aca="false">Raw_Data!F547</f>
        <v>Female 25-34</v>
      </c>
      <c r="G547" s="11" t="str">
        <f aca="false">IF(TRIM(Raw_Data!G547)="","Unspecified",IFERROR(INDEX(Lookup_Tables!$F$2:$F$24,MATCH(UPPER(TRIM(Raw_Data!G547)),Lookup_Tables!$G$2:$G$24,0)),"Unknown"))</f>
        <v>Central</v>
      </c>
      <c r="H547" s="11" t="n">
        <f aca="false">IF(Raw_Data!H547="",ROUND(AVERAGEIFS(Raw_Data!$H$2:$H$839,Raw_Data!$C$2:$C$839,Raw_Data!C547),2),Raw_Data!H547)</f>
        <v>57760.03</v>
      </c>
      <c r="I547" s="11" t="n">
        <f aca="false">Raw_Data!I547</f>
        <v>2099330</v>
      </c>
      <c r="J547" s="11" t="n">
        <f aca="false">IF(Raw_Data!J547&lt;0,ABS(Raw_Data!J547),Raw_Data!J547)</f>
        <v>24544</v>
      </c>
      <c r="K547" s="11" t="n">
        <f aca="false">Raw_Data!K547</f>
        <v>1747</v>
      </c>
      <c r="L547" s="11" t="n">
        <f aca="false">IF(Raw_Data!L547="",ROUND(AVERAGEIFS(Raw_Data!$L$2:$L$839,Raw_Data!$C$2:$C$839,Raw_Data!C547),2),Raw_Data!L547)</f>
        <v>2306508.75</v>
      </c>
      <c r="M547" s="13" t="n">
        <f aca="false">IFERROR(J547/I547,0)</f>
        <v>0.0116913491447271</v>
      </c>
      <c r="N547" s="14" t="n">
        <f aca="false">IFERROR(H547/J547,0)</f>
        <v>2.35332586375489</v>
      </c>
      <c r="O547" s="14" t="n">
        <f aca="false">IFERROR(H547/K547,0)</f>
        <v>33.0624098454493</v>
      </c>
      <c r="P547" s="15" t="n">
        <f aca="false">IFERROR(L547/H547,0)</f>
        <v>39.9326099726749</v>
      </c>
      <c r="Q547" s="13" t="n">
        <f aca="false">IFERROR(K547/J547,0)</f>
        <v>0.0711782920469361</v>
      </c>
      <c r="R547" s="11" t="str">
        <f aca="false">IF(COUNTIF($A$2:A547,A547)&gt;1,"Duplicate - Remove","Unique")</f>
        <v>Unique</v>
      </c>
      <c r="S547" s="11" t="str">
        <f aca="false">TRIM(IF(Raw_Data!G547="","Region missing; ","")&amp;IF(Raw_Data!H547="","Spend imputed; ","")&amp;IF(Raw_Data!L547="","Revenue imputed; ","")&amp;IF(Raw_Data!J547&lt;0,"Clicks corrected; ",""))</f>
        <v/>
      </c>
    </row>
    <row r="548" customFormat="false" ht="15" hidden="false" customHeight="true" outlineLevel="0" collapsed="false">
      <c r="A548" s="11" t="n">
        <f aca="false">Raw_Data!A548</f>
        <v>1484</v>
      </c>
      <c r="B548" s="11" t="str">
        <f aca="false">PROPER(TRIM(Raw_Data!B548))</f>
        <v>Monsoon Skincare Push</v>
      </c>
      <c r="C548" s="11" t="str">
        <f aca="false">IFERROR(INDEX(Lookup_Tables!$B$2:$B$26,MATCH(UPPER(TRIM(Raw_Data!C548)),Lookup_Tables!$C$2:$C$26,0)),"Unknown")</f>
        <v>Google Ads</v>
      </c>
      <c r="D548" s="12" t="n">
        <f aca="false">IFERROR(IF(ISNUMBER(SEARCH("/",Raw_Data!D548)),DATE(VALUE(RIGHT(Raw_Data!D548,4)),VALUE(MID(Raw_Data!D548,FIND("/",Raw_Data!D548)+1,FIND("/",Raw_Data!D548,FIND("/",Raw_Data!D548)+1)-FIND("/",Raw_Data!D548)-1)),VALUE(LEFT(Raw_Data!D548,FIND("/",Raw_Data!D548)-1))),IF(ISNUMBER(VALUE(LEFT(Raw_Data!D548,4))),DATE(VALUE(LEFT(Raw_Data!D548,4)),VALUE(MID(Raw_Data!D548,6,2)),VALUE(MID(Raw_Data!D548,9,2))),DATEVALUE(Raw_Data!D548))),"")</f>
        <v>45341</v>
      </c>
      <c r="E548" s="12" t="n">
        <f aca="false">IFERROR(IF(ISNUMBER(SEARCH("/",Raw_Data!E548)),DATE(VALUE(RIGHT(Raw_Data!E548,4)),VALUE(MID(Raw_Data!E548,FIND("/",Raw_Data!E548)+1,FIND("/",Raw_Data!E548,FIND("/",Raw_Data!E548)+1)-FIND("/",Raw_Data!E548)-1)),VALUE(LEFT(Raw_Data!E548,FIND("/",Raw_Data!E548)-1))),IF(ISNUMBER(VALUE(LEFT(Raw_Data!E548,4))),DATE(VALUE(LEFT(Raw_Data!E548,4)),VALUE(MID(Raw_Data!E548,6,2)),VALUE(MID(Raw_Data!E548,9,2))),DATEVALUE(Raw_Data!E548))),"")</f>
        <v>45367</v>
      </c>
      <c r="F548" s="11" t="str">
        <f aca="false">Raw_Data!F548</f>
        <v>Female 25-34</v>
      </c>
      <c r="G548" s="11" t="str">
        <f aca="false">IF(TRIM(Raw_Data!G548)="","Unspecified",IFERROR(INDEX(Lookup_Tables!$F$2:$F$24,MATCH(UPPER(TRIM(Raw_Data!G548)),Lookup_Tables!$G$2:$G$24,0)),"Unknown"))</f>
        <v>West</v>
      </c>
      <c r="H548" s="11" t="n">
        <f aca="false">IF(Raw_Data!H548="",ROUND(AVERAGEIFS(Raw_Data!$H$2:$H$839,Raw_Data!$C$2:$C$839,Raw_Data!C548),2),Raw_Data!H548)</f>
        <v>57807.31</v>
      </c>
      <c r="I548" s="11" t="n">
        <f aca="false">Raw_Data!I548</f>
        <v>1980570</v>
      </c>
      <c r="J548" s="11" t="n">
        <f aca="false">IF(Raw_Data!J548&lt;0,ABS(Raw_Data!J548),Raw_Data!J548)</f>
        <v>17645</v>
      </c>
      <c r="K548" s="11" t="n">
        <f aca="false">Raw_Data!K548</f>
        <v>621</v>
      </c>
      <c r="L548" s="11" t="n">
        <f aca="false">IF(Raw_Data!L548="",ROUND(AVERAGEIFS(Raw_Data!$L$2:$L$839,Raw_Data!$C$2:$C$839,Raw_Data!C548),2),Raw_Data!L548)</f>
        <v>946746.24</v>
      </c>
      <c r="M548" s="13" t="n">
        <f aca="false">IFERROR(J548/I548,0)</f>
        <v>0.00890905143468799</v>
      </c>
      <c r="N548" s="14" t="n">
        <f aca="false">IFERROR(H548/J548,0)</f>
        <v>3.27612978180788</v>
      </c>
      <c r="O548" s="14" t="n">
        <f aca="false">IFERROR(H548/K548,0)</f>
        <v>93.0874557165862</v>
      </c>
      <c r="P548" s="15" t="n">
        <f aca="false">IFERROR(L548/H548,0)</f>
        <v>16.3776214461458</v>
      </c>
      <c r="Q548" s="13" t="n">
        <f aca="false">IFERROR(K548/J548,0)</f>
        <v>0.0351941059790309</v>
      </c>
      <c r="R548" s="11" t="str">
        <f aca="false">IF(COUNTIF($A$2:A548,A548)&gt;1,"Duplicate - Remove","Unique")</f>
        <v>Unique</v>
      </c>
      <c r="S548" s="11" t="str">
        <f aca="false">TRIM(IF(Raw_Data!G548="","Region missing; ","")&amp;IF(Raw_Data!H548="","Spend imputed; ","")&amp;IF(Raw_Data!L548="","Revenue imputed; ","")&amp;IF(Raw_Data!J548&lt;0,"Clicks corrected; ",""))</f>
        <v/>
      </c>
    </row>
    <row r="549" customFormat="false" ht="15" hidden="false" customHeight="true" outlineLevel="0" collapsed="false">
      <c r="A549" s="11" t="n">
        <f aca="false">Raw_Data!A549</f>
        <v>1342</v>
      </c>
      <c r="B549" s="11" t="str">
        <f aca="false">PROPER(TRIM(Raw_Data!B549))</f>
        <v>Festive Gift Bundle</v>
      </c>
      <c r="C549" s="11" t="str">
        <f aca="false">IFERROR(INDEX(Lookup_Tables!$B$2:$B$26,MATCH(UPPER(TRIM(Raw_Data!C549)),Lookup_Tables!$C$2:$C$26,0)),"Unknown")</f>
        <v>YouTube</v>
      </c>
      <c r="D549" s="12" t="n">
        <f aca="false">IFERROR(IF(ISNUMBER(SEARCH("/",Raw_Data!D549)),DATE(VALUE(RIGHT(Raw_Data!D549,4)),VALUE(MID(Raw_Data!D549,FIND("/",Raw_Data!D549)+1,FIND("/",Raw_Data!D549,FIND("/",Raw_Data!D549)+1)-FIND("/",Raw_Data!D549)-1)),VALUE(LEFT(Raw_Data!D549,FIND("/",Raw_Data!D549)-1))),IF(ISNUMBER(VALUE(LEFT(Raw_Data!D549,4))),DATE(VALUE(LEFT(Raw_Data!D549,4)),VALUE(MID(Raw_Data!D549,6,2)),VALUE(MID(Raw_Data!D549,9,2))),DATEVALUE(Raw_Data!D549))),"")</f>
        <v>45408</v>
      </c>
      <c r="E549" s="12" t="n">
        <f aca="false">IFERROR(IF(ISNUMBER(SEARCH("/",Raw_Data!E549)),DATE(VALUE(RIGHT(Raw_Data!E549,4)),VALUE(MID(Raw_Data!E549,FIND("/",Raw_Data!E549)+1,FIND("/",Raw_Data!E549,FIND("/",Raw_Data!E549)+1)-FIND("/",Raw_Data!E549)-1)),VALUE(LEFT(Raw_Data!E549,FIND("/",Raw_Data!E549)-1))),IF(ISNUMBER(VALUE(LEFT(Raw_Data!E549,4))),DATE(VALUE(LEFT(Raw_Data!E549,4)),VALUE(MID(Raw_Data!E549,6,2)),VALUE(MID(Raw_Data!E549,9,2))),DATEVALUE(Raw_Data!E549))),"")</f>
        <v>45422</v>
      </c>
      <c r="F549" s="11" t="str">
        <f aca="false">Raw_Data!F549</f>
        <v>Female 35-44</v>
      </c>
      <c r="G549" s="11" t="str">
        <f aca="false">IF(TRIM(Raw_Data!G549)="","Unspecified",IFERROR(INDEX(Lookup_Tables!$F$2:$F$24,MATCH(UPPER(TRIM(Raw_Data!G549)),Lookup_Tables!$G$2:$G$24,0)),"Unknown"))</f>
        <v>North</v>
      </c>
      <c r="H549" s="11" t="n">
        <f aca="false">IF(Raw_Data!H549="",ROUND(AVERAGEIFS(Raw_Data!$H$2:$H$839,Raw_Data!$C$2:$C$839,Raw_Data!C549),2),Raw_Data!H549)</f>
        <v>30738.08</v>
      </c>
      <c r="I549" s="11" t="n">
        <f aca="false">Raw_Data!I549</f>
        <v>1215006</v>
      </c>
      <c r="J549" s="11" t="n">
        <f aca="false">IF(Raw_Data!J549&lt;0,ABS(Raw_Data!J549),Raw_Data!J549)</f>
        <v>21559</v>
      </c>
      <c r="K549" s="11" t="n">
        <f aca="false">Raw_Data!K549</f>
        <v>1367</v>
      </c>
      <c r="L549" s="11" t="n">
        <f aca="false">IF(Raw_Data!L549="",ROUND(AVERAGEIFS(Raw_Data!$L$2:$L$839,Raw_Data!$C$2:$C$839,Raw_Data!C549),2),Raw_Data!L549)</f>
        <v>1458147.45</v>
      </c>
      <c r="M549" s="13" t="n">
        <f aca="false">IFERROR(J549/I549,0)</f>
        <v>0.0177439452973895</v>
      </c>
      <c r="N549" s="14" t="n">
        <f aca="false">IFERROR(H549/J549,0)</f>
        <v>1.42576557354237</v>
      </c>
      <c r="O549" s="14" t="n">
        <f aca="false">IFERROR(H549/K549,0)</f>
        <v>22.4857937088515</v>
      </c>
      <c r="P549" s="15" t="n">
        <f aca="false">IFERROR(L549/H549,0)</f>
        <v>47.4378181721174</v>
      </c>
      <c r="Q549" s="13" t="n">
        <f aca="false">IFERROR(K549/J549,0)</f>
        <v>0.0634073936638991</v>
      </c>
      <c r="R549" s="11" t="str">
        <f aca="false">IF(COUNTIF($A$2:A549,A549)&gt;1,"Duplicate - Remove","Unique")</f>
        <v>Unique</v>
      </c>
      <c r="S549" s="11" t="str">
        <f aca="false">TRIM(IF(Raw_Data!G549="","Region missing; ","")&amp;IF(Raw_Data!H549="","Spend imputed; ","")&amp;IF(Raw_Data!L549="","Revenue imputed; ","")&amp;IF(Raw_Data!J549&lt;0,"Clicks corrected; ",""))</f>
        <v>Revenue imputed;</v>
      </c>
    </row>
    <row r="550" customFormat="false" ht="15" hidden="false" customHeight="true" outlineLevel="0" collapsed="false">
      <c r="A550" s="11" t="n">
        <f aca="false">Raw_Data!A550</f>
        <v>1638</v>
      </c>
      <c r="B550" s="11" t="str">
        <f aca="false">PROPER(TRIM(Raw_Data!B550))</f>
        <v>Ayurvedic Range Launch</v>
      </c>
      <c r="C550" s="11" t="str">
        <f aca="false">IFERROR(INDEX(Lookup_Tables!$B$2:$B$26,MATCH(UPPER(TRIM(Raw_Data!C550)),Lookup_Tables!$C$2:$C$26,0)),"Unknown")</f>
        <v>Email</v>
      </c>
      <c r="D550" s="12" t="n">
        <f aca="false">IFERROR(IF(ISNUMBER(SEARCH("/",Raw_Data!D550)),DATE(VALUE(RIGHT(Raw_Data!D550,4)),VALUE(MID(Raw_Data!D550,FIND("/",Raw_Data!D550)+1,FIND("/",Raw_Data!D550,FIND("/",Raw_Data!D550)+1)-FIND("/",Raw_Data!D550)-1)),VALUE(LEFT(Raw_Data!D550,FIND("/",Raw_Data!D550)-1))),IF(ISNUMBER(VALUE(LEFT(Raw_Data!D550,4))),DATE(VALUE(LEFT(Raw_Data!D550,4)),VALUE(MID(Raw_Data!D550,6,2)),VALUE(MID(Raw_Data!D550,9,2))),DATEVALUE(Raw_Data!D550))),"")</f>
        <v>45423</v>
      </c>
      <c r="E550" s="12" t="n">
        <f aca="false">IFERROR(IF(ISNUMBER(SEARCH("/",Raw_Data!E550)),DATE(VALUE(RIGHT(Raw_Data!E550,4)),VALUE(MID(Raw_Data!E550,FIND("/",Raw_Data!E550)+1,FIND("/",Raw_Data!E550,FIND("/",Raw_Data!E550)+1)-FIND("/",Raw_Data!E550)-1)),VALUE(LEFT(Raw_Data!E550,FIND("/",Raw_Data!E550)-1))),IF(ISNUMBER(VALUE(LEFT(Raw_Data!E550,4))),DATE(VALUE(LEFT(Raw_Data!E550,4)),VALUE(MID(Raw_Data!E550,6,2)),VALUE(MID(Raw_Data!E550,9,2))),DATEVALUE(Raw_Data!E550))),"")</f>
        <v>45448</v>
      </c>
      <c r="F550" s="11" t="str">
        <f aca="false">Raw_Data!F550</f>
        <v>Female 45+</v>
      </c>
      <c r="G550" s="11" t="str">
        <f aca="false">IF(TRIM(Raw_Data!G550)="","Unspecified",IFERROR(INDEX(Lookup_Tables!$F$2:$F$24,MATCH(UPPER(TRIM(Raw_Data!G550)),Lookup_Tables!$G$2:$G$24,0)),"Unknown"))</f>
        <v>South</v>
      </c>
      <c r="H550" s="11" t="n">
        <f aca="false">IF(Raw_Data!H550="",ROUND(AVERAGEIFS(Raw_Data!$H$2:$H$839,Raw_Data!$C$2:$C$839,Raw_Data!C550),2),Raw_Data!H550)</f>
        <v>1196.03</v>
      </c>
      <c r="I550" s="11" t="n">
        <f aca="false">Raw_Data!I550</f>
        <v>24269</v>
      </c>
      <c r="J550" s="11" t="n">
        <f aca="false">IF(Raw_Data!J550&lt;0,ABS(Raw_Data!J550),Raw_Data!J550)</f>
        <v>341</v>
      </c>
      <c r="K550" s="11" t="n">
        <f aca="false">Raw_Data!K550</f>
        <v>17</v>
      </c>
      <c r="L550" s="11" t="n">
        <f aca="false">IF(Raw_Data!L550="",ROUND(AVERAGEIFS(Raw_Data!$L$2:$L$839,Raw_Data!$C$2:$C$839,Raw_Data!C550),2),Raw_Data!L550)</f>
        <v>12344.73</v>
      </c>
      <c r="M550" s="13" t="n">
        <f aca="false">IFERROR(J550/I550,0)</f>
        <v>0.0140508467592402</v>
      </c>
      <c r="N550" s="14" t="n">
        <f aca="false">IFERROR(H550/J550,0)</f>
        <v>3.50741935483871</v>
      </c>
      <c r="O550" s="14" t="n">
        <f aca="false">IFERROR(H550/K550,0)</f>
        <v>70.354705882353</v>
      </c>
      <c r="P550" s="15" t="n">
        <f aca="false">IFERROR(L550/H550,0)</f>
        <v>10.321421703469</v>
      </c>
      <c r="Q550" s="13" t="n">
        <f aca="false">IFERROR(K550/J550,0)</f>
        <v>0.0498533724340176</v>
      </c>
      <c r="R550" s="11" t="str">
        <f aca="false">IF(COUNTIF($A$2:A550,A550)&gt;1,"Duplicate - Remove","Unique")</f>
        <v>Unique</v>
      </c>
      <c r="S550" s="11" t="str">
        <f aca="false">TRIM(IF(Raw_Data!G550="","Region missing; ","")&amp;IF(Raw_Data!H550="","Spend imputed; ","")&amp;IF(Raw_Data!L550="","Revenue imputed; ","")&amp;IF(Raw_Data!J550&lt;0,"Clicks corrected; ",""))</f>
        <v/>
      </c>
    </row>
    <row r="551" customFormat="false" ht="15" hidden="false" customHeight="true" outlineLevel="0" collapsed="false">
      <c r="A551" s="11" t="n">
        <f aca="false">Raw_Data!A551</f>
        <v>1251</v>
      </c>
      <c r="B551" s="11" t="str">
        <f aca="false">PROPER(TRIM(Raw_Data!B551))</f>
        <v>Ayurvedic Range Launch</v>
      </c>
      <c r="C551" s="11" t="str">
        <f aca="false">IFERROR(INDEX(Lookup_Tables!$B$2:$B$26,MATCH(UPPER(TRIM(Raw_Data!C551)),Lookup_Tables!$C$2:$C$26,0)),"Unknown")</f>
        <v>Instagram</v>
      </c>
      <c r="D551" s="12" t="n">
        <f aca="false">IFERROR(IF(ISNUMBER(SEARCH("/",Raw_Data!D551)),DATE(VALUE(RIGHT(Raw_Data!D551,4)),VALUE(MID(Raw_Data!D551,FIND("/",Raw_Data!D551)+1,FIND("/",Raw_Data!D551,FIND("/",Raw_Data!D551)+1)-FIND("/",Raw_Data!D551)-1)),VALUE(LEFT(Raw_Data!D551,FIND("/",Raw_Data!D551)-1))),IF(ISNUMBER(VALUE(LEFT(Raw_Data!D551,4))),DATE(VALUE(LEFT(Raw_Data!D551,4)),VALUE(MID(Raw_Data!D551,6,2)),VALUE(MID(Raw_Data!D551,9,2))),DATEVALUE(Raw_Data!D551))),"")</f>
        <v>45573</v>
      </c>
      <c r="E551" s="12" t="n">
        <f aca="false">IFERROR(IF(ISNUMBER(SEARCH("/",Raw_Data!E551)),DATE(VALUE(RIGHT(Raw_Data!E551,4)),VALUE(MID(Raw_Data!E551,FIND("/",Raw_Data!E551)+1,FIND("/",Raw_Data!E551,FIND("/",Raw_Data!E551)+1)-FIND("/",Raw_Data!E551)-1)),VALUE(LEFT(Raw_Data!E551,FIND("/",Raw_Data!E551)-1))),IF(ISNUMBER(VALUE(LEFT(Raw_Data!E551,4))),DATE(VALUE(LEFT(Raw_Data!E551,4)),VALUE(MID(Raw_Data!E551,6,2)),VALUE(MID(Raw_Data!E551,9,2))),DATEVALUE(Raw_Data!E551))),"")</f>
        <v>45594</v>
      </c>
      <c r="F551" s="11" t="str">
        <f aca="false">Raw_Data!F551</f>
        <v>Female 18-24</v>
      </c>
      <c r="G551" s="11" t="str">
        <f aca="false">IF(TRIM(Raw_Data!G551)="","Unspecified",IFERROR(INDEX(Lookup_Tables!$F$2:$F$24,MATCH(UPPER(TRIM(Raw_Data!G551)),Lookup_Tables!$G$2:$G$24,0)),"Unknown"))</f>
        <v>East</v>
      </c>
      <c r="H551" s="11" t="n">
        <f aca="false">IF(Raw_Data!H551="",ROUND(AVERAGEIFS(Raw_Data!$H$2:$H$839,Raw_Data!$C$2:$C$839,Raw_Data!C551),2),Raw_Data!H551)</f>
        <v>21172.26</v>
      </c>
      <c r="I551" s="11" t="n">
        <f aca="false">Raw_Data!I551</f>
        <v>655556</v>
      </c>
      <c r="J551" s="11" t="n">
        <f aca="false">IF(Raw_Data!J551&lt;0,ABS(Raw_Data!J551),Raw_Data!J551)</f>
        <v>7186</v>
      </c>
      <c r="K551" s="11" t="n">
        <f aca="false">Raw_Data!K551</f>
        <v>518</v>
      </c>
      <c r="L551" s="11" t="n">
        <f aca="false">IF(Raw_Data!L551="",ROUND(AVERAGEIFS(Raw_Data!$L$2:$L$839,Raw_Data!$C$2:$C$839,Raw_Data!C551),2),Raw_Data!L551)</f>
        <v>829993.27</v>
      </c>
      <c r="M551" s="13" t="n">
        <f aca="false">IFERROR(J551/I551,0)</f>
        <v>0.0109616874836017</v>
      </c>
      <c r="N551" s="14" t="n">
        <f aca="false">IFERROR(H551/J551,0)</f>
        <v>2.94632062343446</v>
      </c>
      <c r="O551" s="14" t="n">
        <f aca="false">IFERROR(H551/K551,0)</f>
        <v>40.8730888030888</v>
      </c>
      <c r="P551" s="15" t="n">
        <f aca="false">IFERROR(L551/H551,0)</f>
        <v>39.2019212875716</v>
      </c>
      <c r="Q551" s="13" t="n">
        <f aca="false">IFERROR(K551/J551,0)</f>
        <v>0.0720846089618703</v>
      </c>
      <c r="R551" s="11" t="str">
        <f aca="false">IF(COUNTIF($A$2:A551,A551)&gt;1,"Duplicate - Remove","Unique")</f>
        <v>Unique</v>
      </c>
      <c r="S551" s="11" t="str">
        <f aca="false">TRIM(IF(Raw_Data!G551="","Region missing; ","")&amp;IF(Raw_Data!H551="","Spend imputed; ","")&amp;IF(Raw_Data!L551="","Revenue imputed; ","")&amp;IF(Raw_Data!J551&lt;0,"Clicks corrected; ",""))</f>
        <v/>
      </c>
    </row>
    <row r="552" customFormat="false" ht="15" hidden="false" customHeight="true" outlineLevel="0" collapsed="false">
      <c r="A552" s="11" t="n">
        <f aca="false">Raw_Data!A552</f>
        <v>1014</v>
      </c>
      <c r="B552" s="11" t="str">
        <f aca="false">PROPER(TRIM(Raw_Data!B552))</f>
        <v>Monsoon Skincare Push</v>
      </c>
      <c r="C552" s="11" t="str">
        <f aca="false">IFERROR(INDEX(Lookup_Tables!$B$2:$B$26,MATCH(UPPER(TRIM(Raw_Data!C552)),Lookup_Tables!$C$2:$C$26,0)),"Unknown")</f>
        <v>Facebook</v>
      </c>
      <c r="D552" s="12" t="n">
        <f aca="false">IFERROR(IF(ISNUMBER(SEARCH("/",Raw_Data!D552)),DATE(VALUE(RIGHT(Raw_Data!D552,4)),VALUE(MID(Raw_Data!D552,FIND("/",Raw_Data!D552)+1,FIND("/",Raw_Data!D552,FIND("/",Raw_Data!D552)+1)-FIND("/",Raw_Data!D552)-1)),VALUE(LEFT(Raw_Data!D552,FIND("/",Raw_Data!D552)-1))),IF(ISNUMBER(VALUE(LEFT(Raw_Data!D552,4))),DATE(VALUE(LEFT(Raw_Data!D552,4)),VALUE(MID(Raw_Data!D552,6,2)),VALUE(MID(Raw_Data!D552,9,2))),DATEVALUE(Raw_Data!D552))),"")</f>
        <v>45506</v>
      </c>
      <c r="E552" s="12" t="n">
        <f aca="false">IFERROR(IF(ISNUMBER(SEARCH("/",Raw_Data!E552)),DATE(VALUE(RIGHT(Raw_Data!E552,4)),VALUE(MID(Raw_Data!E552,FIND("/",Raw_Data!E552)+1,FIND("/",Raw_Data!E552,FIND("/",Raw_Data!E552)+1)-FIND("/",Raw_Data!E552)-1)),VALUE(LEFT(Raw_Data!E552,FIND("/",Raw_Data!E552)-1))),IF(ISNUMBER(VALUE(LEFT(Raw_Data!E552,4))),DATE(VALUE(LEFT(Raw_Data!E552,4)),VALUE(MID(Raw_Data!E552,6,2)),VALUE(MID(Raw_Data!E552,9,2))),DATEVALUE(Raw_Data!E552))),"")</f>
        <v>45532</v>
      </c>
      <c r="F552" s="11" t="str">
        <f aca="false">Raw_Data!F552</f>
        <v>Female 25-34</v>
      </c>
      <c r="G552" s="11" t="str">
        <f aca="false">IF(TRIM(Raw_Data!G552)="","Unspecified",IFERROR(INDEX(Lookup_Tables!$F$2:$F$24,MATCH(UPPER(TRIM(Raw_Data!G552)),Lookup_Tables!$G$2:$G$24,0)),"Unknown"))</f>
        <v>Unspecified</v>
      </c>
      <c r="H552" s="11" t="n">
        <f aca="false">IF(Raw_Data!H552="",ROUND(AVERAGEIFS(Raw_Data!$H$2:$H$839,Raw_Data!$C$2:$C$839,Raw_Data!C552),2),Raw_Data!H552)</f>
        <v>30869.98</v>
      </c>
      <c r="I552" s="11" t="n">
        <f aca="false">Raw_Data!I552</f>
        <v>707207</v>
      </c>
      <c r="J552" s="11" t="n">
        <f aca="false">IF(Raw_Data!J552&lt;0,ABS(Raw_Data!J552),Raw_Data!J552)</f>
        <v>9068</v>
      </c>
      <c r="K552" s="11" t="n">
        <f aca="false">Raw_Data!K552</f>
        <v>515</v>
      </c>
      <c r="L552" s="11" t="n">
        <f aca="false">IF(Raw_Data!L552="",ROUND(AVERAGEIFS(Raw_Data!$L$2:$L$839,Raw_Data!$C$2:$C$839,Raw_Data!C552),2),Raw_Data!L552)</f>
        <v>414866.8</v>
      </c>
      <c r="M552" s="13" t="n">
        <f aca="false">IFERROR(J552/I552,0)</f>
        <v>0.0128222712727674</v>
      </c>
      <c r="N552" s="14" t="n">
        <f aca="false">IFERROR(H552/J552,0)</f>
        <v>3.40427657697397</v>
      </c>
      <c r="O552" s="14" t="n">
        <f aca="false">IFERROR(H552/K552,0)</f>
        <v>59.9417087378641</v>
      </c>
      <c r="P552" s="15" t="n">
        <f aca="false">IFERROR(L552/H552,0)</f>
        <v>13.4391664652844</v>
      </c>
      <c r="Q552" s="13" t="n">
        <f aca="false">IFERROR(K552/J552,0)</f>
        <v>0.0567931186590207</v>
      </c>
      <c r="R552" s="11" t="str">
        <f aca="false">IF(COUNTIF($A$2:A552,A552)&gt;1,"Duplicate - Remove","Unique")</f>
        <v>Unique</v>
      </c>
      <c r="S552" s="11" t="str">
        <f aca="false">TRIM(IF(Raw_Data!G552="","Region missing; ","")&amp;IF(Raw_Data!H552="","Spend imputed; ","")&amp;IF(Raw_Data!L552="","Revenue imputed; ","")&amp;IF(Raw_Data!J552&lt;0,"Clicks corrected; ",""))</f>
        <v>Region missing;</v>
      </c>
    </row>
    <row r="553" customFormat="false" ht="15" hidden="false" customHeight="true" outlineLevel="0" collapsed="false">
      <c r="A553" s="11" t="n">
        <f aca="false">Raw_Data!A553</f>
        <v>1537</v>
      </c>
      <c r="B553" s="11" t="str">
        <f aca="false">PROPER(TRIM(Raw_Data!B553))</f>
        <v>Back To College Offer</v>
      </c>
      <c r="C553" s="11" t="str">
        <f aca="false">IFERROR(INDEX(Lookup_Tables!$B$2:$B$26,MATCH(UPPER(TRIM(Raw_Data!C553)),Lookup_Tables!$C$2:$C$26,0)),"Unknown")</f>
        <v>Facebook</v>
      </c>
      <c r="D553" s="12" t="n">
        <f aca="false">IFERROR(IF(ISNUMBER(SEARCH("/",Raw_Data!D553)),DATE(VALUE(RIGHT(Raw_Data!D553,4)),VALUE(MID(Raw_Data!D553,FIND("/",Raw_Data!D553)+1,FIND("/",Raw_Data!D553,FIND("/",Raw_Data!D553)+1)-FIND("/",Raw_Data!D553)-1)),VALUE(LEFT(Raw_Data!D553,FIND("/",Raw_Data!D553)-1))),IF(ISNUMBER(VALUE(LEFT(Raw_Data!D553,4))),DATE(VALUE(LEFT(Raw_Data!D553,4)),VALUE(MID(Raw_Data!D553,6,2)),VALUE(MID(Raw_Data!D553,9,2))),DATEVALUE(Raw_Data!D553))),"")</f>
        <v>45300</v>
      </c>
      <c r="E553" s="12" t="n">
        <f aca="false">IFERROR(IF(ISNUMBER(SEARCH("/",Raw_Data!E553)),DATE(VALUE(RIGHT(Raw_Data!E553,4)),VALUE(MID(Raw_Data!E553,FIND("/",Raw_Data!E553)+1,FIND("/",Raw_Data!E553,FIND("/",Raw_Data!E553)+1)-FIND("/",Raw_Data!E553)-1)),VALUE(LEFT(Raw_Data!E553,FIND("/",Raw_Data!E553)-1))),IF(ISNUMBER(VALUE(LEFT(Raw_Data!E553,4))),DATE(VALUE(LEFT(Raw_Data!E553,4)),VALUE(MID(Raw_Data!E553,6,2)),VALUE(MID(Raw_Data!E553,9,2))),DATEVALUE(Raw_Data!E553))),"")</f>
        <v>45319</v>
      </c>
      <c r="F553" s="11" t="str">
        <f aca="false">Raw_Data!F553</f>
        <v>Male 18-24</v>
      </c>
      <c r="G553" s="11" t="str">
        <f aca="false">IF(TRIM(Raw_Data!G553)="","Unspecified",IFERROR(INDEX(Lookup_Tables!$F$2:$F$24,MATCH(UPPER(TRIM(Raw_Data!G553)),Lookup_Tables!$G$2:$G$24,0)),"Unknown"))</f>
        <v>West</v>
      </c>
      <c r="H553" s="11" t="n">
        <f aca="false">IF(Raw_Data!H553="",ROUND(AVERAGEIFS(Raw_Data!$H$2:$H$839,Raw_Data!$C$2:$C$839,Raw_Data!C553),2),Raw_Data!H553)</f>
        <v>17737.29</v>
      </c>
      <c r="I553" s="11" t="n">
        <f aca="false">Raw_Data!I553</f>
        <v>477239</v>
      </c>
      <c r="J553" s="11" t="n">
        <f aca="false">IF(Raw_Data!J553&lt;0,ABS(Raw_Data!J553),Raw_Data!J553)</f>
        <v>9986</v>
      </c>
      <c r="K553" s="11" t="n">
        <f aca="false">Raw_Data!K553</f>
        <v>345</v>
      </c>
      <c r="L553" s="11" t="n">
        <f aca="false">IF(Raw_Data!L553="",ROUND(AVERAGEIFS(Raw_Data!$L$2:$L$839,Raw_Data!$C$2:$C$839,Raw_Data!C553),2),Raw_Data!L553)</f>
        <v>179942.68</v>
      </c>
      <c r="M553" s="13" t="n">
        <f aca="false">IFERROR(J553/I553,0)</f>
        <v>0.0209245262855718</v>
      </c>
      <c r="N553" s="14" t="n">
        <f aca="false">IFERROR(H553/J553,0)</f>
        <v>1.77621570198278</v>
      </c>
      <c r="O553" s="14" t="n">
        <f aca="false">IFERROR(H553/K553,0)</f>
        <v>51.4124347826087</v>
      </c>
      <c r="P553" s="15" t="n">
        <f aca="false">IFERROR(L553/H553,0)</f>
        <v>10.1448800803279</v>
      </c>
      <c r="Q553" s="13" t="n">
        <f aca="false">IFERROR(K553/J553,0)</f>
        <v>0.0345483677148007</v>
      </c>
      <c r="R553" s="11" t="str">
        <f aca="false">IF(COUNTIF($A$2:A553,A553)&gt;1,"Duplicate - Remove","Unique")</f>
        <v>Unique</v>
      </c>
      <c r="S553" s="11" t="str">
        <f aca="false">TRIM(IF(Raw_Data!G553="","Region missing; ","")&amp;IF(Raw_Data!H553="","Spend imputed; ","")&amp;IF(Raw_Data!L553="","Revenue imputed; ","")&amp;IF(Raw_Data!J553&lt;0,"Clicks corrected; ",""))</f>
        <v/>
      </c>
    </row>
    <row r="554" customFormat="false" ht="15" hidden="false" customHeight="true" outlineLevel="0" collapsed="false">
      <c r="A554" s="11" t="n">
        <f aca="false">Raw_Data!A554</f>
        <v>1131</v>
      </c>
      <c r="B554" s="11" t="str">
        <f aca="false">PROPER(TRIM(Raw_Data!B554))</f>
        <v>Summer Glow Launch</v>
      </c>
      <c r="C554" s="11" t="str">
        <f aca="false">IFERROR(INDEX(Lookup_Tables!$B$2:$B$26,MATCH(UPPER(TRIM(Raw_Data!C554)),Lookup_Tables!$C$2:$C$26,0)),"Unknown")</f>
        <v>Email</v>
      </c>
      <c r="D554" s="12" t="n">
        <f aca="false">IFERROR(IF(ISNUMBER(SEARCH("/",Raw_Data!D554)),DATE(VALUE(RIGHT(Raw_Data!D554,4)),VALUE(MID(Raw_Data!D554,FIND("/",Raw_Data!D554)+1,FIND("/",Raw_Data!D554,FIND("/",Raw_Data!D554)+1)-FIND("/",Raw_Data!D554)-1)),VALUE(LEFT(Raw_Data!D554,FIND("/",Raw_Data!D554)-1))),IF(ISNUMBER(VALUE(LEFT(Raw_Data!D554,4))),DATE(VALUE(LEFT(Raw_Data!D554,4)),VALUE(MID(Raw_Data!D554,6,2)),VALUE(MID(Raw_Data!D554,9,2))),DATEVALUE(Raw_Data!D554))),"")</f>
        <v>45347</v>
      </c>
      <c r="E554" s="12" t="n">
        <f aca="false">IFERROR(IF(ISNUMBER(SEARCH("/",Raw_Data!E554)),DATE(VALUE(RIGHT(Raw_Data!E554,4)),VALUE(MID(Raw_Data!E554,FIND("/",Raw_Data!E554)+1,FIND("/",Raw_Data!E554,FIND("/",Raw_Data!E554)+1)-FIND("/",Raw_Data!E554)-1)),VALUE(LEFT(Raw_Data!E554,FIND("/",Raw_Data!E554)-1))),IF(ISNUMBER(VALUE(LEFT(Raw_Data!E554,4))),DATE(VALUE(LEFT(Raw_Data!E554,4)),VALUE(MID(Raw_Data!E554,6,2)),VALUE(MID(Raw_Data!E554,9,2))),DATEVALUE(Raw_Data!E554))),"")</f>
        <v>45376</v>
      </c>
      <c r="F554" s="11" t="str">
        <f aca="false">Raw_Data!F554</f>
        <v>Female 25-34</v>
      </c>
      <c r="G554" s="11" t="str">
        <f aca="false">IF(TRIM(Raw_Data!G554)="","Unspecified",IFERROR(INDEX(Lookup_Tables!$F$2:$F$24,MATCH(UPPER(TRIM(Raw_Data!G554)),Lookup_Tables!$G$2:$G$24,0)),"Unknown"))</f>
        <v>Central</v>
      </c>
      <c r="H554" s="11" t="n">
        <f aca="false">IF(Raw_Data!H554="",ROUND(AVERAGEIFS(Raw_Data!$H$2:$H$839,Raw_Data!$C$2:$C$839,Raw_Data!C554),2),Raw_Data!H554)</f>
        <v>5603.21</v>
      </c>
      <c r="I554" s="11" t="n">
        <f aca="false">Raw_Data!I554</f>
        <v>133777</v>
      </c>
      <c r="J554" s="11" t="n">
        <f aca="false">IF(Raw_Data!J554&lt;0,ABS(Raw_Data!J554),Raw_Data!J554)</f>
        <v>3265</v>
      </c>
      <c r="K554" s="11" t="n">
        <f aca="false">Raw_Data!K554</f>
        <v>42</v>
      </c>
      <c r="L554" s="11" t="n">
        <f aca="false">IF(Raw_Data!L554="",ROUND(AVERAGEIFS(Raw_Data!$L$2:$L$839,Raw_Data!$C$2:$C$839,Raw_Data!C554),2),Raw_Data!L554)</f>
        <v>74601.74</v>
      </c>
      <c r="M554" s="13" t="n">
        <f aca="false">IFERROR(J554/I554,0)</f>
        <v>0.0244062880764257</v>
      </c>
      <c r="N554" s="14" t="n">
        <f aca="false">IFERROR(H554/J554,0)</f>
        <v>1.71614395099541</v>
      </c>
      <c r="O554" s="14" t="n">
        <f aca="false">IFERROR(H554/K554,0)</f>
        <v>133.409761904762</v>
      </c>
      <c r="P554" s="15" t="n">
        <f aca="false">IFERROR(L554/H554,0)</f>
        <v>13.3141074491229</v>
      </c>
      <c r="Q554" s="13" t="n">
        <f aca="false">IFERROR(K554/J554,0)</f>
        <v>0.0128637059724349</v>
      </c>
      <c r="R554" s="11" t="str">
        <f aca="false">IF(COUNTIF($A$2:A554,A554)&gt;1,"Duplicate - Remove","Unique")</f>
        <v>Unique</v>
      </c>
      <c r="S554" s="11" t="str">
        <f aca="false">TRIM(IF(Raw_Data!G554="","Region missing; ","")&amp;IF(Raw_Data!H554="","Spend imputed; ","")&amp;IF(Raw_Data!L554="","Revenue imputed; ","")&amp;IF(Raw_Data!J554&lt;0,"Clicks corrected; ",""))</f>
        <v/>
      </c>
    </row>
    <row r="555" customFormat="false" ht="15" hidden="false" customHeight="true" outlineLevel="0" collapsed="false">
      <c r="A555" s="11" t="n">
        <f aca="false">Raw_Data!A555</f>
        <v>1115</v>
      </c>
      <c r="B555" s="11" t="str">
        <f aca="false">PROPER(TRIM(Raw_Data!B555))</f>
        <v>New Year Wellness</v>
      </c>
      <c r="C555" s="11" t="str">
        <f aca="false">IFERROR(INDEX(Lookup_Tables!$B$2:$B$26,MATCH(UPPER(TRIM(Raw_Data!C555)),Lookup_Tables!$C$2:$C$26,0)),"Unknown")</f>
        <v>Facebook</v>
      </c>
      <c r="D555" s="12" t="n">
        <f aca="false">IFERROR(IF(ISNUMBER(SEARCH("/",Raw_Data!D555)),DATE(VALUE(RIGHT(Raw_Data!D555,4)),VALUE(MID(Raw_Data!D555,FIND("/",Raw_Data!D555)+1,FIND("/",Raw_Data!D555,FIND("/",Raw_Data!D555)+1)-FIND("/",Raw_Data!D555)-1)),VALUE(LEFT(Raw_Data!D555,FIND("/",Raw_Data!D555)-1))),IF(ISNUMBER(VALUE(LEFT(Raw_Data!D555,4))),DATE(VALUE(LEFT(Raw_Data!D555,4)),VALUE(MID(Raw_Data!D555,6,2)),VALUE(MID(Raw_Data!D555,9,2))),DATEVALUE(Raw_Data!D555))),"")</f>
        <v>45566</v>
      </c>
      <c r="E555" s="12" t="n">
        <f aca="false">IFERROR(IF(ISNUMBER(SEARCH("/",Raw_Data!E555)),DATE(VALUE(RIGHT(Raw_Data!E555,4)),VALUE(MID(Raw_Data!E555,FIND("/",Raw_Data!E555)+1,FIND("/",Raw_Data!E555,FIND("/",Raw_Data!E555)+1)-FIND("/",Raw_Data!E555)-1)),VALUE(LEFT(Raw_Data!E555,FIND("/",Raw_Data!E555)-1))),IF(ISNUMBER(VALUE(LEFT(Raw_Data!E555,4))),DATE(VALUE(LEFT(Raw_Data!E555,4)),VALUE(MID(Raw_Data!E555,6,2)),VALUE(MID(Raw_Data!E555,9,2))),DATEVALUE(Raw_Data!E555))),"")</f>
        <v>45594</v>
      </c>
      <c r="F555" s="11" t="str">
        <f aca="false">Raw_Data!F555</f>
        <v>Female 25-34</v>
      </c>
      <c r="G555" s="11" t="str">
        <f aca="false">IF(TRIM(Raw_Data!G555)="","Unspecified",IFERROR(INDEX(Lookup_Tables!$F$2:$F$24,MATCH(UPPER(TRIM(Raw_Data!G555)),Lookup_Tables!$G$2:$G$24,0)),"Unknown"))</f>
        <v>North</v>
      </c>
      <c r="H555" s="11" t="n">
        <f aca="false">IF(Raw_Data!H555="",ROUND(AVERAGEIFS(Raw_Data!$H$2:$H$839,Raw_Data!$C$2:$C$839,Raw_Data!C555),2),Raw_Data!H555)</f>
        <v>8267.61</v>
      </c>
      <c r="I555" s="11" t="n">
        <f aca="false">Raw_Data!I555</f>
        <v>201971</v>
      </c>
      <c r="J555" s="11" t="n">
        <f aca="false">IF(Raw_Data!J555&lt;0,ABS(Raw_Data!J555),Raw_Data!J555)</f>
        <v>4675</v>
      </c>
      <c r="K555" s="11" t="n">
        <f aca="false">Raw_Data!K555</f>
        <v>59</v>
      </c>
      <c r="L555" s="11" t="n">
        <f aca="false">IF(Raw_Data!L555="",ROUND(AVERAGEIFS(Raw_Data!$L$2:$L$839,Raw_Data!$C$2:$C$839,Raw_Data!C555),2),Raw_Data!L555)</f>
        <v>26876.7</v>
      </c>
      <c r="M555" s="13" t="n">
        <f aca="false">IFERROR(J555/I555,0)</f>
        <v>0.0231468874244322</v>
      </c>
      <c r="N555" s="14" t="n">
        <f aca="false">IFERROR(H555/J555,0)</f>
        <v>1.76847272727273</v>
      </c>
      <c r="O555" s="14" t="n">
        <f aca="false">IFERROR(H555/K555,0)</f>
        <v>140.128983050847</v>
      </c>
      <c r="P555" s="15" t="n">
        <f aca="false">IFERROR(L555/H555,0)</f>
        <v>3.25084274657368</v>
      </c>
      <c r="Q555" s="13" t="n">
        <f aca="false">IFERROR(K555/J555,0)</f>
        <v>0.012620320855615</v>
      </c>
      <c r="R555" s="11" t="str">
        <f aca="false">IF(COUNTIF($A$2:A555,A555)&gt;1,"Duplicate - Remove","Unique")</f>
        <v>Unique</v>
      </c>
      <c r="S555" s="11" t="str">
        <f aca="false">TRIM(IF(Raw_Data!G555="","Region missing; ","")&amp;IF(Raw_Data!H555="","Spend imputed; ","")&amp;IF(Raw_Data!L555="","Revenue imputed; ","")&amp;IF(Raw_Data!J555&lt;0,"Clicks corrected; ",""))</f>
        <v/>
      </c>
    </row>
    <row r="556" customFormat="false" ht="15" hidden="false" customHeight="true" outlineLevel="0" collapsed="false">
      <c r="A556" s="11" t="n">
        <f aca="false">Raw_Data!A556</f>
        <v>1425</v>
      </c>
      <c r="B556" s="11" t="str">
        <f aca="false">PROPER(TRIM(Raw_Data!B556))</f>
        <v>Men'S Grooming Drive</v>
      </c>
      <c r="C556" s="11" t="str">
        <f aca="false">IFERROR(INDEX(Lookup_Tables!$B$2:$B$26,MATCH(UPPER(TRIM(Raw_Data!C556)),Lookup_Tables!$C$2:$C$26,0)),"Unknown")</f>
        <v>Email</v>
      </c>
      <c r="D556" s="12" t="n">
        <f aca="false">IFERROR(IF(ISNUMBER(SEARCH("/",Raw_Data!D556)),DATE(VALUE(RIGHT(Raw_Data!D556,4)),VALUE(MID(Raw_Data!D556,FIND("/",Raw_Data!D556)+1,FIND("/",Raw_Data!D556,FIND("/",Raw_Data!D556)+1)-FIND("/",Raw_Data!D556)-1)),VALUE(LEFT(Raw_Data!D556,FIND("/",Raw_Data!D556)-1))),IF(ISNUMBER(VALUE(LEFT(Raw_Data!D556,4))),DATE(VALUE(LEFT(Raw_Data!D556,4)),VALUE(MID(Raw_Data!D556,6,2)),VALUE(MID(Raw_Data!D556,9,2))),DATEVALUE(Raw_Data!D556))),"")</f>
        <v>45334</v>
      </c>
      <c r="E556" s="12" t="n">
        <f aca="false">IFERROR(IF(ISNUMBER(SEARCH("/",Raw_Data!E556)),DATE(VALUE(RIGHT(Raw_Data!E556,4)),VALUE(MID(Raw_Data!E556,FIND("/",Raw_Data!E556)+1,FIND("/",Raw_Data!E556,FIND("/",Raw_Data!E556)+1)-FIND("/",Raw_Data!E556)-1)),VALUE(LEFT(Raw_Data!E556,FIND("/",Raw_Data!E556)-1))),IF(ISNUMBER(VALUE(LEFT(Raw_Data!E556,4))),DATE(VALUE(LEFT(Raw_Data!E556,4)),VALUE(MID(Raw_Data!E556,6,2)),VALUE(MID(Raw_Data!E556,9,2))),DATEVALUE(Raw_Data!E556))),"")</f>
        <v>45348</v>
      </c>
      <c r="F556" s="11" t="str">
        <f aca="false">Raw_Data!F556</f>
        <v>Male 35-44</v>
      </c>
      <c r="G556" s="11" t="str">
        <f aca="false">IF(TRIM(Raw_Data!G556)="","Unspecified",IFERROR(INDEX(Lookup_Tables!$F$2:$F$24,MATCH(UPPER(TRIM(Raw_Data!G556)),Lookup_Tables!$G$2:$G$24,0)),"Unknown"))</f>
        <v>South</v>
      </c>
      <c r="H556" s="11" t="n">
        <f aca="false">IF(Raw_Data!H556="",ROUND(AVERAGEIFS(Raw_Data!$H$2:$H$839,Raw_Data!$C$2:$C$839,Raw_Data!C556),2),Raw_Data!H556)</f>
        <v>4589.54</v>
      </c>
      <c r="I556" s="11" t="n">
        <f aca="false">Raw_Data!I556</f>
        <v>142695</v>
      </c>
      <c r="J556" s="11" t="n">
        <f aca="false">IF(Raw_Data!J556&lt;0,ABS(Raw_Data!J556),Raw_Data!J556)</f>
        <v>4077</v>
      </c>
      <c r="K556" s="11" t="n">
        <f aca="false">Raw_Data!K556</f>
        <v>305</v>
      </c>
      <c r="L556" s="11" t="n">
        <f aca="false">IF(Raw_Data!L556="",ROUND(AVERAGEIFS(Raw_Data!$L$2:$L$839,Raw_Data!$C$2:$C$839,Raw_Data!C556),2),Raw_Data!L556)</f>
        <v>150271.43</v>
      </c>
      <c r="M556" s="13" t="n">
        <f aca="false">IFERROR(J556/I556,0)</f>
        <v>0.0285714285714286</v>
      </c>
      <c r="N556" s="14" t="n">
        <f aca="false">IFERROR(H556/J556,0)</f>
        <v>1.12571498650969</v>
      </c>
      <c r="O556" s="14" t="n">
        <f aca="false">IFERROR(H556/K556,0)</f>
        <v>15.0476721311475</v>
      </c>
      <c r="P556" s="15" t="n">
        <f aca="false">IFERROR(L556/H556,0)</f>
        <v>32.74215498721</v>
      </c>
      <c r="Q556" s="13" t="n">
        <f aca="false">IFERROR(K556/J556,0)</f>
        <v>0.0748099092469953</v>
      </c>
      <c r="R556" s="11" t="str">
        <f aca="false">IF(COUNTIF($A$2:A556,A556)&gt;1,"Duplicate - Remove","Unique")</f>
        <v>Unique</v>
      </c>
      <c r="S556" s="11" t="str">
        <f aca="false">TRIM(IF(Raw_Data!G556="","Region missing; ","")&amp;IF(Raw_Data!H556="","Spend imputed; ","")&amp;IF(Raw_Data!L556="","Revenue imputed; ","")&amp;IF(Raw_Data!J556&lt;0,"Clicks corrected; ",""))</f>
        <v/>
      </c>
    </row>
    <row r="557" customFormat="false" ht="15" hidden="false" customHeight="true" outlineLevel="0" collapsed="false">
      <c r="A557" s="11" t="n">
        <f aca="false">Raw_Data!A557</f>
        <v>1343</v>
      </c>
      <c r="B557" s="11" t="str">
        <f aca="false">PROPER(TRIM(Raw_Data!B557))</f>
        <v>Summer Glow Launch</v>
      </c>
      <c r="C557" s="11" t="str">
        <f aca="false">IFERROR(INDEX(Lookup_Tables!$B$2:$B$26,MATCH(UPPER(TRIM(Raw_Data!C557)),Lookup_Tables!$C$2:$C$26,0)),"Unknown")</f>
        <v>Facebook</v>
      </c>
      <c r="D557" s="12" t="n">
        <f aca="false">IFERROR(IF(ISNUMBER(SEARCH("/",Raw_Data!D557)),DATE(VALUE(RIGHT(Raw_Data!D557,4)),VALUE(MID(Raw_Data!D557,FIND("/",Raw_Data!D557)+1,FIND("/",Raw_Data!D557,FIND("/",Raw_Data!D557)+1)-FIND("/",Raw_Data!D557)-1)),VALUE(LEFT(Raw_Data!D557,FIND("/",Raw_Data!D557)-1))),IF(ISNUMBER(VALUE(LEFT(Raw_Data!D557,4))),DATE(VALUE(LEFT(Raw_Data!D557,4)),VALUE(MID(Raw_Data!D557,6,2)),VALUE(MID(Raw_Data!D557,9,2))),DATEVALUE(Raw_Data!D557))),"")</f>
        <v>45314</v>
      </c>
      <c r="E557" s="12" t="n">
        <f aca="false">IFERROR(IF(ISNUMBER(SEARCH("/",Raw_Data!E557)),DATE(VALUE(RIGHT(Raw_Data!E557,4)),VALUE(MID(Raw_Data!E557,FIND("/",Raw_Data!E557)+1,FIND("/",Raw_Data!E557,FIND("/",Raw_Data!E557)+1)-FIND("/",Raw_Data!E557)-1)),VALUE(LEFT(Raw_Data!E557,FIND("/",Raw_Data!E557)-1))),IF(ISNUMBER(VALUE(LEFT(Raw_Data!E557,4))),DATE(VALUE(LEFT(Raw_Data!E557,4)),VALUE(MID(Raw_Data!E557,6,2)),VALUE(MID(Raw_Data!E557,9,2))),DATEVALUE(Raw_Data!E557))),"")</f>
        <v>45321</v>
      </c>
      <c r="F557" s="11" t="str">
        <f aca="false">Raw_Data!F557</f>
        <v>Male 25-34</v>
      </c>
      <c r="G557" s="11" t="str">
        <f aca="false">IF(TRIM(Raw_Data!G557)="","Unspecified",IFERROR(INDEX(Lookup_Tables!$F$2:$F$24,MATCH(UPPER(TRIM(Raw_Data!G557)),Lookup_Tables!$G$2:$G$24,0)),"Unknown"))</f>
        <v>North</v>
      </c>
      <c r="H557" s="11" t="n">
        <f aca="false">IF(Raw_Data!H557="",ROUND(AVERAGEIFS(Raw_Data!$H$2:$H$839,Raw_Data!$C$2:$C$839,Raw_Data!C557),2),Raw_Data!H557)</f>
        <v>35373.8</v>
      </c>
      <c r="I557" s="11" t="n">
        <f aca="false">Raw_Data!I557</f>
        <v>1197889</v>
      </c>
      <c r="J557" s="11" t="n">
        <f aca="false">IF(Raw_Data!J557&lt;0,ABS(Raw_Data!J557),Raw_Data!J557)</f>
        <v>34105</v>
      </c>
      <c r="K557" s="11" t="n">
        <f aca="false">Raw_Data!K557</f>
        <v>2537</v>
      </c>
      <c r="L557" s="11" t="n">
        <f aca="false">IF(Raw_Data!L557="",ROUND(AVERAGEIFS(Raw_Data!$L$2:$L$839,Raw_Data!$C$2:$C$839,Raw_Data!C557),2),Raw_Data!L557)</f>
        <v>1643549.07</v>
      </c>
      <c r="M557" s="13" t="n">
        <f aca="false">IFERROR(J557/I557,0)</f>
        <v>0.0284709184239942</v>
      </c>
      <c r="N557" s="14" t="n">
        <f aca="false">IFERROR(H557/J557,0)</f>
        <v>1.03720275619411</v>
      </c>
      <c r="O557" s="14" t="n">
        <f aca="false">IFERROR(H557/K557,0)</f>
        <v>13.9431612140323</v>
      </c>
      <c r="P557" s="15" t="n">
        <f aca="false">IFERROR(L557/H557,0)</f>
        <v>46.4623272026189</v>
      </c>
      <c r="Q557" s="13" t="n">
        <f aca="false">IFERROR(K557/J557,0)</f>
        <v>0.0743879196598739</v>
      </c>
      <c r="R557" s="11" t="str">
        <f aca="false">IF(COUNTIF($A$2:A557,A557)&gt;1,"Duplicate - Remove","Unique")</f>
        <v>Unique</v>
      </c>
      <c r="S557" s="11" t="str">
        <f aca="false">TRIM(IF(Raw_Data!G557="","Region missing; ","")&amp;IF(Raw_Data!H557="","Spend imputed; ","")&amp;IF(Raw_Data!L557="","Revenue imputed; ","")&amp;IF(Raw_Data!J557&lt;0,"Clicks corrected; ",""))</f>
        <v/>
      </c>
    </row>
    <row r="558" customFormat="false" ht="15" hidden="false" customHeight="true" outlineLevel="0" collapsed="false">
      <c r="A558" s="11" t="n">
        <f aca="false">Raw_Data!A558</f>
        <v>1110</v>
      </c>
      <c r="B558" s="11" t="str">
        <f aca="false">PROPER(TRIM(Raw_Data!B558))</f>
        <v>Summer Glow Launch</v>
      </c>
      <c r="C558" s="11" t="str">
        <f aca="false">IFERROR(INDEX(Lookup_Tables!$B$2:$B$26,MATCH(UPPER(TRIM(Raw_Data!C558)),Lookup_Tables!$C$2:$C$26,0)),"Unknown")</f>
        <v>Instagram</v>
      </c>
      <c r="D558" s="12" t="n">
        <f aca="false">IFERROR(IF(ISNUMBER(SEARCH("/",Raw_Data!D558)),DATE(VALUE(RIGHT(Raw_Data!D558,4)),VALUE(MID(Raw_Data!D558,FIND("/",Raw_Data!D558)+1,FIND("/",Raw_Data!D558,FIND("/",Raw_Data!D558)+1)-FIND("/",Raw_Data!D558)-1)),VALUE(LEFT(Raw_Data!D558,FIND("/",Raw_Data!D558)-1))),IF(ISNUMBER(VALUE(LEFT(Raw_Data!D558,4))),DATE(VALUE(LEFT(Raw_Data!D558,4)),VALUE(MID(Raw_Data!D558,6,2)),VALUE(MID(Raw_Data!D558,9,2))),DATEVALUE(Raw_Data!D558))),"")</f>
        <v>45521</v>
      </c>
      <c r="E558" s="12" t="n">
        <f aca="false">IFERROR(IF(ISNUMBER(SEARCH("/",Raw_Data!E558)),DATE(VALUE(RIGHT(Raw_Data!E558,4)),VALUE(MID(Raw_Data!E558,FIND("/",Raw_Data!E558)+1,FIND("/",Raw_Data!E558,FIND("/",Raw_Data!E558)+1)-FIND("/",Raw_Data!E558)-1)),VALUE(LEFT(Raw_Data!E558,FIND("/",Raw_Data!E558)-1))),IF(ISNUMBER(VALUE(LEFT(Raw_Data!E558,4))),DATE(VALUE(LEFT(Raw_Data!E558,4)),VALUE(MID(Raw_Data!E558,6,2)),VALUE(MID(Raw_Data!E558,9,2))),DATEVALUE(Raw_Data!E558))),"")</f>
        <v>45538</v>
      </c>
      <c r="F558" s="11" t="str">
        <f aca="false">Raw_Data!F558</f>
        <v>Female 45+</v>
      </c>
      <c r="G558" s="11" t="str">
        <f aca="false">IF(TRIM(Raw_Data!G558)="","Unspecified",IFERROR(INDEX(Lookup_Tables!$F$2:$F$24,MATCH(UPPER(TRIM(Raw_Data!G558)),Lookup_Tables!$G$2:$G$24,0)),"Unknown"))</f>
        <v>South</v>
      </c>
      <c r="H558" s="11" t="n">
        <f aca="false">IF(Raw_Data!H558="",ROUND(AVERAGEIFS(Raw_Data!$H$2:$H$839,Raw_Data!$C$2:$C$839,Raw_Data!C558),2),Raw_Data!H558)</f>
        <v>12173</v>
      </c>
      <c r="I558" s="11" t="n">
        <f aca="false">Raw_Data!I558</f>
        <v>476008</v>
      </c>
      <c r="J558" s="11" t="n">
        <f aca="false">IF(Raw_Data!J558&lt;0,ABS(Raw_Data!J558),Raw_Data!J558)</f>
        <v>14868</v>
      </c>
      <c r="K558" s="11" t="n">
        <f aca="false">Raw_Data!K558</f>
        <v>287</v>
      </c>
      <c r="L558" s="11" t="n">
        <f aca="false">IF(Raw_Data!L558="",ROUND(AVERAGEIFS(Raw_Data!$L$2:$L$839,Raw_Data!$C$2:$C$839,Raw_Data!C558),2),Raw_Data!L558)</f>
        <v>458458.26</v>
      </c>
      <c r="M558" s="13" t="n">
        <f aca="false">IFERROR(J558/I558,0)</f>
        <v>0.0312347691635435</v>
      </c>
      <c r="N558" s="14" t="n">
        <f aca="false">IFERROR(H558/J558,0)</f>
        <v>0.818738229755179</v>
      </c>
      <c r="O558" s="14" t="n">
        <f aca="false">IFERROR(H558/K558,0)</f>
        <v>42.4146341463415</v>
      </c>
      <c r="P558" s="15" t="n">
        <f aca="false">IFERROR(L558/H558,0)</f>
        <v>37.6618959993428</v>
      </c>
      <c r="Q558" s="13" t="n">
        <f aca="false">IFERROR(K558/J558,0)</f>
        <v>0.0193032015065913</v>
      </c>
      <c r="R558" s="11" t="str">
        <f aca="false">IF(COUNTIF($A$2:A558,A558)&gt;1,"Duplicate - Remove","Unique")</f>
        <v>Unique</v>
      </c>
      <c r="S558" s="11" t="str">
        <f aca="false">TRIM(IF(Raw_Data!G558="","Region missing; ","")&amp;IF(Raw_Data!H558="","Spend imputed; ","")&amp;IF(Raw_Data!L558="","Revenue imputed; ","")&amp;IF(Raw_Data!J558&lt;0,"Clicks corrected; ",""))</f>
        <v/>
      </c>
    </row>
    <row r="559" customFormat="false" ht="15" hidden="false" customHeight="true" outlineLevel="0" collapsed="false">
      <c r="A559" s="11" t="n">
        <f aca="false">Raw_Data!A559</f>
        <v>1031</v>
      </c>
      <c r="B559" s="11" t="str">
        <f aca="false">PROPER(TRIM(Raw_Data!B559))</f>
        <v>Baby Care Trust Campaign</v>
      </c>
      <c r="C559" s="11" t="str">
        <f aca="false">IFERROR(INDEX(Lookup_Tables!$B$2:$B$26,MATCH(UPPER(TRIM(Raw_Data!C559)),Lookup_Tables!$C$2:$C$26,0)),"Unknown")</f>
        <v>Google Ads</v>
      </c>
      <c r="D559" s="12" t="n">
        <f aca="false">IFERROR(IF(ISNUMBER(SEARCH("/",Raw_Data!D559)),DATE(VALUE(RIGHT(Raw_Data!D559,4)),VALUE(MID(Raw_Data!D559,FIND("/",Raw_Data!D559)+1,FIND("/",Raw_Data!D559,FIND("/",Raw_Data!D559)+1)-FIND("/",Raw_Data!D559)-1)),VALUE(LEFT(Raw_Data!D559,FIND("/",Raw_Data!D559)-1))),IF(ISNUMBER(VALUE(LEFT(Raw_Data!D559,4))),DATE(VALUE(LEFT(Raw_Data!D559,4)),VALUE(MID(Raw_Data!D559,6,2)),VALUE(MID(Raw_Data!D559,9,2))),DATEVALUE(Raw_Data!D559))),"")</f>
        <v>45588</v>
      </c>
      <c r="E559" s="12" t="n">
        <f aca="false">IFERROR(IF(ISNUMBER(SEARCH("/",Raw_Data!E559)),DATE(VALUE(RIGHT(Raw_Data!E559,4)),VALUE(MID(Raw_Data!E559,FIND("/",Raw_Data!E559)+1,FIND("/",Raw_Data!E559,FIND("/",Raw_Data!E559)+1)-FIND("/",Raw_Data!E559)-1)),VALUE(LEFT(Raw_Data!E559,FIND("/",Raw_Data!E559)-1))),IF(ISNUMBER(VALUE(LEFT(Raw_Data!E559,4))),DATE(VALUE(LEFT(Raw_Data!E559,4)),VALUE(MID(Raw_Data!E559,6,2)),VALUE(MID(Raw_Data!E559,9,2))),DATEVALUE(Raw_Data!E559))),"")</f>
        <v>45593</v>
      </c>
      <c r="F559" s="11" t="str">
        <f aca="false">Raw_Data!F559</f>
        <v>Female 25-34</v>
      </c>
      <c r="G559" s="11" t="str">
        <f aca="false">IF(TRIM(Raw_Data!G559)="","Unspecified",IFERROR(INDEX(Lookup_Tables!$F$2:$F$24,MATCH(UPPER(TRIM(Raw_Data!G559)),Lookup_Tables!$G$2:$G$24,0)),"Unknown"))</f>
        <v>North</v>
      </c>
      <c r="H559" s="11" t="n">
        <f aca="false">IF(Raw_Data!H559="",ROUND(AVERAGEIFS(Raw_Data!$H$2:$H$839,Raw_Data!$C$2:$C$839,Raw_Data!C559),2),Raw_Data!H559)</f>
        <v>50305.77</v>
      </c>
      <c r="I559" s="11" t="n">
        <f aca="false">Raw_Data!I559</f>
        <v>1896560</v>
      </c>
      <c r="J559" s="11" t="n">
        <f aca="false">IF(Raw_Data!J559&lt;0,ABS(Raw_Data!J559),Raw_Data!J559)</f>
        <v>30836</v>
      </c>
      <c r="K559" s="11" t="n">
        <f aca="false">Raw_Data!K559</f>
        <v>2340</v>
      </c>
      <c r="L559" s="11" t="n">
        <f aca="false">IF(Raw_Data!L559="",ROUND(AVERAGEIFS(Raw_Data!$L$2:$L$839,Raw_Data!$C$2:$C$839,Raw_Data!C559),2),Raw_Data!L559)</f>
        <v>1491932.93</v>
      </c>
      <c r="M559" s="13" t="n">
        <f aca="false">IFERROR(J559/I559,0)</f>
        <v>0.0162589108702071</v>
      </c>
      <c r="N559" s="14" t="n">
        <f aca="false">IFERROR(H559/J559,0)</f>
        <v>1.63139739265793</v>
      </c>
      <c r="O559" s="14" t="n">
        <f aca="false">IFERROR(H559/K559,0)</f>
        <v>21.4981923076923</v>
      </c>
      <c r="P559" s="15" t="n">
        <f aca="false">IFERROR(L559/H559,0)</f>
        <v>29.6572923940932</v>
      </c>
      <c r="Q559" s="13" t="n">
        <f aca="false">IFERROR(K559/J559,0)</f>
        <v>0.075885328836425</v>
      </c>
      <c r="R559" s="11" t="str">
        <f aca="false">IF(COUNTIF($A$2:A559,A559)&gt;1,"Duplicate - Remove","Unique")</f>
        <v>Unique</v>
      </c>
      <c r="S559" s="11" t="str">
        <f aca="false">TRIM(IF(Raw_Data!G559="","Region missing; ","")&amp;IF(Raw_Data!H559="","Spend imputed; ","")&amp;IF(Raw_Data!L559="","Revenue imputed; ","")&amp;IF(Raw_Data!J559&lt;0,"Clicks corrected; ",""))</f>
        <v/>
      </c>
    </row>
    <row r="560" customFormat="false" ht="15" hidden="false" customHeight="true" outlineLevel="0" collapsed="false">
      <c r="A560" s="11" t="n">
        <f aca="false">Raw_Data!A560</f>
        <v>1028</v>
      </c>
      <c r="B560" s="11" t="str">
        <f aca="false">PROPER(TRIM(Raw_Data!B560))</f>
        <v>Sunscreen Season Campaign</v>
      </c>
      <c r="C560" s="11" t="str">
        <f aca="false">IFERROR(INDEX(Lookup_Tables!$B$2:$B$26,MATCH(UPPER(TRIM(Raw_Data!C560)),Lookup_Tables!$C$2:$C$26,0)),"Unknown")</f>
        <v>YouTube</v>
      </c>
      <c r="D560" s="12" t="n">
        <f aca="false">IFERROR(IF(ISNUMBER(SEARCH("/",Raw_Data!D560)),DATE(VALUE(RIGHT(Raw_Data!D560,4)),VALUE(MID(Raw_Data!D560,FIND("/",Raw_Data!D560)+1,FIND("/",Raw_Data!D560,FIND("/",Raw_Data!D560)+1)-FIND("/",Raw_Data!D560)-1)),VALUE(LEFT(Raw_Data!D560,FIND("/",Raw_Data!D560)-1))),IF(ISNUMBER(VALUE(LEFT(Raw_Data!D560,4))),DATE(VALUE(LEFT(Raw_Data!D560,4)),VALUE(MID(Raw_Data!D560,6,2)),VALUE(MID(Raw_Data!D560,9,2))),DATEVALUE(Raw_Data!D560))),"")</f>
        <v>45541</v>
      </c>
      <c r="E560" s="12" t="n">
        <f aca="false">IFERROR(IF(ISNUMBER(SEARCH("/",Raw_Data!E560)),DATE(VALUE(RIGHT(Raw_Data!E560,4)),VALUE(MID(Raw_Data!E560,FIND("/",Raw_Data!E560)+1,FIND("/",Raw_Data!E560,FIND("/",Raw_Data!E560)+1)-FIND("/",Raw_Data!E560)-1)),VALUE(LEFT(Raw_Data!E560,FIND("/",Raw_Data!E560)-1))),IF(ISNUMBER(VALUE(LEFT(Raw_Data!E560,4))),DATE(VALUE(LEFT(Raw_Data!E560,4)),VALUE(MID(Raw_Data!E560,6,2)),VALUE(MID(Raw_Data!E560,9,2))),DATEVALUE(Raw_Data!E560))),"")</f>
        <v>45553</v>
      </c>
      <c r="F560" s="11" t="str">
        <f aca="false">Raw_Data!F560</f>
        <v>Male 18-24</v>
      </c>
      <c r="G560" s="11" t="str">
        <f aca="false">IF(TRIM(Raw_Data!G560)="","Unspecified",IFERROR(INDEX(Lookup_Tables!$F$2:$F$24,MATCH(UPPER(TRIM(Raw_Data!G560)),Lookup_Tables!$G$2:$G$24,0)),"Unknown"))</f>
        <v>West</v>
      </c>
      <c r="H560" s="11" t="n">
        <f aca="false">IF(Raw_Data!H560="",ROUND(AVERAGEIFS(Raw_Data!$H$2:$H$839,Raw_Data!$C$2:$C$839,Raw_Data!C560),2),Raw_Data!H560)</f>
        <v>47687.7</v>
      </c>
      <c r="I560" s="11" t="n">
        <f aca="false">Raw_Data!I560</f>
        <v>749918</v>
      </c>
      <c r="J560" s="11" t="n">
        <f aca="false">IF(Raw_Data!J560&lt;0,ABS(Raw_Data!J560),Raw_Data!J560)</f>
        <v>11311</v>
      </c>
      <c r="K560" s="11" t="n">
        <f aca="false">Raw_Data!K560</f>
        <v>650</v>
      </c>
      <c r="L560" s="11" t="n">
        <f aca="false">IF(Raw_Data!L560="",ROUND(AVERAGEIFS(Raw_Data!$L$2:$L$839,Raw_Data!$C$2:$C$839,Raw_Data!C560),2),Raw_Data!L560)</f>
        <v>608568.46</v>
      </c>
      <c r="M560" s="13" t="n">
        <f aca="false">IFERROR(J560/I560,0)</f>
        <v>0.0150829824060764</v>
      </c>
      <c r="N560" s="14" t="n">
        <f aca="false">IFERROR(H560/J560,0)</f>
        <v>4.21604632658474</v>
      </c>
      <c r="O560" s="14" t="n">
        <f aca="false">IFERROR(H560/K560,0)</f>
        <v>73.3656923076923</v>
      </c>
      <c r="P560" s="15" t="n">
        <f aca="false">IFERROR(L560/H560,0)</f>
        <v>12.761539348721</v>
      </c>
      <c r="Q560" s="13" t="n">
        <f aca="false">IFERROR(K560/J560,0)</f>
        <v>0.0574661833613297</v>
      </c>
      <c r="R560" s="11" t="str">
        <f aca="false">IF(COUNTIF($A$2:A560,A560)&gt;1,"Duplicate - Remove","Unique")</f>
        <v>Duplicate - Remove</v>
      </c>
      <c r="S560" s="11" t="str">
        <f aca="false">TRIM(IF(Raw_Data!G560="","Region missing; ","")&amp;IF(Raw_Data!H560="","Spend imputed; ","")&amp;IF(Raw_Data!L560="","Revenue imputed; ","")&amp;IF(Raw_Data!J560&lt;0,"Clicks corrected; ",""))</f>
        <v/>
      </c>
    </row>
    <row r="561" customFormat="false" ht="15" hidden="false" customHeight="true" outlineLevel="0" collapsed="false">
      <c r="A561" s="11" t="n">
        <f aca="false">Raw_Data!A561</f>
        <v>1607</v>
      </c>
      <c r="B561" s="11" t="str">
        <f aca="false">PROPER(TRIM(Raw_Data!B561))</f>
        <v>Summer Glow Launch</v>
      </c>
      <c r="C561" s="11" t="str">
        <f aca="false">IFERROR(INDEX(Lookup_Tables!$B$2:$B$26,MATCH(UPPER(TRIM(Raw_Data!C561)),Lookup_Tables!$C$2:$C$26,0)),"Unknown")</f>
        <v>YouTube</v>
      </c>
      <c r="D561" s="12" t="n">
        <f aca="false">IFERROR(IF(ISNUMBER(SEARCH("/",Raw_Data!D561)),DATE(VALUE(RIGHT(Raw_Data!D561,4)),VALUE(MID(Raw_Data!D561,FIND("/",Raw_Data!D561)+1,FIND("/",Raw_Data!D561,FIND("/",Raw_Data!D561)+1)-FIND("/",Raw_Data!D561)-1)),VALUE(LEFT(Raw_Data!D561,FIND("/",Raw_Data!D561)-1))),IF(ISNUMBER(VALUE(LEFT(Raw_Data!D561,4))),DATE(VALUE(LEFT(Raw_Data!D561,4)),VALUE(MID(Raw_Data!D561,6,2)),VALUE(MID(Raw_Data!D561,9,2))),DATEVALUE(Raw_Data!D561))),"")</f>
        <v>45334</v>
      </c>
      <c r="E561" s="12" t="n">
        <f aca="false">IFERROR(IF(ISNUMBER(SEARCH("/",Raw_Data!E561)),DATE(VALUE(RIGHT(Raw_Data!E561,4)),VALUE(MID(Raw_Data!E561,FIND("/",Raw_Data!E561)+1,FIND("/",Raw_Data!E561,FIND("/",Raw_Data!E561)+1)-FIND("/",Raw_Data!E561)-1)),VALUE(LEFT(Raw_Data!E561,FIND("/",Raw_Data!E561)-1))),IF(ISNUMBER(VALUE(LEFT(Raw_Data!E561,4))),DATE(VALUE(LEFT(Raw_Data!E561,4)),VALUE(MID(Raw_Data!E561,6,2)),VALUE(MID(Raw_Data!E561,9,2))),DATEVALUE(Raw_Data!E561))),"")</f>
        <v>45352</v>
      </c>
      <c r="F561" s="11" t="str">
        <f aca="false">Raw_Data!F561</f>
        <v>Female 35-44</v>
      </c>
      <c r="G561" s="11" t="str">
        <f aca="false">IF(TRIM(Raw_Data!G561)="","Unspecified",IFERROR(INDEX(Lookup_Tables!$F$2:$F$24,MATCH(UPPER(TRIM(Raw_Data!G561)),Lookup_Tables!$G$2:$G$24,0)),"Unknown"))</f>
        <v>South</v>
      </c>
      <c r="H561" s="11" t="n">
        <f aca="false">IF(Raw_Data!H561="",ROUND(AVERAGEIFS(Raw_Data!$H$2:$H$839,Raw_Data!$C$2:$C$839,Raw_Data!C561),2),Raw_Data!H561)</f>
        <v>19203.6</v>
      </c>
      <c r="I561" s="11" t="n">
        <f aca="false">Raw_Data!I561</f>
        <v>594100</v>
      </c>
      <c r="J561" s="11" t="n">
        <f aca="false">IF(Raw_Data!J561&lt;0,ABS(Raw_Data!J561),Raw_Data!J561)</f>
        <v>4081</v>
      </c>
      <c r="K561" s="11" t="n">
        <f aca="false">Raw_Data!K561</f>
        <v>68</v>
      </c>
      <c r="L561" s="11" t="n">
        <f aca="false">IF(Raw_Data!L561="",ROUND(AVERAGEIFS(Raw_Data!$L$2:$L$839,Raw_Data!$C$2:$C$839,Raw_Data!C561),2),Raw_Data!L561)</f>
        <v>77446.63</v>
      </c>
      <c r="M561" s="13" t="n">
        <f aca="false">IFERROR(J561/I561,0)</f>
        <v>0.00686921393704764</v>
      </c>
      <c r="N561" s="14" t="n">
        <f aca="false">IFERROR(H561/J561,0)</f>
        <v>4.70561136976231</v>
      </c>
      <c r="O561" s="14" t="n">
        <f aca="false">IFERROR(H561/K561,0)</f>
        <v>282.405882352941</v>
      </c>
      <c r="P561" s="15" t="n">
        <f aca="false">IFERROR(L561/H561,0)</f>
        <v>4.03292247286967</v>
      </c>
      <c r="Q561" s="13" t="n">
        <f aca="false">IFERROR(K561/J561,0)</f>
        <v>0.0166625827003186</v>
      </c>
      <c r="R561" s="11" t="str">
        <f aca="false">IF(COUNTIF($A$2:A561,A561)&gt;1,"Duplicate - Remove","Unique")</f>
        <v>Unique</v>
      </c>
      <c r="S561" s="11" t="str">
        <f aca="false">TRIM(IF(Raw_Data!G561="","Region missing; ","")&amp;IF(Raw_Data!H561="","Spend imputed; ","")&amp;IF(Raw_Data!L561="","Revenue imputed; ","")&amp;IF(Raw_Data!J561&lt;0,"Clicks corrected; ",""))</f>
        <v/>
      </c>
    </row>
    <row r="562" customFormat="false" ht="15" hidden="false" customHeight="true" outlineLevel="0" collapsed="false">
      <c r="A562" s="11" t="n">
        <f aca="false">Raw_Data!A562</f>
        <v>1720</v>
      </c>
      <c r="B562" s="11" t="str">
        <f aca="false">PROPER(TRIM(Raw_Data!B562))</f>
        <v>Anti-Ageing Serum Push</v>
      </c>
      <c r="C562" s="11" t="str">
        <f aca="false">IFERROR(INDEX(Lookup_Tables!$B$2:$B$26,MATCH(UPPER(TRIM(Raw_Data!C562)),Lookup_Tables!$C$2:$C$26,0)),"Unknown")</f>
        <v>Google Ads</v>
      </c>
      <c r="D562" s="12" t="n">
        <f aca="false">IFERROR(IF(ISNUMBER(SEARCH("/",Raw_Data!D562)),DATE(VALUE(RIGHT(Raw_Data!D562,4)),VALUE(MID(Raw_Data!D562,FIND("/",Raw_Data!D562)+1,FIND("/",Raw_Data!D562,FIND("/",Raw_Data!D562)+1)-FIND("/",Raw_Data!D562)-1)),VALUE(LEFT(Raw_Data!D562,FIND("/",Raw_Data!D562)-1))),IF(ISNUMBER(VALUE(LEFT(Raw_Data!D562,4))),DATE(VALUE(LEFT(Raw_Data!D562,4)),VALUE(MID(Raw_Data!D562,6,2)),VALUE(MID(Raw_Data!D562,9,2))),DATEVALUE(Raw_Data!D562))),"")</f>
        <v>45403</v>
      </c>
      <c r="E562" s="12" t="n">
        <f aca="false">IFERROR(IF(ISNUMBER(SEARCH("/",Raw_Data!E562)),DATE(VALUE(RIGHT(Raw_Data!E562,4)),VALUE(MID(Raw_Data!E562,FIND("/",Raw_Data!E562)+1,FIND("/",Raw_Data!E562,FIND("/",Raw_Data!E562)+1)-FIND("/",Raw_Data!E562)-1)),VALUE(LEFT(Raw_Data!E562,FIND("/",Raw_Data!E562)-1))),IF(ISNUMBER(VALUE(LEFT(Raw_Data!E562,4))),DATE(VALUE(LEFT(Raw_Data!E562,4)),VALUE(MID(Raw_Data!E562,6,2)),VALUE(MID(Raw_Data!E562,9,2))),DATEVALUE(Raw_Data!E562))),"")</f>
        <v>45411</v>
      </c>
      <c r="F562" s="11" t="str">
        <f aca="false">Raw_Data!F562</f>
        <v>Female 35-44</v>
      </c>
      <c r="G562" s="11" t="str">
        <f aca="false">IF(TRIM(Raw_Data!G562)="","Unspecified",IFERROR(INDEX(Lookup_Tables!$F$2:$F$24,MATCH(UPPER(TRIM(Raw_Data!G562)),Lookup_Tables!$G$2:$G$24,0)),"Unknown"))</f>
        <v>South</v>
      </c>
      <c r="H562" s="11" t="n">
        <f aca="false">IF(Raw_Data!H562="",ROUND(AVERAGEIFS(Raw_Data!$H$2:$H$839,Raw_Data!$C$2:$C$839,Raw_Data!C562),2),Raw_Data!H562)</f>
        <v>37390.42</v>
      </c>
      <c r="I562" s="11" t="n">
        <f aca="false">Raw_Data!I562</f>
        <v>700976</v>
      </c>
      <c r="J562" s="11" t="n">
        <f aca="false">IF(Raw_Data!J562&lt;0,ABS(Raw_Data!J562),Raw_Data!J562)</f>
        <v>10598</v>
      </c>
      <c r="K562" s="11" t="n">
        <f aca="false">Raw_Data!K562</f>
        <v>122</v>
      </c>
      <c r="L562" s="11" t="n">
        <f aca="false">IF(Raw_Data!L562="",ROUND(AVERAGEIFS(Raw_Data!$L$2:$L$839,Raw_Data!$C$2:$C$839,Raw_Data!C562),2),Raw_Data!L562)</f>
        <v>112085.82</v>
      </c>
      <c r="M562" s="13" t="n">
        <f aca="false">IFERROR(J562/I562,0)</f>
        <v>0.0151189199059597</v>
      </c>
      <c r="N562" s="14" t="n">
        <f aca="false">IFERROR(H562/J562,0)</f>
        <v>3.52806378561993</v>
      </c>
      <c r="O562" s="14" t="n">
        <f aca="false">IFERROR(H562/K562,0)</f>
        <v>306.478852459016</v>
      </c>
      <c r="P562" s="15" t="n">
        <f aca="false">IFERROR(L562/H562,0)</f>
        <v>2.99771492269945</v>
      </c>
      <c r="Q562" s="13" t="n">
        <f aca="false">IFERROR(K562/J562,0)</f>
        <v>0.0115116059633893</v>
      </c>
      <c r="R562" s="11" t="str">
        <f aca="false">IF(COUNTIF($A$2:A562,A562)&gt;1,"Duplicate - Remove","Unique")</f>
        <v>Unique</v>
      </c>
      <c r="S562" s="11" t="str">
        <f aca="false">TRIM(IF(Raw_Data!G562="","Region missing; ","")&amp;IF(Raw_Data!H562="","Spend imputed; ","")&amp;IF(Raw_Data!L562="","Revenue imputed; ","")&amp;IF(Raw_Data!J562&lt;0,"Clicks corrected; ",""))</f>
        <v/>
      </c>
    </row>
    <row r="563" customFormat="false" ht="15" hidden="false" customHeight="true" outlineLevel="0" collapsed="false">
      <c r="A563" s="11" t="n">
        <f aca="false">Raw_Data!A563</f>
        <v>1011</v>
      </c>
      <c r="B563" s="11" t="str">
        <f aca="false">PROPER(TRIM(Raw_Data!B563))</f>
        <v>Anti-Ageing Serum Push</v>
      </c>
      <c r="C563" s="11" t="str">
        <f aca="false">IFERROR(INDEX(Lookup_Tables!$B$2:$B$26,MATCH(UPPER(TRIM(Raw_Data!C563)),Lookup_Tables!$C$2:$C$26,0)),"Unknown")</f>
        <v>Instagram</v>
      </c>
      <c r="D563" s="12" t="n">
        <f aca="false">IFERROR(IF(ISNUMBER(SEARCH("/",Raw_Data!D563)),DATE(VALUE(RIGHT(Raw_Data!D563,4)),VALUE(MID(Raw_Data!D563,FIND("/",Raw_Data!D563)+1,FIND("/",Raw_Data!D563,FIND("/",Raw_Data!D563)+1)-FIND("/",Raw_Data!D563)-1)),VALUE(LEFT(Raw_Data!D563,FIND("/",Raw_Data!D563)-1))),IF(ISNUMBER(VALUE(LEFT(Raw_Data!D563,4))),DATE(VALUE(LEFT(Raw_Data!D563,4)),VALUE(MID(Raw_Data!D563,6,2)),VALUE(MID(Raw_Data!D563,9,2))),DATEVALUE(Raw_Data!D563))),"")</f>
        <v>45363</v>
      </c>
      <c r="E563" s="12" t="n">
        <f aca="false">IFERROR(IF(ISNUMBER(SEARCH("/",Raw_Data!E563)),DATE(VALUE(RIGHT(Raw_Data!E563,4)),VALUE(MID(Raw_Data!E563,FIND("/",Raw_Data!E563)+1,FIND("/",Raw_Data!E563,FIND("/",Raw_Data!E563)+1)-FIND("/",Raw_Data!E563)-1)),VALUE(LEFT(Raw_Data!E563,FIND("/",Raw_Data!E563)-1))),IF(ISNUMBER(VALUE(LEFT(Raw_Data!E563,4))),DATE(VALUE(LEFT(Raw_Data!E563,4)),VALUE(MID(Raw_Data!E563,6,2)),VALUE(MID(Raw_Data!E563,9,2))),DATEVALUE(Raw_Data!E563))),"")</f>
        <v>45381</v>
      </c>
      <c r="F563" s="11" t="str">
        <f aca="false">Raw_Data!F563</f>
        <v>Male 45+</v>
      </c>
      <c r="G563" s="11" t="str">
        <f aca="false">IF(TRIM(Raw_Data!G563)="","Unspecified",IFERROR(INDEX(Lookup_Tables!$F$2:$F$24,MATCH(UPPER(TRIM(Raw_Data!G563)),Lookup_Tables!$G$2:$G$24,0)),"Unknown"))</f>
        <v>North</v>
      </c>
      <c r="H563" s="11" t="n">
        <f aca="false">IF(Raw_Data!H563="",ROUND(AVERAGEIFS(Raw_Data!$H$2:$H$839,Raw_Data!$C$2:$C$839,Raw_Data!C563),2),Raw_Data!H563)</f>
        <v>22484.35</v>
      </c>
      <c r="I563" s="11" t="n">
        <f aca="false">Raw_Data!I563</f>
        <v>477683</v>
      </c>
      <c r="J563" s="11" t="n">
        <f aca="false">IF(Raw_Data!J563&lt;0,ABS(Raw_Data!J563),Raw_Data!J563)</f>
        <v>15619</v>
      </c>
      <c r="K563" s="11" t="n">
        <f aca="false">Raw_Data!K563</f>
        <v>640</v>
      </c>
      <c r="L563" s="11" t="n">
        <f aca="false">IF(Raw_Data!L563="",ROUND(AVERAGEIFS(Raw_Data!$L$2:$L$839,Raw_Data!$C$2:$C$839,Raw_Data!C563),2),Raw_Data!L563)</f>
        <v>1023331.97</v>
      </c>
      <c r="M563" s="13" t="n">
        <f aca="false">IFERROR(J563/I563,0)</f>
        <v>0.0326974164875032</v>
      </c>
      <c r="N563" s="14" t="n">
        <f aca="false">IFERROR(H563/J563,0)</f>
        <v>1.43955118765606</v>
      </c>
      <c r="O563" s="14" t="n">
        <f aca="false">IFERROR(H563/K563,0)</f>
        <v>35.131796875</v>
      </c>
      <c r="P563" s="15" t="n">
        <f aca="false">IFERROR(L563/H563,0)</f>
        <v>45.5130777629774</v>
      </c>
      <c r="Q563" s="13" t="n">
        <f aca="false">IFERROR(K563/J563,0)</f>
        <v>0.0409757346821179</v>
      </c>
      <c r="R563" s="11" t="str">
        <f aca="false">IF(COUNTIF($A$2:A563,A563)&gt;1,"Duplicate - Remove","Unique")</f>
        <v>Unique</v>
      </c>
      <c r="S563" s="11" t="str">
        <f aca="false">TRIM(IF(Raw_Data!G563="","Region missing; ","")&amp;IF(Raw_Data!H563="","Spend imputed; ","")&amp;IF(Raw_Data!L563="","Revenue imputed; ","")&amp;IF(Raw_Data!J563&lt;0,"Clicks corrected; ",""))</f>
        <v/>
      </c>
    </row>
    <row r="564" customFormat="false" ht="15" hidden="false" customHeight="true" outlineLevel="0" collapsed="false">
      <c r="A564" s="11" t="n">
        <f aca="false">Raw_Data!A564</f>
        <v>1009</v>
      </c>
      <c r="B564" s="11" t="str">
        <f aca="false">PROPER(TRIM(Raw_Data!B564))</f>
        <v>Anti-Ageing Serum Push</v>
      </c>
      <c r="C564" s="11" t="str">
        <f aca="false">IFERROR(INDEX(Lookup_Tables!$B$2:$B$26,MATCH(UPPER(TRIM(Raw_Data!C564)),Lookup_Tables!$C$2:$C$26,0)),"Unknown")</f>
        <v>Facebook</v>
      </c>
      <c r="D564" s="12" t="n">
        <f aca="false">IFERROR(IF(ISNUMBER(SEARCH("/",Raw_Data!D564)),DATE(VALUE(RIGHT(Raw_Data!D564,4)),VALUE(MID(Raw_Data!D564,FIND("/",Raw_Data!D564)+1,FIND("/",Raw_Data!D564,FIND("/",Raw_Data!D564)+1)-FIND("/",Raw_Data!D564)-1)),VALUE(LEFT(Raw_Data!D564,FIND("/",Raw_Data!D564)-1))),IF(ISNUMBER(VALUE(LEFT(Raw_Data!D564,4))),DATE(VALUE(LEFT(Raw_Data!D564,4)),VALUE(MID(Raw_Data!D564,6,2)),VALUE(MID(Raw_Data!D564,9,2))),DATEVALUE(Raw_Data!D564))),"")</f>
        <v>45407</v>
      </c>
      <c r="E564" s="12" t="n">
        <f aca="false">IFERROR(IF(ISNUMBER(SEARCH("/",Raw_Data!E564)),DATE(VALUE(RIGHT(Raw_Data!E564,4)),VALUE(MID(Raw_Data!E564,FIND("/",Raw_Data!E564)+1,FIND("/",Raw_Data!E564,FIND("/",Raw_Data!E564)+1)-FIND("/",Raw_Data!E564)-1)),VALUE(LEFT(Raw_Data!E564,FIND("/",Raw_Data!E564)-1))),IF(ISNUMBER(VALUE(LEFT(Raw_Data!E564,4))),DATE(VALUE(LEFT(Raw_Data!E564,4)),VALUE(MID(Raw_Data!E564,6,2)),VALUE(MID(Raw_Data!E564,9,2))),DATEVALUE(Raw_Data!E564))),"")</f>
        <v>45414</v>
      </c>
      <c r="F564" s="11" t="str">
        <f aca="false">Raw_Data!F564</f>
        <v>Male 18-24</v>
      </c>
      <c r="G564" s="11" t="str">
        <f aca="false">IF(TRIM(Raw_Data!G564)="","Unspecified",IFERROR(INDEX(Lookup_Tables!$F$2:$F$24,MATCH(UPPER(TRIM(Raw_Data!G564)),Lookup_Tables!$G$2:$G$24,0)),"Unknown"))</f>
        <v>West</v>
      </c>
      <c r="H564" s="11" t="n">
        <f aca="false">IF(Raw_Data!H564="",ROUND(AVERAGEIFS(Raw_Data!$H$2:$H$839,Raw_Data!$C$2:$C$839,Raw_Data!C564),2),Raw_Data!H564)</f>
        <v>6925.51</v>
      </c>
      <c r="I564" s="11" t="n">
        <f aca="false">Raw_Data!I564</f>
        <v>199787</v>
      </c>
      <c r="J564" s="11" t="n">
        <f aca="false">IF(Raw_Data!J564&lt;0,ABS(Raw_Data!J564),Raw_Data!J564)</f>
        <v>4525</v>
      </c>
      <c r="K564" s="11" t="n">
        <f aca="false">Raw_Data!K564</f>
        <v>47</v>
      </c>
      <c r="L564" s="11" t="n">
        <f aca="false">IF(Raw_Data!L564="",ROUND(AVERAGEIFS(Raw_Data!$L$2:$L$839,Raw_Data!$C$2:$C$839,Raw_Data!C564),2),Raw_Data!L564)</f>
        <v>64689.36</v>
      </c>
      <c r="M564" s="13" t="n">
        <f aca="false">IFERROR(J564/I564,0)</f>
        <v>0.0226491213141996</v>
      </c>
      <c r="N564" s="14" t="n">
        <f aca="false">IFERROR(H564/J564,0)</f>
        <v>1.53049944751381</v>
      </c>
      <c r="O564" s="14" t="n">
        <f aca="false">IFERROR(H564/K564,0)</f>
        <v>147.351276595745</v>
      </c>
      <c r="P564" s="15" t="n">
        <f aca="false">IFERROR(L564/H564,0)</f>
        <v>9.34073591692164</v>
      </c>
      <c r="Q564" s="13" t="n">
        <f aca="false">IFERROR(K564/J564,0)</f>
        <v>0.0103867403314917</v>
      </c>
      <c r="R564" s="11" t="str">
        <f aca="false">IF(COUNTIF($A$2:A564,A564)&gt;1,"Duplicate - Remove","Unique")</f>
        <v>Unique</v>
      </c>
      <c r="S564" s="11" t="str">
        <f aca="false">TRIM(IF(Raw_Data!G564="","Region missing; ","")&amp;IF(Raw_Data!H564="","Spend imputed; ","")&amp;IF(Raw_Data!L564="","Revenue imputed; ","")&amp;IF(Raw_Data!J564&lt;0,"Clicks corrected; ",""))</f>
        <v/>
      </c>
    </row>
    <row r="565" customFormat="false" ht="15" hidden="false" customHeight="true" outlineLevel="0" collapsed="false">
      <c r="A565" s="11" t="n">
        <f aca="false">Raw_Data!A565</f>
        <v>1538</v>
      </c>
      <c r="B565" s="11" t="str">
        <f aca="false">PROPER(TRIM(Raw_Data!B565))</f>
        <v>Anti-Ageing Serum Push</v>
      </c>
      <c r="C565" s="11" t="str">
        <f aca="false">IFERROR(INDEX(Lookup_Tables!$B$2:$B$26,MATCH(UPPER(TRIM(Raw_Data!C565)),Lookup_Tables!$C$2:$C$26,0)),"Unknown")</f>
        <v>Email</v>
      </c>
      <c r="D565" s="12" t="n">
        <f aca="false">IFERROR(IF(ISNUMBER(SEARCH("/",Raw_Data!D565)),DATE(VALUE(RIGHT(Raw_Data!D565,4)),VALUE(MID(Raw_Data!D565,FIND("/",Raw_Data!D565)+1,FIND("/",Raw_Data!D565,FIND("/",Raw_Data!D565)+1)-FIND("/",Raw_Data!D565)-1)),VALUE(LEFT(Raw_Data!D565,FIND("/",Raw_Data!D565)-1))),IF(ISNUMBER(VALUE(LEFT(Raw_Data!D565,4))),DATE(VALUE(LEFT(Raw_Data!D565,4)),VALUE(MID(Raw_Data!D565,6,2)),VALUE(MID(Raw_Data!D565,9,2))),DATEVALUE(Raw_Data!D565))),"")</f>
        <v>45508</v>
      </c>
      <c r="E565" s="12" t="n">
        <f aca="false">IFERROR(IF(ISNUMBER(SEARCH("/",Raw_Data!E565)),DATE(VALUE(RIGHT(Raw_Data!E565,4)),VALUE(MID(Raw_Data!E565,FIND("/",Raw_Data!E565)+1,FIND("/",Raw_Data!E565,FIND("/",Raw_Data!E565)+1)-FIND("/",Raw_Data!E565)-1)),VALUE(LEFT(Raw_Data!E565,FIND("/",Raw_Data!E565)-1))),IF(ISNUMBER(VALUE(LEFT(Raw_Data!E565,4))),DATE(VALUE(LEFT(Raw_Data!E565,4)),VALUE(MID(Raw_Data!E565,6,2)),VALUE(MID(Raw_Data!E565,9,2))),DATEVALUE(Raw_Data!E565))),"")</f>
        <v>45519</v>
      </c>
      <c r="F565" s="11" t="str">
        <f aca="false">Raw_Data!F565</f>
        <v>Female 45+</v>
      </c>
      <c r="G565" s="11" t="str">
        <f aca="false">IF(TRIM(Raw_Data!G565)="","Unspecified",IFERROR(INDEX(Lookup_Tables!$F$2:$F$24,MATCH(UPPER(TRIM(Raw_Data!G565)),Lookup_Tables!$G$2:$G$24,0)),"Unknown"))</f>
        <v>East</v>
      </c>
      <c r="H565" s="11" t="n">
        <f aca="false">IF(Raw_Data!H565="",ROUND(AVERAGEIFS(Raw_Data!$H$2:$H$839,Raw_Data!$C$2:$C$839,Raw_Data!C565),2),Raw_Data!H565)</f>
        <v>2326.15</v>
      </c>
      <c r="I565" s="11" t="n">
        <f aca="false">Raw_Data!I565</f>
        <v>45164</v>
      </c>
      <c r="J565" s="11" t="n">
        <f aca="false">IF(Raw_Data!J565&lt;0,ABS(Raw_Data!J565),Raw_Data!J565)</f>
        <v>599</v>
      </c>
      <c r="K565" s="11" t="n">
        <f aca="false">Raw_Data!K565</f>
        <v>31</v>
      </c>
      <c r="L565" s="11" t="n">
        <f aca="false">IF(Raw_Data!L565="",ROUND(AVERAGEIFS(Raw_Data!$L$2:$L$839,Raw_Data!$C$2:$C$839,Raw_Data!C565),2),Raw_Data!L565)</f>
        <v>34161.9</v>
      </c>
      <c r="M565" s="13" t="n">
        <f aca="false">IFERROR(J565/I565,0)</f>
        <v>0.0132627756620317</v>
      </c>
      <c r="N565" s="14" t="n">
        <f aca="false">IFERROR(H565/J565,0)</f>
        <v>3.88338898163606</v>
      </c>
      <c r="O565" s="14" t="n">
        <f aca="false">IFERROR(H565/K565,0)</f>
        <v>75.0370967741936</v>
      </c>
      <c r="P565" s="15" t="n">
        <f aca="false">IFERROR(L565/H565,0)</f>
        <v>14.6860262665778</v>
      </c>
      <c r="Q565" s="13" t="n">
        <f aca="false">IFERROR(K565/J565,0)</f>
        <v>0.0517529215358932</v>
      </c>
      <c r="R565" s="11" t="str">
        <f aca="false">IF(COUNTIF($A$2:A565,A565)&gt;1,"Duplicate - Remove","Unique")</f>
        <v>Unique</v>
      </c>
      <c r="S565" s="11" t="str">
        <f aca="false">TRIM(IF(Raw_Data!G565="","Region missing; ","")&amp;IF(Raw_Data!H565="","Spend imputed; ","")&amp;IF(Raw_Data!L565="","Revenue imputed; ","")&amp;IF(Raw_Data!J565&lt;0,"Clicks corrected; ",""))</f>
        <v/>
      </c>
    </row>
    <row r="566" customFormat="false" ht="15" hidden="false" customHeight="true" outlineLevel="0" collapsed="false">
      <c r="A566" s="11" t="n">
        <f aca="false">Raw_Data!A566</f>
        <v>1576</v>
      </c>
      <c r="B566" s="11" t="str">
        <f aca="false">PROPER(TRIM(Raw_Data!B566))</f>
        <v>Clearance Sale Push</v>
      </c>
      <c r="C566" s="11" t="str">
        <f aca="false">IFERROR(INDEX(Lookup_Tables!$B$2:$B$26,MATCH(UPPER(TRIM(Raw_Data!C566)),Lookup_Tables!$C$2:$C$26,0)),"Unknown")</f>
        <v>YouTube</v>
      </c>
      <c r="D566" s="12" t="n">
        <f aca="false">IFERROR(IF(ISNUMBER(SEARCH("/",Raw_Data!D566)),DATE(VALUE(RIGHT(Raw_Data!D566,4)),VALUE(MID(Raw_Data!D566,FIND("/",Raw_Data!D566)+1,FIND("/",Raw_Data!D566,FIND("/",Raw_Data!D566)+1)-FIND("/",Raw_Data!D566)-1)),VALUE(LEFT(Raw_Data!D566,FIND("/",Raw_Data!D566)-1))),IF(ISNUMBER(VALUE(LEFT(Raw_Data!D566,4))),DATE(VALUE(LEFT(Raw_Data!D566,4)),VALUE(MID(Raw_Data!D566,6,2)),VALUE(MID(Raw_Data!D566,9,2))),DATEVALUE(Raw_Data!D566))),"")</f>
        <v>45487</v>
      </c>
      <c r="E566" s="12" t="n">
        <f aca="false">IFERROR(IF(ISNUMBER(SEARCH("/",Raw_Data!E566)),DATE(VALUE(RIGHT(Raw_Data!E566,4)),VALUE(MID(Raw_Data!E566,FIND("/",Raw_Data!E566)+1,FIND("/",Raw_Data!E566,FIND("/",Raw_Data!E566)+1)-FIND("/",Raw_Data!E566)-1)),VALUE(LEFT(Raw_Data!E566,FIND("/",Raw_Data!E566)-1))),IF(ISNUMBER(VALUE(LEFT(Raw_Data!E566,4))),DATE(VALUE(LEFT(Raw_Data!E566,4)),VALUE(MID(Raw_Data!E566,6,2)),VALUE(MID(Raw_Data!E566,9,2))),DATEVALUE(Raw_Data!E566))),"")</f>
        <v>45516</v>
      </c>
      <c r="F566" s="11" t="str">
        <f aca="false">Raw_Data!F566</f>
        <v>Female 35-44</v>
      </c>
      <c r="G566" s="11" t="str">
        <f aca="false">IF(TRIM(Raw_Data!G566)="","Unspecified",IFERROR(INDEX(Lookup_Tables!$F$2:$F$24,MATCH(UPPER(TRIM(Raw_Data!G566)),Lookup_Tables!$G$2:$G$24,0)),"Unknown"))</f>
        <v>Central</v>
      </c>
      <c r="H566" s="11" t="n">
        <f aca="false">IF(Raw_Data!H566="",ROUND(AVERAGEIFS(Raw_Data!$H$2:$H$839,Raw_Data!$C$2:$C$839,Raw_Data!C566),2),Raw_Data!H566)</f>
        <v>20883.37</v>
      </c>
      <c r="I566" s="11" t="n">
        <f aca="false">Raw_Data!I566</f>
        <v>353613</v>
      </c>
      <c r="J566" s="11" t="n">
        <f aca="false">IF(Raw_Data!J566&lt;0,ABS(Raw_Data!J566),Raw_Data!J566)</f>
        <v>11692</v>
      </c>
      <c r="K566" s="11" t="n">
        <f aca="false">Raw_Data!K566</f>
        <v>300</v>
      </c>
      <c r="L566" s="11" t="n">
        <f aca="false">IF(Raw_Data!L566="",ROUND(AVERAGEIFS(Raw_Data!$L$2:$L$839,Raw_Data!$C$2:$C$839,Raw_Data!C566),2),Raw_Data!L566)</f>
        <v>324020.71</v>
      </c>
      <c r="M566" s="13" t="n">
        <f aca="false">IFERROR(J566/I566,0)</f>
        <v>0.0330643952569617</v>
      </c>
      <c r="N566" s="14" t="n">
        <f aca="false">IFERROR(H566/J566,0)</f>
        <v>1.78612470065002</v>
      </c>
      <c r="O566" s="14" t="n">
        <f aca="false">IFERROR(H566/K566,0)</f>
        <v>69.6112333333333</v>
      </c>
      <c r="P566" s="15" t="n">
        <f aca="false">IFERROR(L566/H566,0)</f>
        <v>15.5157290226625</v>
      </c>
      <c r="Q566" s="13" t="n">
        <f aca="false">IFERROR(K566/J566,0)</f>
        <v>0.0256585699623674</v>
      </c>
      <c r="R566" s="11" t="str">
        <f aca="false">IF(COUNTIF($A$2:A566,A566)&gt;1,"Duplicate - Remove","Unique")</f>
        <v>Unique</v>
      </c>
      <c r="S566" s="11" t="str">
        <f aca="false">TRIM(IF(Raw_Data!G566="","Region missing; ","")&amp;IF(Raw_Data!H566="","Spend imputed; ","")&amp;IF(Raw_Data!L566="","Revenue imputed; ","")&amp;IF(Raw_Data!J566&lt;0,"Clicks corrected; ",""))</f>
        <v/>
      </c>
    </row>
    <row r="567" customFormat="false" ht="15" hidden="false" customHeight="true" outlineLevel="0" collapsed="false">
      <c r="A567" s="11" t="n">
        <f aca="false">Raw_Data!A567</f>
        <v>1623</v>
      </c>
      <c r="B567" s="11" t="str">
        <f aca="false">PROPER(TRIM(Raw_Data!B567))</f>
        <v>Hair Care Revamp</v>
      </c>
      <c r="C567" s="11" t="str">
        <f aca="false">IFERROR(INDEX(Lookup_Tables!$B$2:$B$26,MATCH(UPPER(TRIM(Raw_Data!C567)),Lookup_Tables!$C$2:$C$26,0)),"Unknown")</f>
        <v>Google Ads</v>
      </c>
      <c r="D567" s="12" t="n">
        <f aca="false">IFERROR(IF(ISNUMBER(SEARCH("/",Raw_Data!D567)),DATE(VALUE(RIGHT(Raw_Data!D567,4)),VALUE(MID(Raw_Data!D567,FIND("/",Raw_Data!D567)+1,FIND("/",Raw_Data!D567,FIND("/",Raw_Data!D567)+1)-FIND("/",Raw_Data!D567)-1)),VALUE(LEFT(Raw_Data!D567,FIND("/",Raw_Data!D567)-1))),IF(ISNUMBER(VALUE(LEFT(Raw_Data!D567,4))),DATE(VALUE(LEFT(Raw_Data!D567,4)),VALUE(MID(Raw_Data!D567,6,2)),VALUE(MID(Raw_Data!D567,9,2))),DATEVALUE(Raw_Data!D567))),"")</f>
        <v>45617</v>
      </c>
      <c r="E567" s="12" t="n">
        <f aca="false">IFERROR(IF(ISNUMBER(SEARCH("/",Raw_Data!E567)),DATE(VALUE(RIGHT(Raw_Data!E567,4)),VALUE(MID(Raw_Data!E567,FIND("/",Raw_Data!E567)+1,FIND("/",Raw_Data!E567,FIND("/",Raw_Data!E567)+1)-FIND("/",Raw_Data!E567)-1)),VALUE(LEFT(Raw_Data!E567,FIND("/",Raw_Data!E567)-1))),IF(ISNUMBER(VALUE(LEFT(Raw_Data!E567,4))),DATE(VALUE(LEFT(Raw_Data!E567,4)),VALUE(MID(Raw_Data!E567,6,2)),VALUE(MID(Raw_Data!E567,9,2))),DATEVALUE(Raw_Data!E567))),"")</f>
        <v>45623</v>
      </c>
      <c r="F567" s="11" t="str">
        <f aca="false">Raw_Data!F567</f>
        <v>Male 25-34</v>
      </c>
      <c r="G567" s="11" t="str">
        <f aca="false">IF(TRIM(Raw_Data!G567)="","Unspecified",IFERROR(INDEX(Lookup_Tables!$F$2:$F$24,MATCH(UPPER(TRIM(Raw_Data!G567)),Lookup_Tables!$G$2:$G$24,0)),"Unknown"))</f>
        <v>West</v>
      </c>
      <c r="H567" s="11" t="n">
        <f aca="false">IF(Raw_Data!H567="",ROUND(AVERAGEIFS(Raw_Data!$H$2:$H$839,Raw_Data!$C$2:$C$839,Raw_Data!C567),2),Raw_Data!H567)</f>
        <v>17817.83</v>
      </c>
      <c r="I567" s="11" t="n">
        <f aca="false">Raw_Data!I567</f>
        <v>593291</v>
      </c>
      <c r="J567" s="11" t="n">
        <f aca="false">IF(Raw_Data!J567&lt;0,ABS(Raw_Data!J567),Raw_Data!J567)</f>
        <v>12422</v>
      </c>
      <c r="K567" s="11" t="n">
        <f aca="false">Raw_Data!K567</f>
        <v>468</v>
      </c>
      <c r="L567" s="11" t="n">
        <f aca="false">IF(Raw_Data!L567="",ROUND(AVERAGEIFS(Raw_Data!$L$2:$L$839,Raw_Data!$C$2:$C$839,Raw_Data!C567),2),Raw_Data!L567)</f>
        <v>282713.55</v>
      </c>
      <c r="M567" s="13" t="n">
        <f aca="false">IFERROR(J567/I567,0)</f>
        <v>0.0209374489078715</v>
      </c>
      <c r="N567" s="14" t="n">
        <f aca="false">IFERROR(H567/J567,0)</f>
        <v>1.43437691193045</v>
      </c>
      <c r="O567" s="14" t="n">
        <f aca="false">IFERROR(H567/K567,0)</f>
        <v>38.0722863247863</v>
      </c>
      <c r="P567" s="15" t="n">
        <f aca="false">IFERROR(L567/H567,0)</f>
        <v>15.8668900758398</v>
      </c>
      <c r="Q567" s="13" t="n">
        <f aca="false">IFERROR(K567/J567,0)</f>
        <v>0.0376750925776848</v>
      </c>
      <c r="R567" s="11" t="str">
        <f aca="false">IF(COUNTIF($A$2:A567,A567)&gt;1,"Duplicate - Remove","Unique")</f>
        <v>Unique</v>
      </c>
      <c r="S567" s="11" t="str">
        <f aca="false">TRIM(IF(Raw_Data!G567="","Region missing; ","")&amp;IF(Raw_Data!H567="","Spend imputed; ","")&amp;IF(Raw_Data!L567="","Revenue imputed; ","")&amp;IF(Raw_Data!J567&lt;0,"Clicks corrected; ",""))</f>
        <v/>
      </c>
    </row>
    <row r="568" customFormat="false" ht="15" hidden="false" customHeight="true" outlineLevel="0" collapsed="false">
      <c r="A568" s="11" t="n">
        <f aca="false">Raw_Data!A568</f>
        <v>1473</v>
      </c>
      <c r="B568" s="11" t="str">
        <f aca="false">PROPER(TRIM(Raw_Data!B568))</f>
        <v>Ayurvedic Range Launch</v>
      </c>
      <c r="C568" s="11" t="str">
        <f aca="false">IFERROR(INDEX(Lookup_Tables!$B$2:$B$26,MATCH(UPPER(TRIM(Raw_Data!C568)),Lookup_Tables!$C$2:$C$26,0)),"Unknown")</f>
        <v>Google Ads</v>
      </c>
      <c r="D568" s="12" t="n">
        <f aca="false">IFERROR(IF(ISNUMBER(SEARCH("/",Raw_Data!D568)),DATE(VALUE(RIGHT(Raw_Data!D568,4)),VALUE(MID(Raw_Data!D568,FIND("/",Raw_Data!D568)+1,FIND("/",Raw_Data!D568,FIND("/",Raw_Data!D568)+1)-FIND("/",Raw_Data!D568)-1)),VALUE(LEFT(Raw_Data!D568,FIND("/",Raw_Data!D568)-1))),IF(ISNUMBER(VALUE(LEFT(Raw_Data!D568,4))),DATE(VALUE(LEFT(Raw_Data!D568,4)),VALUE(MID(Raw_Data!D568,6,2)),VALUE(MID(Raw_Data!D568,9,2))),DATEVALUE(Raw_Data!D568))),"")</f>
        <v>45549</v>
      </c>
      <c r="E568" s="12" t="n">
        <f aca="false">IFERROR(IF(ISNUMBER(SEARCH("/",Raw_Data!E568)),DATE(VALUE(RIGHT(Raw_Data!E568,4)),VALUE(MID(Raw_Data!E568,FIND("/",Raw_Data!E568)+1,FIND("/",Raw_Data!E568,FIND("/",Raw_Data!E568)+1)-FIND("/",Raw_Data!E568)-1)),VALUE(LEFT(Raw_Data!E568,FIND("/",Raw_Data!E568)-1))),IF(ISNUMBER(VALUE(LEFT(Raw_Data!E568,4))),DATE(VALUE(LEFT(Raw_Data!E568,4)),VALUE(MID(Raw_Data!E568,6,2)),VALUE(MID(Raw_Data!E568,9,2))),DATEVALUE(Raw_Data!E568))),"")</f>
        <v>45563</v>
      </c>
      <c r="F568" s="11" t="str">
        <f aca="false">Raw_Data!F568</f>
        <v>Male 45+</v>
      </c>
      <c r="G568" s="11" t="str">
        <f aca="false">IF(TRIM(Raw_Data!G568)="","Unspecified",IFERROR(INDEX(Lookup_Tables!$F$2:$F$24,MATCH(UPPER(TRIM(Raw_Data!G568)),Lookup_Tables!$G$2:$G$24,0)),"Unknown"))</f>
        <v>South</v>
      </c>
      <c r="H568" s="11" t="n">
        <f aca="false">IF(Raw_Data!H568="",ROUND(AVERAGEIFS(Raw_Data!$H$2:$H$839,Raw_Data!$C$2:$C$839,Raw_Data!C568),2),Raw_Data!H568)</f>
        <v>76683.14</v>
      </c>
      <c r="I568" s="11" t="n">
        <f aca="false">Raw_Data!I568</f>
        <v>2148267</v>
      </c>
      <c r="J568" s="11" t="n">
        <f aca="false">IF(Raw_Data!J568&lt;0,ABS(Raw_Data!J568),Raw_Data!J568)</f>
        <v>57045</v>
      </c>
      <c r="K568" s="11" t="n">
        <f aca="false">Raw_Data!K568</f>
        <v>4259</v>
      </c>
      <c r="L568" s="11" t="n">
        <f aca="false">IF(Raw_Data!L568="",ROUND(AVERAGEIFS(Raw_Data!$L$2:$L$839,Raw_Data!$C$2:$C$839,Raw_Data!C568),2),Raw_Data!L568)</f>
        <v>2903394.16</v>
      </c>
      <c r="M568" s="13" t="n">
        <f aca="false">IFERROR(J568/I568,0)</f>
        <v>0.0265539618678684</v>
      </c>
      <c r="N568" s="14" t="n">
        <f aca="false">IFERROR(H568/J568,0)</f>
        <v>1.34425699009554</v>
      </c>
      <c r="O568" s="14" t="n">
        <f aca="false">IFERROR(H568/K568,0)</f>
        <v>18.0049636064804</v>
      </c>
      <c r="P568" s="15" t="n">
        <f aca="false">IFERROR(L568/H568,0)</f>
        <v>37.8622231692651</v>
      </c>
      <c r="Q568" s="13" t="n">
        <f aca="false">IFERROR(K568/J568,0)</f>
        <v>0.0746603558594092</v>
      </c>
      <c r="R568" s="11" t="str">
        <f aca="false">IF(COUNTIF($A$2:A568,A568)&gt;1,"Duplicate - Remove","Unique")</f>
        <v>Unique</v>
      </c>
      <c r="S568" s="11" t="str">
        <f aca="false">TRIM(IF(Raw_Data!G568="","Region missing; ","")&amp;IF(Raw_Data!H568="","Spend imputed; ","")&amp;IF(Raw_Data!L568="","Revenue imputed; ","")&amp;IF(Raw_Data!J568&lt;0,"Clicks corrected; ",""))</f>
        <v/>
      </c>
    </row>
    <row r="569" customFormat="false" ht="15" hidden="false" customHeight="true" outlineLevel="0" collapsed="false">
      <c r="A569" s="11" t="n">
        <f aca="false">Raw_Data!A569</f>
        <v>1098</v>
      </c>
      <c r="B569" s="11" t="str">
        <f aca="false">PROPER(TRIM(Raw_Data!B569))</f>
        <v>Influencer Collab - Skincare</v>
      </c>
      <c r="C569" s="11" t="str">
        <f aca="false">IFERROR(INDEX(Lookup_Tables!$B$2:$B$26,MATCH(UPPER(TRIM(Raw_Data!C569)),Lookup_Tables!$C$2:$C$26,0)),"Unknown")</f>
        <v>YouTube</v>
      </c>
      <c r="D569" s="12" t="n">
        <f aca="false">IFERROR(IF(ISNUMBER(SEARCH("/",Raw_Data!D569)),DATE(VALUE(RIGHT(Raw_Data!D569,4)),VALUE(MID(Raw_Data!D569,FIND("/",Raw_Data!D569)+1,FIND("/",Raw_Data!D569,FIND("/",Raw_Data!D569)+1)-FIND("/",Raw_Data!D569)-1)),VALUE(LEFT(Raw_Data!D569,FIND("/",Raw_Data!D569)-1))),IF(ISNUMBER(VALUE(LEFT(Raw_Data!D569,4))),DATE(VALUE(LEFT(Raw_Data!D569,4)),VALUE(MID(Raw_Data!D569,6,2)),VALUE(MID(Raw_Data!D569,9,2))),DATEVALUE(Raw_Data!D569))),"")</f>
        <v>45318</v>
      </c>
      <c r="E569" s="12" t="n">
        <f aca="false">IFERROR(IF(ISNUMBER(SEARCH("/",Raw_Data!E569)),DATE(VALUE(RIGHT(Raw_Data!E569,4)),VALUE(MID(Raw_Data!E569,FIND("/",Raw_Data!E569)+1,FIND("/",Raw_Data!E569,FIND("/",Raw_Data!E569)+1)-FIND("/",Raw_Data!E569)-1)),VALUE(LEFT(Raw_Data!E569,FIND("/",Raw_Data!E569)-1))),IF(ISNUMBER(VALUE(LEFT(Raw_Data!E569,4))),DATE(VALUE(LEFT(Raw_Data!E569,4)),VALUE(MID(Raw_Data!E569,6,2)),VALUE(MID(Raw_Data!E569,9,2))),DATEVALUE(Raw_Data!E569))),"")</f>
        <v>45341</v>
      </c>
      <c r="F569" s="11" t="str">
        <f aca="false">Raw_Data!F569</f>
        <v>Male 18-24</v>
      </c>
      <c r="G569" s="11" t="str">
        <f aca="false">IF(TRIM(Raw_Data!G569)="","Unspecified",IFERROR(INDEX(Lookup_Tables!$F$2:$F$24,MATCH(UPPER(TRIM(Raw_Data!G569)),Lookup_Tables!$G$2:$G$24,0)),"Unknown"))</f>
        <v>North</v>
      </c>
      <c r="H569" s="11" t="n">
        <f aca="false">IF(Raw_Data!H569="",ROUND(AVERAGEIFS(Raw_Data!$H$2:$H$839,Raw_Data!$C$2:$C$839,Raw_Data!C569),2),Raw_Data!H569)</f>
        <v>27788.4</v>
      </c>
      <c r="I569" s="11" t="n">
        <f aca="false">Raw_Data!I569</f>
        <v>853816</v>
      </c>
      <c r="J569" s="11" t="n">
        <f aca="false">IF(Raw_Data!J569&lt;0,ABS(Raw_Data!J569),Raw_Data!J569)</f>
        <v>20143</v>
      </c>
      <c r="K569" s="11" t="n">
        <f aca="false">Raw_Data!K569</f>
        <v>1387</v>
      </c>
      <c r="L569" s="11" t="n">
        <f aca="false">IF(Raw_Data!L569="",ROUND(AVERAGEIFS(Raw_Data!$L$2:$L$839,Raw_Data!$C$2:$C$839,Raw_Data!C569),2),Raw_Data!L569)</f>
        <v>782649.12</v>
      </c>
      <c r="M569" s="13" t="n">
        <f aca="false">IFERROR(J569/I569,0)</f>
        <v>0.0235917340504277</v>
      </c>
      <c r="N569" s="14" t="n">
        <f aca="false">IFERROR(H569/J569,0)</f>
        <v>1.37955617336047</v>
      </c>
      <c r="O569" s="14" t="n">
        <f aca="false">IFERROR(H569/K569,0)</f>
        <v>20.0348954578226</v>
      </c>
      <c r="P569" s="15" t="n">
        <f aca="false">IFERROR(L569/H569,0)</f>
        <v>28.1645981776569</v>
      </c>
      <c r="Q569" s="13" t="n">
        <f aca="false">IFERROR(K569/J569,0)</f>
        <v>0.0688576676761158</v>
      </c>
      <c r="R569" s="11" t="str">
        <f aca="false">IF(COUNTIF($A$2:A569,A569)&gt;1,"Duplicate - Remove","Unique")</f>
        <v>Unique</v>
      </c>
      <c r="S569" s="11" t="str">
        <f aca="false">TRIM(IF(Raw_Data!G569="","Region missing; ","")&amp;IF(Raw_Data!H569="","Spend imputed; ","")&amp;IF(Raw_Data!L569="","Revenue imputed; ","")&amp;IF(Raw_Data!J569&lt;0,"Clicks corrected; ",""))</f>
        <v/>
      </c>
    </row>
    <row r="570" customFormat="false" ht="15" hidden="false" customHeight="true" outlineLevel="0" collapsed="false">
      <c r="A570" s="11" t="n">
        <f aca="false">Raw_Data!A570</f>
        <v>1399</v>
      </c>
      <c r="B570" s="11" t="str">
        <f aca="false">PROPER(TRIM(Raw_Data!B570))</f>
        <v>Ayurvedic Range Launch</v>
      </c>
      <c r="C570" s="11" t="str">
        <f aca="false">IFERROR(INDEX(Lookup_Tables!$B$2:$B$26,MATCH(UPPER(TRIM(Raw_Data!C570)),Lookup_Tables!$C$2:$C$26,0)),"Unknown")</f>
        <v>Email</v>
      </c>
      <c r="D570" s="12" t="n">
        <f aca="false">IFERROR(IF(ISNUMBER(SEARCH("/",Raw_Data!D570)),DATE(VALUE(RIGHT(Raw_Data!D570,4)),VALUE(MID(Raw_Data!D570,FIND("/",Raw_Data!D570)+1,FIND("/",Raw_Data!D570,FIND("/",Raw_Data!D570)+1)-FIND("/",Raw_Data!D570)-1)),VALUE(LEFT(Raw_Data!D570,FIND("/",Raw_Data!D570)-1))),IF(ISNUMBER(VALUE(LEFT(Raw_Data!D570,4))),DATE(VALUE(LEFT(Raw_Data!D570,4)),VALUE(MID(Raw_Data!D570,6,2)),VALUE(MID(Raw_Data!D570,9,2))),DATEVALUE(Raw_Data!D570))),"")</f>
        <v>45490</v>
      </c>
      <c r="E570" s="12" t="n">
        <f aca="false">IFERROR(IF(ISNUMBER(SEARCH("/",Raw_Data!E570)),DATE(VALUE(RIGHT(Raw_Data!E570,4)),VALUE(MID(Raw_Data!E570,FIND("/",Raw_Data!E570)+1,FIND("/",Raw_Data!E570,FIND("/",Raw_Data!E570)+1)-FIND("/",Raw_Data!E570)-1)),VALUE(LEFT(Raw_Data!E570,FIND("/",Raw_Data!E570)-1))),IF(ISNUMBER(VALUE(LEFT(Raw_Data!E570,4))),DATE(VALUE(LEFT(Raw_Data!E570,4)),VALUE(MID(Raw_Data!E570,6,2)),VALUE(MID(Raw_Data!E570,9,2))),DATEVALUE(Raw_Data!E570))),"")</f>
        <v>45502</v>
      </c>
      <c r="F570" s="11" t="str">
        <f aca="false">Raw_Data!F570</f>
        <v>Female 45+</v>
      </c>
      <c r="G570" s="11" t="str">
        <f aca="false">IF(TRIM(Raw_Data!G570)="","Unspecified",IFERROR(INDEX(Lookup_Tables!$F$2:$F$24,MATCH(UPPER(TRIM(Raw_Data!G570)),Lookup_Tables!$G$2:$G$24,0)),"Unknown"))</f>
        <v>East</v>
      </c>
      <c r="H570" s="11" t="n">
        <f aca="false">IF(Raw_Data!H570="",ROUND(AVERAGEIFS(Raw_Data!$H$2:$H$839,Raw_Data!$C$2:$C$839,Raw_Data!C570),2),Raw_Data!H570)</f>
        <v>3372.99</v>
      </c>
      <c r="I570" s="11" t="n">
        <f aca="false">Raw_Data!I570</f>
        <v>54458</v>
      </c>
      <c r="J570" s="11" t="n">
        <f aca="false">IF(Raw_Data!J570&lt;0,ABS(Raw_Data!J570),Raw_Data!J570)</f>
        <v>1367</v>
      </c>
      <c r="K570" s="11" t="n">
        <f aca="false">Raw_Data!K570</f>
        <v>56</v>
      </c>
      <c r="L570" s="11" t="n">
        <f aca="false">IF(Raw_Data!L570="",ROUND(AVERAGEIFS(Raw_Data!$L$2:$L$839,Raw_Data!$C$2:$C$839,Raw_Data!C570),2),Raw_Data!L570)</f>
        <v>42122.86</v>
      </c>
      <c r="M570" s="13" t="n">
        <f aca="false">IFERROR(J570/I570,0)</f>
        <v>0.0251019134011532</v>
      </c>
      <c r="N570" s="14" t="n">
        <f aca="false">IFERROR(H570/J570,0)</f>
        <v>2.46743964886613</v>
      </c>
      <c r="O570" s="14" t="n">
        <f aca="false">IFERROR(H570/K570,0)</f>
        <v>60.2319642857143</v>
      </c>
      <c r="P570" s="15" t="n">
        <f aca="false">IFERROR(L570/H570,0)</f>
        <v>12.488284874844</v>
      </c>
      <c r="Q570" s="13" t="n">
        <f aca="false">IFERROR(K570/J570,0)</f>
        <v>0.0409656181419166</v>
      </c>
      <c r="R570" s="11" t="str">
        <f aca="false">IF(COUNTIF($A$2:A570,A570)&gt;1,"Duplicate - Remove","Unique")</f>
        <v>Unique</v>
      </c>
      <c r="S570" s="11" t="str">
        <f aca="false">TRIM(IF(Raw_Data!G570="","Region missing; ","")&amp;IF(Raw_Data!H570="","Spend imputed; ","")&amp;IF(Raw_Data!L570="","Revenue imputed; ","")&amp;IF(Raw_Data!J570&lt;0,"Clicks corrected; ",""))</f>
        <v/>
      </c>
    </row>
    <row r="571" customFormat="false" ht="15" hidden="false" customHeight="true" outlineLevel="0" collapsed="false">
      <c r="A571" s="11" t="n">
        <f aca="false">Raw_Data!A571</f>
        <v>1336</v>
      </c>
      <c r="B571" s="11" t="str">
        <f aca="false">PROPER(TRIM(Raw_Data!B571))</f>
        <v>Sunscreen Season Campaign</v>
      </c>
      <c r="C571" s="11" t="str">
        <f aca="false">IFERROR(INDEX(Lookup_Tables!$B$2:$B$26,MATCH(UPPER(TRIM(Raw_Data!C571)),Lookup_Tables!$C$2:$C$26,0)),"Unknown")</f>
        <v>Facebook</v>
      </c>
      <c r="D571" s="12" t="n">
        <f aca="false">IFERROR(IF(ISNUMBER(SEARCH("/",Raw_Data!D571)),DATE(VALUE(RIGHT(Raw_Data!D571,4)),VALUE(MID(Raw_Data!D571,FIND("/",Raw_Data!D571)+1,FIND("/",Raw_Data!D571,FIND("/",Raw_Data!D571)+1)-FIND("/",Raw_Data!D571)-1)),VALUE(LEFT(Raw_Data!D571,FIND("/",Raw_Data!D571)-1))),IF(ISNUMBER(VALUE(LEFT(Raw_Data!D571,4))),DATE(VALUE(LEFT(Raw_Data!D571,4)),VALUE(MID(Raw_Data!D571,6,2)),VALUE(MID(Raw_Data!D571,9,2))),DATEVALUE(Raw_Data!D571))),"")</f>
        <v>45337</v>
      </c>
      <c r="E571" s="12" t="n">
        <f aca="false">IFERROR(IF(ISNUMBER(SEARCH("/",Raw_Data!E571)),DATE(VALUE(RIGHT(Raw_Data!E571,4)),VALUE(MID(Raw_Data!E571,FIND("/",Raw_Data!E571)+1,FIND("/",Raw_Data!E571,FIND("/",Raw_Data!E571)+1)-FIND("/",Raw_Data!E571)-1)),VALUE(LEFT(Raw_Data!E571,FIND("/",Raw_Data!E571)-1))),IF(ISNUMBER(VALUE(LEFT(Raw_Data!E571,4))),DATE(VALUE(LEFT(Raw_Data!E571,4)),VALUE(MID(Raw_Data!E571,6,2)),VALUE(MID(Raw_Data!E571,9,2))),DATEVALUE(Raw_Data!E571))),"")</f>
        <v>45342</v>
      </c>
      <c r="F571" s="11" t="str">
        <f aca="false">Raw_Data!F571</f>
        <v>Female 45+</v>
      </c>
      <c r="G571" s="11" t="str">
        <f aca="false">IF(TRIM(Raw_Data!G571)="","Unspecified",IFERROR(INDEX(Lookup_Tables!$F$2:$F$24,MATCH(UPPER(TRIM(Raw_Data!G571)),Lookup_Tables!$G$2:$G$24,0)),"Unknown"))</f>
        <v>East</v>
      </c>
      <c r="H571" s="11" t="n">
        <f aca="false">IF(Raw_Data!H571="",ROUND(AVERAGEIFS(Raw_Data!$H$2:$H$839,Raw_Data!$C$2:$C$839,Raw_Data!C571),2),Raw_Data!H571)</f>
        <v>34107.46</v>
      </c>
      <c r="I571" s="11" t="n">
        <f aca="false">Raw_Data!I571</f>
        <v>744675</v>
      </c>
      <c r="J571" s="11" t="n">
        <f aca="false">IF(Raw_Data!J571&lt;0,ABS(Raw_Data!J571),Raw_Data!J571)</f>
        <v>7630</v>
      </c>
      <c r="K571" s="11" t="n">
        <f aca="false">Raw_Data!K571</f>
        <v>323</v>
      </c>
      <c r="L571" s="11" t="n">
        <f aca="false">IF(Raw_Data!L571="",ROUND(AVERAGEIFS(Raw_Data!$L$2:$L$839,Raw_Data!$C$2:$C$839,Raw_Data!C571),2),Raw_Data!L571)</f>
        <v>379033.61</v>
      </c>
      <c r="M571" s="13" t="n">
        <f aca="false">IFERROR(J571/I571,0)</f>
        <v>0.0102460805049183</v>
      </c>
      <c r="N571" s="14" t="n">
        <f aca="false">IFERROR(H571/J571,0)</f>
        <v>4.47017824377457</v>
      </c>
      <c r="O571" s="14" t="n">
        <f aca="false">IFERROR(H571/K571,0)</f>
        <v>105.595851393189</v>
      </c>
      <c r="P571" s="15" t="n">
        <f aca="false">IFERROR(L571/H571,0)</f>
        <v>11.1129239761624</v>
      </c>
      <c r="Q571" s="13" t="n">
        <f aca="false">IFERROR(K571/J571,0)</f>
        <v>0.0423328964613368</v>
      </c>
      <c r="R571" s="11" t="str">
        <f aca="false">IF(COUNTIF($A$2:A571,A571)&gt;1,"Duplicate - Remove","Unique")</f>
        <v>Unique</v>
      </c>
      <c r="S571" s="11" t="str">
        <f aca="false">TRIM(IF(Raw_Data!G571="","Region missing; ","")&amp;IF(Raw_Data!H571="","Spend imputed; ","")&amp;IF(Raw_Data!L571="","Revenue imputed; ","")&amp;IF(Raw_Data!J571&lt;0,"Clicks corrected; ",""))</f>
        <v/>
      </c>
    </row>
    <row r="572" customFormat="false" ht="15" hidden="false" customHeight="true" outlineLevel="0" collapsed="false">
      <c r="A572" s="11" t="n">
        <f aca="false">Raw_Data!A572</f>
        <v>1509</v>
      </c>
      <c r="B572" s="11" t="str">
        <f aca="false">PROPER(TRIM(Raw_Data!B572))</f>
        <v>Sunscreen Season Campaign</v>
      </c>
      <c r="C572" s="11" t="str">
        <f aca="false">IFERROR(INDEX(Lookup_Tables!$B$2:$B$26,MATCH(UPPER(TRIM(Raw_Data!C572)),Lookup_Tables!$C$2:$C$26,0)),"Unknown")</f>
        <v>Instagram</v>
      </c>
      <c r="D572" s="12" t="n">
        <f aca="false">IFERROR(IF(ISNUMBER(SEARCH("/",Raw_Data!D572)),DATE(VALUE(RIGHT(Raw_Data!D572,4)),VALUE(MID(Raw_Data!D572,FIND("/",Raw_Data!D572)+1,FIND("/",Raw_Data!D572,FIND("/",Raw_Data!D572)+1)-FIND("/",Raw_Data!D572)-1)),VALUE(LEFT(Raw_Data!D572,FIND("/",Raw_Data!D572)-1))),IF(ISNUMBER(VALUE(LEFT(Raw_Data!D572,4))),DATE(VALUE(LEFT(Raw_Data!D572,4)),VALUE(MID(Raw_Data!D572,6,2)),VALUE(MID(Raw_Data!D572,9,2))),DATEVALUE(Raw_Data!D572))),"")</f>
        <v>45517</v>
      </c>
      <c r="E572" s="12" t="n">
        <f aca="false">IFERROR(IF(ISNUMBER(SEARCH("/",Raw_Data!E572)),DATE(VALUE(RIGHT(Raw_Data!E572,4)),VALUE(MID(Raw_Data!E572,FIND("/",Raw_Data!E572)+1,FIND("/",Raw_Data!E572,FIND("/",Raw_Data!E572)+1)-FIND("/",Raw_Data!E572)-1)),VALUE(LEFT(Raw_Data!E572,FIND("/",Raw_Data!E572)-1))),IF(ISNUMBER(VALUE(LEFT(Raw_Data!E572,4))),DATE(VALUE(LEFT(Raw_Data!E572,4)),VALUE(MID(Raw_Data!E572,6,2)),VALUE(MID(Raw_Data!E572,9,2))),DATEVALUE(Raw_Data!E572))),"")</f>
        <v>45533</v>
      </c>
      <c r="F572" s="11" t="str">
        <f aca="false">Raw_Data!F572</f>
        <v>Female 35-44</v>
      </c>
      <c r="G572" s="11" t="str">
        <f aca="false">IF(TRIM(Raw_Data!G572)="","Unspecified",IFERROR(INDEX(Lookup_Tables!$F$2:$F$24,MATCH(UPPER(TRIM(Raw_Data!G572)),Lookup_Tables!$G$2:$G$24,0)),"Unknown"))</f>
        <v>West</v>
      </c>
      <c r="H572" s="11" t="n">
        <f aca="false">IF(Raw_Data!H572="",ROUND(AVERAGEIFS(Raw_Data!$H$2:$H$839,Raw_Data!$C$2:$C$839,Raw_Data!C572),2),Raw_Data!H572)</f>
        <v>51931.45</v>
      </c>
      <c r="I572" s="11" t="n">
        <f aca="false">Raw_Data!I572</f>
        <v>2014998</v>
      </c>
      <c r="J572" s="11" t="n">
        <f aca="false">IF(Raw_Data!J572&lt;0,ABS(Raw_Data!J572),Raw_Data!J572)</f>
        <v>32664</v>
      </c>
      <c r="K572" s="11" t="n">
        <f aca="false">Raw_Data!K572</f>
        <v>1886</v>
      </c>
      <c r="L572" s="11" t="n">
        <f aca="false">IF(Raw_Data!L572="",ROUND(AVERAGEIFS(Raw_Data!$L$2:$L$839,Raw_Data!$C$2:$C$839,Raw_Data!C572),2),Raw_Data!L572)</f>
        <v>2043700.76</v>
      </c>
      <c r="M572" s="13" t="n">
        <f aca="false">IFERROR(J572/I572,0)</f>
        <v>0.016210437925993</v>
      </c>
      <c r="N572" s="14" t="n">
        <f aca="false">IFERROR(H572/J572,0)</f>
        <v>1.5898680504531</v>
      </c>
      <c r="O572" s="14" t="n">
        <f aca="false">IFERROR(H572/K572,0)</f>
        <v>27.5352332979852</v>
      </c>
      <c r="P572" s="15" t="n">
        <f aca="false">IFERROR(L572/H572,0)</f>
        <v>39.3538166178684</v>
      </c>
      <c r="Q572" s="13" t="n">
        <f aca="false">IFERROR(K572/J572,0)</f>
        <v>0.057739407298555</v>
      </c>
      <c r="R572" s="11" t="str">
        <f aca="false">IF(COUNTIF($A$2:A572,A572)&gt;1,"Duplicate - Remove","Unique")</f>
        <v>Unique</v>
      </c>
      <c r="S572" s="11" t="str">
        <f aca="false">TRIM(IF(Raw_Data!G572="","Region missing; ","")&amp;IF(Raw_Data!H572="","Spend imputed; ","")&amp;IF(Raw_Data!L572="","Revenue imputed; ","")&amp;IF(Raw_Data!J572&lt;0,"Clicks corrected; ",""))</f>
        <v/>
      </c>
    </row>
    <row r="573" customFormat="false" ht="15" hidden="false" customHeight="true" outlineLevel="0" collapsed="false">
      <c r="A573" s="11" t="n">
        <f aca="false">Raw_Data!A573</f>
        <v>1630</v>
      </c>
      <c r="B573" s="11" t="str">
        <f aca="false">PROPER(TRIM(Raw_Data!B573))</f>
        <v>Men'S Grooming Drive</v>
      </c>
      <c r="C573" s="11" t="str">
        <f aca="false">IFERROR(INDEX(Lookup_Tables!$B$2:$B$26,MATCH(UPPER(TRIM(Raw_Data!C573)),Lookup_Tables!$C$2:$C$26,0)),"Unknown")</f>
        <v>Instagram</v>
      </c>
      <c r="D573" s="12" t="n">
        <f aca="false">IFERROR(IF(ISNUMBER(SEARCH("/",Raw_Data!D573)),DATE(VALUE(RIGHT(Raw_Data!D573,4)),VALUE(MID(Raw_Data!D573,FIND("/",Raw_Data!D573)+1,FIND("/",Raw_Data!D573,FIND("/",Raw_Data!D573)+1)-FIND("/",Raw_Data!D573)-1)),VALUE(LEFT(Raw_Data!D573,FIND("/",Raw_Data!D573)-1))),IF(ISNUMBER(VALUE(LEFT(Raw_Data!D573,4))),DATE(VALUE(LEFT(Raw_Data!D573,4)),VALUE(MID(Raw_Data!D573,6,2)),VALUE(MID(Raw_Data!D573,9,2))),DATEVALUE(Raw_Data!D573))),"")</f>
        <v>45506</v>
      </c>
      <c r="E573" s="12" t="n">
        <f aca="false">IFERROR(IF(ISNUMBER(SEARCH("/",Raw_Data!E573)),DATE(VALUE(RIGHT(Raw_Data!E573,4)),VALUE(MID(Raw_Data!E573,FIND("/",Raw_Data!E573)+1,FIND("/",Raw_Data!E573,FIND("/",Raw_Data!E573)+1)-FIND("/",Raw_Data!E573)-1)),VALUE(LEFT(Raw_Data!E573,FIND("/",Raw_Data!E573)-1))),IF(ISNUMBER(VALUE(LEFT(Raw_Data!E573,4))),DATE(VALUE(LEFT(Raw_Data!E573,4)),VALUE(MID(Raw_Data!E573,6,2)),VALUE(MID(Raw_Data!E573,9,2))),DATEVALUE(Raw_Data!E573))),"")</f>
        <v>45530</v>
      </c>
      <c r="F573" s="11" t="str">
        <f aca="false">Raw_Data!F573</f>
        <v>Male 18-24</v>
      </c>
      <c r="G573" s="11" t="str">
        <f aca="false">IF(TRIM(Raw_Data!G573)="","Unspecified",IFERROR(INDEX(Lookup_Tables!$F$2:$F$24,MATCH(UPPER(TRIM(Raw_Data!G573)),Lookup_Tables!$G$2:$G$24,0)),"Unknown"))</f>
        <v>West</v>
      </c>
      <c r="H573" s="11" t="n">
        <f aca="false">IF(Raw_Data!H573="",ROUND(AVERAGEIFS(Raw_Data!$H$2:$H$839,Raw_Data!$C$2:$C$839,Raw_Data!C573),2),Raw_Data!H573)</f>
        <v>24608.98</v>
      </c>
      <c r="I573" s="11" t="n">
        <f aca="false">Raw_Data!I573</f>
        <v>592568</v>
      </c>
      <c r="J573" s="11" t="n">
        <f aca="false">IF(Raw_Data!J573&lt;0,ABS(Raw_Data!J573),Raw_Data!J573)</f>
        <v>4840</v>
      </c>
      <c r="K573" s="11" t="n">
        <f aca="false">Raw_Data!K573</f>
        <v>348</v>
      </c>
      <c r="L573" s="11" t="n">
        <f aca="false">IF(Raw_Data!L573="",ROUND(AVERAGEIFS(Raw_Data!$L$2:$L$839,Raw_Data!$C$2:$C$839,Raw_Data!C573),2),Raw_Data!L573)</f>
        <v>606336.8</v>
      </c>
      <c r="M573" s="13" t="n">
        <f aca="false">IFERROR(J573/I573,0)</f>
        <v>0.00816783896531706</v>
      </c>
      <c r="N573" s="14" t="n">
        <f aca="false">IFERROR(H573/J573,0)</f>
        <v>5.0845</v>
      </c>
      <c r="O573" s="14" t="n">
        <f aca="false">IFERROR(H573/K573,0)</f>
        <v>70.715459770115</v>
      </c>
      <c r="P573" s="15" t="n">
        <f aca="false">IFERROR(L573/H573,0)</f>
        <v>24.6388432190201</v>
      </c>
      <c r="Q573" s="13" t="n">
        <f aca="false">IFERROR(K573/J573,0)</f>
        <v>0.071900826446281</v>
      </c>
      <c r="R573" s="11" t="str">
        <f aca="false">IF(COUNTIF($A$2:A573,A573)&gt;1,"Duplicate - Remove","Unique")</f>
        <v>Unique</v>
      </c>
      <c r="S573" s="11" t="str">
        <f aca="false">TRIM(IF(Raw_Data!G573="","Region missing; ","")&amp;IF(Raw_Data!H573="","Spend imputed; ","")&amp;IF(Raw_Data!L573="","Revenue imputed; ","")&amp;IF(Raw_Data!J573&lt;0,"Clicks corrected; ",""))</f>
        <v/>
      </c>
    </row>
    <row r="574" customFormat="false" ht="15" hidden="false" customHeight="true" outlineLevel="0" collapsed="false">
      <c r="A574" s="11" t="n">
        <f aca="false">Raw_Data!A574</f>
        <v>1086</v>
      </c>
      <c r="B574" s="11" t="str">
        <f aca="false">PROPER(TRIM(Raw_Data!B574))</f>
        <v>Anti-Ageing Serum Push</v>
      </c>
      <c r="C574" s="11" t="str">
        <f aca="false">IFERROR(INDEX(Lookup_Tables!$B$2:$B$26,MATCH(UPPER(TRIM(Raw_Data!C574)),Lookup_Tables!$C$2:$C$26,0)),"Unknown")</f>
        <v>Google Ads</v>
      </c>
      <c r="D574" s="12" t="n">
        <f aca="false">IFERROR(IF(ISNUMBER(SEARCH("/",Raw_Data!D574)),DATE(VALUE(RIGHT(Raw_Data!D574,4)),VALUE(MID(Raw_Data!D574,FIND("/",Raw_Data!D574)+1,FIND("/",Raw_Data!D574,FIND("/",Raw_Data!D574)+1)-FIND("/",Raw_Data!D574)-1)),VALUE(LEFT(Raw_Data!D574,FIND("/",Raw_Data!D574)-1))),IF(ISNUMBER(VALUE(LEFT(Raw_Data!D574,4))),DATE(VALUE(LEFT(Raw_Data!D574,4)),VALUE(MID(Raw_Data!D574,6,2)),VALUE(MID(Raw_Data!D574,9,2))),DATEVALUE(Raw_Data!D574))),"")</f>
        <v>45519</v>
      </c>
      <c r="E574" s="12" t="n">
        <f aca="false">IFERROR(IF(ISNUMBER(SEARCH("/",Raw_Data!E574)),DATE(VALUE(RIGHT(Raw_Data!E574,4)),VALUE(MID(Raw_Data!E574,FIND("/",Raw_Data!E574)+1,FIND("/",Raw_Data!E574,FIND("/",Raw_Data!E574)+1)-FIND("/",Raw_Data!E574)-1)),VALUE(LEFT(Raw_Data!E574,FIND("/",Raw_Data!E574)-1))),IF(ISNUMBER(VALUE(LEFT(Raw_Data!E574,4))),DATE(VALUE(LEFT(Raw_Data!E574,4)),VALUE(MID(Raw_Data!E574,6,2)),VALUE(MID(Raw_Data!E574,9,2))),DATEVALUE(Raw_Data!E574))),"")</f>
        <v>45548</v>
      </c>
      <c r="F574" s="11" t="str">
        <f aca="false">Raw_Data!F574</f>
        <v>Male 35-44</v>
      </c>
      <c r="G574" s="11" t="str">
        <f aca="false">IF(TRIM(Raw_Data!G574)="","Unspecified",IFERROR(INDEX(Lookup_Tables!$F$2:$F$24,MATCH(UPPER(TRIM(Raw_Data!G574)),Lookup_Tables!$G$2:$G$24,0)),"Unknown"))</f>
        <v>South</v>
      </c>
      <c r="H574" s="11" t="n">
        <f aca="false">IF(Raw_Data!H574="",ROUND(AVERAGEIFS(Raw_Data!$H$2:$H$839,Raw_Data!$C$2:$C$839,Raw_Data!C574),2),Raw_Data!H574)</f>
        <v>50174.52</v>
      </c>
      <c r="I574" s="11" t="n">
        <f aca="false">Raw_Data!I574</f>
        <v>1416752</v>
      </c>
      <c r="J574" s="11" t="n">
        <f aca="false">IF(Raw_Data!J574&lt;0,ABS(Raw_Data!J574),Raw_Data!J574)</f>
        <v>24001</v>
      </c>
      <c r="K574" s="11" t="n">
        <f aca="false">Raw_Data!K574</f>
        <v>1331</v>
      </c>
      <c r="L574" s="11" t="n">
        <f aca="false">IF(Raw_Data!L574="",ROUND(AVERAGEIFS(Raw_Data!$L$2:$L$839,Raw_Data!$C$2:$C$839,Raw_Data!C574),2),Raw_Data!L574)</f>
        <v>947588.01</v>
      </c>
      <c r="M574" s="13" t="n">
        <f aca="false">IFERROR(J574/I574,0)</f>
        <v>0.0169408619151411</v>
      </c>
      <c r="N574" s="14" t="n">
        <f aca="false">IFERROR(H574/J574,0)</f>
        <v>2.0905178950877</v>
      </c>
      <c r="O574" s="14" t="n">
        <f aca="false">IFERROR(H574/K574,0)</f>
        <v>37.6968595041322</v>
      </c>
      <c r="P574" s="15" t="n">
        <f aca="false">IFERROR(L574/H574,0)</f>
        <v>18.8858410603629</v>
      </c>
      <c r="Q574" s="13" t="n">
        <f aca="false">IFERROR(K574/J574,0)</f>
        <v>0.0554560226657223</v>
      </c>
      <c r="R574" s="11" t="str">
        <f aca="false">IF(COUNTIF($A$2:A574,A574)&gt;1,"Duplicate - Remove","Unique")</f>
        <v>Duplicate - Remove</v>
      </c>
      <c r="S574" s="11" t="str">
        <f aca="false">TRIM(IF(Raw_Data!G574="","Region missing; ","")&amp;IF(Raw_Data!H574="","Spend imputed; ","")&amp;IF(Raw_Data!L574="","Revenue imputed; ","")&amp;IF(Raw_Data!J574&lt;0,"Clicks corrected; ",""))</f>
        <v/>
      </c>
    </row>
    <row r="575" customFormat="false" ht="15" hidden="false" customHeight="true" outlineLevel="0" collapsed="false">
      <c r="A575" s="11" t="n">
        <f aca="false">Raw_Data!A575</f>
        <v>1794</v>
      </c>
      <c r="B575" s="11" t="str">
        <f aca="false">PROPER(TRIM(Raw_Data!B575))</f>
        <v>Monsoon Skincare Push</v>
      </c>
      <c r="C575" s="11" t="str">
        <f aca="false">IFERROR(INDEX(Lookup_Tables!$B$2:$B$26,MATCH(UPPER(TRIM(Raw_Data!C575)),Lookup_Tables!$C$2:$C$26,0)),"Unknown")</f>
        <v>Facebook</v>
      </c>
      <c r="D575" s="12" t="n">
        <f aca="false">IFERROR(IF(ISNUMBER(SEARCH("/",Raw_Data!D575)),DATE(VALUE(RIGHT(Raw_Data!D575,4)),VALUE(MID(Raw_Data!D575,FIND("/",Raw_Data!D575)+1,FIND("/",Raw_Data!D575,FIND("/",Raw_Data!D575)+1)-FIND("/",Raw_Data!D575)-1)),VALUE(LEFT(Raw_Data!D575,FIND("/",Raw_Data!D575)-1))),IF(ISNUMBER(VALUE(LEFT(Raw_Data!D575,4))),DATE(VALUE(LEFT(Raw_Data!D575,4)),VALUE(MID(Raw_Data!D575,6,2)),VALUE(MID(Raw_Data!D575,9,2))),DATEVALUE(Raw_Data!D575))),"")</f>
        <v>45371</v>
      </c>
      <c r="E575" s="12" t="n">
        <f aca="false">IFERROR(IF(ISNUMBER(SEARCH("/",Raw_Data!E575)),DATE(VALUE(RIGHT(Raw_Data!E575,4)),VALUE(MID(Raw_Data!E575,FIND("/",Raw_Data!E575)+1,FIND("/",Raw_Data!E575,FIND("/",Raw_Data!E575)+1)-FIND("/",Raw_Data!E575)-1)),VALUE(LEFT(Raw_Data!E575,FIND("/",Raw_Data!E575)-1))),IF(ISNUMBER(VALUE(LEFT(Raw_Data!E575,4))),DATE(VALUE(LEFT(Raw_Data!E575,4)),VALUE(MID(Raw_Data!E575,6,2)),VALUE(MID(Raw_Data!E575,9,2))),DATEVALUE(Raw_Data!E575))),"")</f>
        <v>45379</v>
      </c>
      <c r="F575" s="11" t="str">
        <f aca="false">Raw_Data!F575</f>
        <v>Female 25-34</v>
      </c>
      <c r="G575" s="11" t="str">
        <f aca="false">IF(TRIM(Raw_Data!G575)="","Unspecified",IFERROR(INDEX(Lookup_Tables!$F$2:$F$24,MATCH(UPPER(TRIM(Raw_Data!G575)),Lookup_Tables!$G$2:$G$24,0)),"Unknown"))</f>
        <v>Central</v>
      </c>
      <c r="H575" s="11" t="n">
        <f aca="false">IF(Raw_Data!H575="",ROUND(AVERAGEIFS(Raw_Data!$H$2:$H$839,Raw_Data!$C$2:$C$839,Raw_Data!C575),2),Raw_Data!H575)</f>
        <v>47957.76</v>
      </c>
      <c r="I575" s="11" t="n">
        <f aca="false">Raw_Data!I575</f>
        <v>798475</v>
      </c>
      <c r="J575" s="11" t="n">
        <f aca="false">IF(Raw_Data!J575&lt;0,ABS(Raw_Data!J575),Raw_Data!J575)</f>
        <v>22445</v>
      </c>
      <c r="K575" s="11" t="n">
        <f aca="false">Raw_Data!K575</f>
        <v>1416</v>
      </c>
      <c r="L575" s="11" t="n">
        <f aca="false">IF(Raw_Data!L575="",ROUND(AVERAGEIFS(Raw_Data!$L$2:$L$839,Raw_Data!$C$2:$C$839,Raw_Data!C575),2),Raw_Data!L575)</f>
        <v>1050068.93</v>
      </c>
      <c r="M575" s="13" t="n">
        <f aca="false">IFERROR(J575/I575,0)</f>
        <v>0.0281098343717712</v>
      </c>
      <c r="N575" s="14" t="n">
        <f aca="false">IFERROR(H575/J575,0)</f>
        <v>2.13667899309423</v>
      </c>
      <c r="O575" s="14" t="n">
        <f aca="false">IFERROR(H575/K575,0)</f>
        <v>33.8684745762712</v>
      </c>
      <c r="P575" s="15" t="n">
        <f aca="false">IFERROR(L575/H575,0)</f>
        <v>21.8957042614167</v>
      </c>
      <c r="Q575" s="13" t="n">
        <f aca="false">IFERROR(K575/J575,0)</f>
        <v>0.0630875473379372</v>
      </c>
      <c r="R575" s="11" t="str">
        <f aca="false">IF(COUNTIF($A$2:A575,A575)&gt;1,"Duplicate - Remove","Unique")</f>
        <v>Duplicate - Remove</v>
      </c>
      <c r="S575" s="11" t="str">
        <f aca="false">TRIM(IF(Raw_Data!G575="","Region missing; ","")&amp;IF(Raw_Data!H575="","Spend imputed; ","")&amp;IF(Raw_Data!L575="","Revenue imputed; ","")&amp;IF(Raw_Data!J575&lt;0,"Clicks corrected; ",""))</f>
        <v/>
      </c>
    </row>
    <row r="576" customFormat="false" ht="15" hidden="false" customHeight="true" outlineLevel="0" collapsed="false">
      <c r="A576" s="11" t="n">
        <f aca="false">Raw_Data!A576</f>
        <v>1036</v>
      </c>
      <c r="B576" s="11" t="str">
        <f aca="false">PROPER(TRIM(Raw_Data!B576))</f>
        <v>Monsoon Skincare Push</v>
      </c>
      <c r="C576" s="11" t="str">
        <f aca="false">IFERROR(INDEX(Lookup_Tables!$B$2:$B$26,MATCH(UPPER(TRIM(Raw_Data!C576)),Lookup_Tables!$C$2:$C$26,0)),"Unknown")</f>
        <v>Facebook</v>
      </c>
      <c r="D576" s="12" t="n">
        <f aca="false">IFERROR(IF(ISNUMBER(SEARCH("/",Raw_Data!D576)),DATE(VALUE(RIGHT(Raw_Data!D576,4)),VALUE(MID(Raw_Data!D576,FIND("/",Raw_Data!D576)+1,FIND("/",Raw_Data!D576,FIND("/",Raw_Data!D576)+1)-FIND("/",Raw_Data!D576)-1)),VALUE(LEFT(Raw_Data!D576,FIND("/",Raw_Data!D576)-1))),IF(ISNUMBER(VALUE(LEFT(Raw_Data!D576,4))),DATE(VALUE(LEFT(Raw_Data!D576,4)),VALUE(MID(Raw_Data!D576,6,2)),VALUE(MID(Raw_Data!D576,9,2))),DATEVALUE(Raw_Data!D576))),"")</f>
        <v>45433</v>
      </c>
      <c r="E576" s="12" t="n">
        <f aca="false">IFERROR(IF(ISNUMBER(SEARCH("/",Raw_Data!E576)),DATE(VALUE(RIGHT(Raw_Data!E576,4)),VALUE(MID(Raw_Data!E576,FIND("/",Raw_Data!E576)+1,FIND("/",Raw_Data!E576,FIND("/",Raw_Data!E576)+1)-FIND("/",Raw_Data!E576)-1)),VALUE(LEFT(Raw_Data!E576,FIND("/",Raw_Data!E576)-1))),IF(ISNUMBER(VALUE(LEFT(Raw_Data!E576,4))),DATE(VALUE(LEFT(Raw_Data!E576,4)),VALUE(MID(Raw_Data!E576,6,2)),VALUE(MID(Raw_Data!E576,9,2))),DATEVALUE(Raw_Data!E576))),"")</f>
        <v>45461</v>
      </c>
      <c r="F576" s="11" t="str">
        <f aca="false">Raw_Data!F576</f>
        <v>Male 45+</v>
      </c>
      <c r="G576" s="11" t="str">
        <f aca="false">IF(TRIM(Raw_Data!G576)="","Unspecified",IFERROR(INDEX(Lookup_Tables!$F$2:$F$24,MATCH(UPPER(TRIM(Raw_Data!G576)),Lookup_Tables!$G$2:$G$24,0)),"Unknown"))</f>
        <v>South</v>
      </c>
      <c r="H576" s="11" t="n">
        <f aca="false">IF(Raw_Data!H576="",ROUND(AVERAGEIFS(Raw_Data!$H$2:$H$839,Raw_Data!$C$2:$C$839,Raw_Data!C576),2),Raw_Data!H576)</f>
        <v>48970.71</v>
      </c>
      <c r="I576" s="11" t="n">
        <f aca="false">Raw_Data!I576</f>
        <v>1376856</v>
      </c>
      <c r="J576" s="11" t="n">
        <f aca="false">IF(Raw_Data!J576&lt;0,ABS(Raw_Data!J576),Raw_Data!J576)</f>
        <v>18573</v>
      </c>
      <c r="K576" s="11" t="n">
        <f aca="false">Raw_Data!K576</f>
        <v>316</v>
      </c>
      <c r="L576" s="11" t="n">
        <f aca="false">IF(Raw_Data!L576="",ROUND(AVERAGEIFS(Raw_Data!$L$2:$L$839,Raw_Data!$C$2:$C$839,Raw_Data!C576),2),Raw_Data!L576)</f>
        <v>199544.67</v>
      </c>
      <c r="M576" s="13" t="n">
        <f aca="false">IFERROR(J576/I576,0)</f>
        <v>0.0134894280883404</v>
      </c>
      <c r="N576" s="14" t="n">
        <f aca="false">IFERROR(H576/J576,0)</f>
        <v>2.63666128250686</v>
      </c>
      <c r="O576" s="14" t="n">
        <f aca="false">IFERROR(H576/K576,0)</f>
        <v>154.970601265823</v>
      </c>
      <c r="P576" s="15" t="n">
        <f aca="false">IFERROR(L576/H576,0)</f>
        <v>4.07477592217879</v>
      </c>
      <c r="Q576" s="13" t="n">
        <f aca="false">IFERROR(K576/J576,0)</f>
        <v>0.0170139449738868</v>
      </c>
      <c r="R576" s="11" t="str">
        <f aca="false">IF(COUNTIF($A$2:A576,A576)&gt;1,"Duplicate - Remove","Unique")</f>
        <v>Unique</v>
      </c>
      <c r="S576" s="11" t="str">
        <f aca="false">TRIM(IF(Raw_Data!G576="","Region missing; ","")&amp;IF(Raw_Data!H576="","Spend imputed; ","")&amp;IF(Raw_Data!L576="","Revenue imputed; ","")&amp;IF(Raw_Data!J576&lt;0,"Clicks corrected; ",""))</f>
        <v/>
      </c>
    </row>
    <row r="577" customFormat="false" ht="15" hidden="false" customHeight="true" outlineLevel="0" collapsed="false">
      <c r="A577" s="11" t="n">
        <f aca="false">Raw_Data!A577</f>
        <v>1734</v>
      </c>
      <c r="B577" s="11" t="str">
        <f aca="false">PROPER(TRIM(Raw_Data!B577))</f>
        <v>Back To College Offer</v>
      </c>
      <c r="C577" s="11" t="str">
        <f aca="false">IFERROR(INDEX(Lookup_Tables!$B$2:$B$26,MATCH(UPPER(TRIM(Raw_Data!C577)),Lookup_Tables!$C$2:$C$26,0)),"Unknown")</f>
        <v>Facebook</v>
      </c>
      <c r="D577" s="12" t="n">
        <f aca="false">IFERROR(IF(ISNUMBER(SEARCH("/",Raw_Data!D577)),DATE(VALUE(RIGHT(Raw_Data!D577,4)),VALUE(MID(Raw_Data!D577,FIND("/",Raw_Data!D577)+1,FIND("/",Raw_Data!D577,FIND("/",Raw_Data!D577)+1)-FIND("/",Raw_Data!D577)-1)),VALUE(LEFT(Raw_Data!D577,FIND("/",Raw_Data!D577)-1))),IF(ISNUMBER(VALUE(LEFT(Raw_Data!D577,4))),DATE(VALUE(LEFT(Raw_Data!D577,4)),VALUE(MID(Raw_Data!D577,6,2)),VALUE(MID(Raw_Data!D577,9,2))),DATEVALUE(Raw_Data!D577))),"")</f>
        <v>45403</v>
      </c>
      <c r="E577" s="12" t="n">
        <f aca="false">IFERROR(IF(ISNUMBER(SEARCH("/",Raw_Data!E577)),DATE(VALUE(RIGHT(Raw_Data!E577,4)),VALUE(MID(Raw_Data!E577,FIND("/",Raw_Data!E577)+1,FIND("/",Raw_Data!E577,FIND("/",Raw_Data!E577)+1)-FIND("/",Raw_Data!E577)-1)),VALUE(LEFT(Raw_Data!E577,FIND("/",Raw_Data!E577)-1))),IF(ISNUMBER(VALUE(LEFT(Raw_Data!E577,4))),DATE(VALUE(LEFT(Raw_Data!E577,4)),VALUE(MID(Raw_Data!E577,6,2)),VALUE(MID(Raw_Data!E577,9,2))),DATEVALUE(Raw_Data!E577))),"")</f>
        <v>45424</v>
      </c>
      <c r="F577" s="11" t="str">
        <f aca="false">Raw_Data!F577</f>
        <v>Male 25-34</v>
      </c>
      <c r="G577" s="11" t="str">
        <f aca="false">IF(TRIM(Raw_Data!G577)="","Unspecified",IFERROR(INDEX(Lookup_Tables!$F$2:$F$24,MATCH(UPPER(TRIM(Raw_Data!G577)),Lookup_Tables!$G$2:$G$24,0)),"Unknown"))</f>
        <v>South</v>
      </c>
      <c r="H577" s="11" t="n">
        <f aca="false">IF(Raw_Data!H577="",ROUND(AVERAGEIFS(Raw_Data!$H$2:$H$839,Raw_Data!$C$2:$C$839,Raw_Data!C577),2),Raw_Data!H577)</f>
        <v>19635.67</v>
      </c>
      <c r="I577" s="11" t="n">
        <f aca="false">Raw_Data!I577</f>
        <v>400775</v>
      </c>
      <c r="J577" s="11" t="n">
        <f aca="false">IF(Raw_Data!J577&lt;0,ABS(Raw_Data!J577),Raw_Data!J577)</f>
        <v>4179</v>
      </c>
      <c r="K577" s="11" t="n">
        <f aca="false">Raw_Data!K577</f>
        <v>139</v>
      </c>
      <c r="L577" s="11" t="n">
        <f aca="false">IF(Raw_Data!L577="",ROUND(AVERAGEIFS(Raw_Data!$L$2:$L$839,Raw_Data!$C$2:$C$839,Raw_Data!C577),2),Raw_Data!L577)</f>
        <v>149342.91</v>
      </c>
      <c r="M577" s="13" t="n">
        <f aca="false">IFERROR(J577/I577,0)</f>
        <v>0.0104272971118458</v>
      </c>
      <c r="N577" s="14" t="n">
        <f aca="false">IFERROR(H577/J577,0)</f>
        <v>4.69865278774827</v>
      </c>
      <c r="O577" s="14" t="n">
        <f aca="false">IFERROR(H577/K577,0)</f>
        <v>141.26381294964</v>
      </c>
      <c r="P577" s="15" t="n">
        <f aca="false">IFERROR(L577/H577,0)</f>
        <v>7.60569463634294</v>
      </c>
      <c r="Q577" s="13" t="n">
        <f aca="false">IFERROR(K577/J577,0)</f>
        <v>0.0332615458243599</v>
      </c>
      <c r="R577" s="11" t="str">
        <f aca="false">IF(COUNTIF($A$2:A577,A577)&gt;1,"Duplicate - Remove","Unique")</f>
        <v>Unique</v>
      </c>
      <c r="S577" s="11" t="str">
        <f aca="false">TRIM(IF(Raw_Data!G577="","Region missing; ","")&amp;IF(Raw_Data!H577="","Spend imputed; ","")&amp;IF(Raw_Data!L577="","Revenue imputed; ","")&amp;IF(Raw_Data!J577&lt;0,"Clicks corrected; ",""))</f>
        <v/>
      </c>
    </row>
    <row r="578" customFormat="false" ht="15" hidden="false" customHeight="true" outlineLevel="0" collapsed="false">
      <c r="A578" s="11" t="n">
        <f aca="false">Raw_Data!A578</f>
        <v>1738</v>
      </c>
      <c r="B578" s="11" t="str">
        <f aca="false">PROPER(TRIM(Raw_Data!B578))</f>
        <v>Anti-Ageing Serum Push</v>
      </c>
      <c r="C578" s="11" t="str">
        <f aca="false">IFERROR(INDEX(Lookup_Tables!$B$2:$B$26,MATCH(UPPER(TRIM(Raw_Data!C578)),Lookup_Tables!$C$2:$C$26,0)),"Unknown")</f>
        <v>Facebook</v>
      </c>
      <c r="D578" s="12" t="n">
        <f aca="false">IFERROR(IF(ISNUMBER(SEARCH("/",Raw_Data!D578)),DATE(VALUE(RIGHT(Raw_Data!D578,4)),VALUE(MID(Raw_Data!D578,FIND("/",Raw_Data!D578)+1,FIND("/",Raw_Data!D578,FIND("/",Raw_Data!D578)+1)-FIND("/",Raw_Data!D578)-1)),VALUE(LEFT(Raw_Data!D578,FIND("/",Raw_Data!D578)-1))),IF(ISNUMBER(VALUE(LEFT(Raw_Data!D578,4))),DATE(VALUE(LEFT(Raw_Data!D578,4)),VALUE(MID(Raw_Data!D578,6,2)),VALUE(MID(Raw_Data!D578,9,2))),DATEVALUE(Raw_Data!D578))),"")</f>
        <v>45381</v>
      </c>
      <c r="E578" s="12" t="n">
        <f aca="false">IFERROR(IF(ISNUMBER(SEARCH("/",Raw_Data!E578)),DATE(VALUE(RIGHT(Raw_Data!E578,4)),VALUE(MID(Raw_Data!E578,FIND("/",Raw_Data!E578)+1,FIND("/",Raw_Data!E578,FIND("/",Raw_Data!E578)+1)-FIND("/",Raw_Data!E578)-1)),VALUE(LEFT(Raw_Data!E578,FIND("/",Raw_Data!E578)-1))),IF(ISNUMBER(VALUE(LEFT(Raw_Data!E578,4))),DATE(VALUE(LEFT(Raw_Data!E578,4)),VALUE(MID(Raw_Data!E578,6,2)),VALUE(MID(Raw_Data!E578,9,2))),DATEVALUE(Raw_Data!E578))),"")</f>
        <v>45386</v>
      </c>
      <c r="F578" s="11" t="str">
        <f aca="false">Raw_Data!F578</f>
        <v>Female 45+</v>
      </c>
      <c r="G578" s="11" t="str">
        <f aca="false">IF(TRIM(Raw_Data!G578)="","Unspecified",IFERROR(INDEX(Lookup_Tables!$F$2:$F$24,MATCH(UPPER(TRIM(Raw_Data!G578)),Lookup_Tables!$G$2:$G$24,0)),"Unknown"))</f>
        <v>West</v>
      </c>
      <c r="H578" s="11" t="n">
        <f aca="false">IF(Raw_Data!H578="",ROUND(AVERAGEIFS(Raw_Data!$H$2:$H$839,Raw_Data!$C$2:$C$839,Raw_Data!C578),2),Raw_Data!H578)</f>
        <v>45485.96</v>
      </c>
      <c r="I578" s="11" t="n">
        <f aca="false">Raw_Data!I578</f>
        <v>1428952</v>
      </c>
      <c r="J578" s="11" t="n">
        <f aca="false">IF(Raw_Data!J578&lt;0,ABS(Raw_Data!J578),Raw_Data!J578)</f>
        <v>48274</v>
      </c>
      <c r="K578" s="11" t="n">
        <f aca="false">Raw_Data!K578</f>
        <v>3444</v>
      </c>
      <c r="L578" s="11" t="n">
        <f aca="false">IF(Raw_Data!L578="",ROUND(AVERAGEIFS(Raw_Data!$L$2:$L$839,Raw_Data!$C$2:$C$839,Raw_Data!C578),2),Raw_Data!L578)</f>
        <v>4750507.33</v>
      </c>
      <c r="M578" s="13" t="n">
        <f aca="false">IFERROR(J578/I578,0)</f>
        <v>0.0337828002620102</v>
      </c>
      <c r="N578" s="14" t="n">
        <f aca="false">IFERROR(H578/J578,0)</f>
        <v>0.942245515184157</v>
      </c>
      <c r="O578" s="14" t="n">
        <f aca="false">IFERROR(H578/K578,0)</f>
        <v>13.2073054587689</v>
      </c>
      <c r="P578" s="15" t="n">
        <f aca="false">IFERROR(L578/H578,0)</f>
        <v>104.438981391181</v>
      </c>
      <c r="Q578" s="13" t="n">
        <f aca="false">IFERROR(K578/J578,0)</f>
        <v>0.0713427517918548</v>
      </c>
      <c r="R578" s="11" t="str">
        <f aca="false">IF(COUNTIF($A$2:A578,A578)&gt;1,"Duplicate - Remove","Unique")</f>
        <v>Unique</v>
      </c>
      <c r="S578" s="11" t="str">
        <f aca="false">TRIM(IF(Raw_Data!G578="","Region missing; ","")&amp;IF(Raw_Data!H578="","Spend imputed; ","")&amp;IF(Raw_Data!L578="","Revenue imputed; ","")&amp;IF(Raw_Data!J578&lt;0,"Clicks corrected; ",""))</f>
        <v/>
      </c>
    </row>
    <row r="579" customFormat="false" ht="15" hidden="false" customHeight="true" outlineLevel="0" collapsed="false">
      <c r="A579" s="11" t="n">
        <f aca="false">Raw_Data!A579</f>
        <v>1628</v>
      </c>
      <c r="B579" s="11" t="str">
        <f aca="false">PROPER(TRIM(Raw_Data!B579))</f>
        <v>Hair Care Revamp</v>
      </c>
      <c r="C579" s="11" t="str">
        <f aca="false">IFERROR(INDEX(Lookup_Tables!$B$2:$B$26,MATCH(UPPER(TRIM(Raw_Data!C579)),Lookup_Tables!$C$2:$C$26,0)),"Unknown")</f>
        <v>Email</v>
      </c>
      <c r="D579" s="12" t="n">
        <f aca="false">IFERROR(IF(ISNUMBER(SEARCH("/",Raw_Data!D579)),DATE(VALUE(RIGHT(Raw_Data!D579,4)),VALUE(MID(Raw_Data!D579,FIND("/",Raw_Data!D579)+1,FIND("/",Raw_Data!D579,FIND("/",Raw_Data!D579)+1)-FIND("/",Raw_Data!D579)-1)),VALUE(LEFT(Raw_Data!D579,FIND("/",Raw_Data!D579)-1))),IF(ISNUMBER(VALUE(LEFT(Raw_Data!D579,4))),DATE(VALUE(LEFT(Raw_Data!D579,4)),VALUE(MID(Raw_Data!D579,6,2)),VALUE(MID(Raw_Data!D579,9,2))),DATEVALUE(Raw_Data!D579))),"")</f>
        <v>45615</v>
      </c>
      <c r="E579" s="12" t="n">
        <f aca="false">IFERROR(IF(ISNUMBER(SEARCH("/",Raw_Data!E579)),DATE(VALUE(RIGHT(Raw_Data!E579,4)),VALUE(MID(Raw_Data!E579,FIND("/",Raw_Data!E579)+1,FIND("/",Raw_Data!E579,FIND("/",Raw_Data!E579)+1)-FIND("/",Raw_Data!E579)-1)),VALUE(LEFT(Raw_Data!E579,FIND("/",Raw_Data!E579)-1))),IF(ISNUMBER(VALUE(LEFT(Raw_Data!E579,4))),DATE(VALUE(LEFT(Raw_Data!E579,4)),VALUE(MID(Raw_Data!E579,6,2)),VALUE(MID(Raw_Data!E579,9,2))),DATEVALUE(Raw_Data!E579))),"")</f>
        <v>45635</v>
      </c>
      <c r="F579" s="11" t="str">
        <f aca="false">Raw_Data!F579</f>
        <v>Female 25-34</v>
      </c>
      <c r="G579" s="11" t="str">
        <f aca="false">IF(TRIM(Raw_Data!G579)="","Unspecified",IFERROR(INDEX(Lookup_Tables!$F$2:$F$24,MATCH(UPPER(TRIM(Raw_Data!G579)),Lookup_Tables!$G$2:$G$24,0)),"Unknown"))</f>
        <v>Unspecified</v>
      </c>
      <c r="H579" s="11" t="n">
        <f aca="false">IF(Raw_Data!H579="",ROUND(AVERAGEIFS(Raw_Data!$H$2:$H$839,Raw_Data!$C$2:$C$839,Raw_Data!C579),2),Raw_Data!H579)</f>
        <v>7894.63</v>
      </c>
      <c r="I579" s="11" t="n">
        <f aca="false">Raw_Data!I579</f>
        <v>134818</v>
      </c>
      <c r="J579" s="11" t="n">
        <f aca="false">IF(Raw_Data!J579&lt;0,ABS(Raw_Data!J579),Raw_Data!J579)</f>
        <v>3699</v>
      </c>
      <c r="K579" s="11" t="n">
        <f aca="false">Raw_Data!K579</f>
        <v>174</v>
      </c>
      <c r="L579" s="11" t="n">
        <f aca="false">IF(Raw_Data!L579="",ROUND(AVERAGEIFS(Raw_Data!$L$2:$L$839,Raw_Data!$C$2:$C$839,Raw_Data!C579),2),Raw_Data!L579)</f>
        <v>137607.46</v>
      </c>
      <c r="M579" s="13" t="n">
        <f aca="false">IFERROR(J579/I579,0)</f>
        <v>0.0274369891260811</v>
      </c>
      <c r="N579" s="14" t="n">
        <f aca="false">IFERROR(H579/J579,0)</f>
        <v>2.13426061097594</v>
      </c>
      <c r="O579" s="14" t="n">
        <f aca="false">IFERROR(H579/K579,0)</f>
        <v>45.3714367816092</v>
      </c>
      <c r="P579" s="15" t="n">
        <f aca="false">IFERROR(L579/H579,0)</f>
        <v>17.430514159625</v>
      </c>
      <c r="Q579" s="13" t="n">
        <f aca="false">IFERROR(K579/J579,0)</f>
        <v>0.0470397404703974</v>
      </c>
      <c r="R579" s="11" t="str">
        <f aca="false">IF(COUNTIF($A$2:A579,A579)&gt;1,"Duplicate - Remove","Unique")</f>
        <v>Unique</v>
      </c>
      <c r="S579" s="11" t="str">
        <f aca="false">TRIM(IF(Raw_Data!G579="","Region missing; ","")&amp;IF(Raw_Data!H579="","Spend imputed; ","")&amp;IF(Raw_Data!L579="","Revenue imputed; ","")&amp;IF(Raw_Data!J579&lt;0,"Clicks corrected; ",""))</f>
        <v>Region missing;</v>
      </c>
    </row>
    <row r="580" customFormat="false" ht="15" hidden="false" customHeight="true" outlineLevel="0" collapsed="false">
      <c r="A580" s="11" t="n">
        <f aca="false">Raw_Data!A580</f>
        <v>1331</v>
      </c>
      <c r="B580" s="11" t="str">
        <f aca="false">PROPER(TRIM(Raw_Data!B580))</f>
        <v>Men'S Grooming Drive</v>
      </c>
      <c r="C580" s="11" t="str">
        <f aca="false">IFERROR(INDEX(Lookup_Tables!$B$2:$B$26,MATCH(UPPER(TRIM(Raw_Data!C580)),Lookup_Tables!$C$2:$C$26,0)),"Unknown")</f>
        <v>Facebook</v>
      </c>
      <c r="D580" s="12" t="n">
        <f aca="false">IFERROR(IF(ISNUMBER(SEARCH("/",Raw_Data!D580)),DATE(VALUE(RIGHT(Raw_Data!D580,4)),VALUE(MID(Raw_Data!D580,FIND("/",Raw_Data!D580)+1,FIND("/",Raw_Data!D580,FIND("/",Raw_Data!D580)+1)-FIND("/",Raw_Data!D580)-1)),VALUE(LEFT(Raw_Data!D580,FIND("/",Raw_Data!D580)-1))),IF(ISNUMBER(VALUE(LEFT(Raw_Data!D580,4))),DATE(VALUE(LEFT(Raw_Data!D580,4)),VALUE(MID(Raw_Data!D580,6,2)),VALUE(MID(Raw_Data!D580,9,2))),DATEVALUE(Raw_Data!D580))),"")</f>
        <v>45454</v>
      </c>
      <c r="E580" s="12" t="n">
        <f aca="false">IFERROR(IF(ISNUMBER(SEARCH("/",Raw_Data!E580)),DATE(VALUE(RIGHT(Raw_Data!E580,4)),VALUE(MID(Raw_Data!E580,FIND("/",Raw_Data!E580)+1,FIND("/",Raw_Data!E580,FIND("/",Raw_Data!E580)+1)-FIND("/",Raw_Data!E580)-1)),VALUE(LEFT(Raw_Data!E580,FIND("/",Raw_Data!E580)-1))),IF(ISNUMBER(VALUE(LEFT(Raw_Data!E580,4))),DATE(VALUE(LEFT(Raw_Data!E580,4)),VALUE(MID(Raw_Data!E580,6,2)),VALUE(MID(Raw_Data!E580,9,2))),DATEVALUE(Raw_Data!E580))),"")</f>
        <v>45477</v>
      </c>
      <c r="F580" s="11" t="str">
        <f aca="false">Raw_Data!F580</f>
        <v>Female 18-24</v>
      </c>
      <c r="G580" s="11" t="str">
        <f aca="false">IF(TRIM(Raw_Data!G580)="","Unspecified",IFERROR(INDEX(Lookup_Tables!$F$2:$F$24,MATCH(UPPER(TRIM(Raw_Data!G580)),Lookup_Tables!$G$2:$G$24,0)),"Unknown"))</f>
        <v>South</v>
      </c>
      <c r="H580" s="11" t="n">
        <f aca="false">IF(Raw_Data!H580="",ROUND(AVERAGEIFS(Raw_Data!$H$2:$H$839,Raw_Data!$C$2:$C$839,Raw_Data!C580),2),Raw_Data!H580)</f>
        <v>25399.1</v>
      </c>
      <c r="I580" s="11" t="n">
        <f aca="false">Raw_Data!I580</f>
        <v>615719</v>
      </c>
      <c r="J580" s="11" t="n">
        <f aca="false">IF(Raw_Data!J580&lt;0,ABS(Raw_Data!J580),Raw_Data!J580)</f>
        <v>6868</v>
      </c>
      <c r="K580" s="11" t="n">
        <f aca="false">Raw_Data!K580</f>
        <v>408</v>
      </c>
      <c r="L580" s="11" t="n">
        <f aca="false">IF(Raw_Data!L580="",ROUND(AVERAGEIFS(Raw_Data!$L$2:$L$839,Raw_Data!$C$2:$C$839,Raw_Data!C580),2),Raw_Data!L580)</f>
        <v>536541.32</v>
      </c>
      <c r="M580" s="13" t="n">
        <f aca="false">IFERROR(J580/I580,0)</f>
        <v>0.0111544389567319</v>
      </c>
      <c r="N580" s="14" t="n">
        <f aca="false">IFERROR(H580/J580,0)</f>
        <v>3.69817996505533</v>
      </c>
      <c r="O580" s="14" t="n">
        <f aca="false">IFERROR(H580/K580,0)</f>
        <v>62.2526960784314</v>
      </c>
      <c r="P580" s="15" t="n">
        <f aca="false">IFERROR(L580/H580,0)</f>
        <v>21.1244225189082</v>
      </c>
      <c r="Q580" s="13" t="n">
        <f aca="false">IFERROR(K580/J580,0)</f>
        <v>0.0594059405940594</v>
      </c>
      <c r="R580" s="11" t="str">
        <f aca="false">IF(COUNTIF($A$2:A580,A580)&gt;1,"Duplicate - Remove","Unique")</f>
        <v>Duplicate - Remove</v>
      </c>
      <c r="S580" s="11" t="str">
        <f aca="false">TRIM(IF(Raw_Data!G580="","Region missing; ","")&amp;IF(Raw_Data!H580="","Spend imputed; ","")&amp;IF(Raw_Data!L580="","Revenue imputed; ","")&amp;IF(Raw_Data!J580&lt;0,"Clicks corrected; ",""))</f>
        <v/>
      </c>
    </row>
    <row r="581" customFormat="false" ht="15" hidden="false" customHeight="true" outlineLevel="0" collapsed="false">
      <c r="A581" s="11" t="n">
        <f aca="false">Raw_Data!A581</f>
        <v>1760</v>
      </c>
      <c r="B581" s="11" t="str">
        <f aca="false">PROPER(TRIM(Raw_Data!B581))</f>
        <v>Sunscreen Season Campaign</v>
      </c>
      <c r="C581" s="11" t="str">
        <f aca="false">IFERROR(INDEX(Lookup_Tables!$B$2:$B$26,MATCH(UPPER(TRIM(Raw_Data!C581)),Lookup_Tables!$C$2:$C$26,0)),"Unknown")</f>
        <v>Google Ads</v>
      </c>
      <c r="D581" s="12" t="n">
        <f aca="false">IFERROR(IF(ISNUMBER(SEARCH("/",Raw_Data!D581)),DATE(VALUE(RIGHT(Raw_Data!D581,4)),VALUE(MID(Raw_Data!D581,FIND("/",Raw_Data!D581)+1,FIND("/",Raw_Data!D581,FIND("/",Raw_Data!D581)+1)-FIND("/",Raw_Data!D581)-1)),VALUE(LEFT(Raw_Data!D581,FIND("/",Raw_Data!D581)-1))),IF(ISNUMBER(VALUE(LEFT(Raw_Data!D581,4))),DATE(VALUE(LEFT(Raw_Data!D581,4)),VALUE(MID(Raw_Data!D581,6,2)),VALUE(MID(Raw_Data!D581,9,2))),DATEVALUE(Raw_Data!D581))),"")</f>
        <v>45428</v>
      </c>
      <c r="E581" s="12" t="n">
        <f aca="false">IFERROR(IF(ISNUMBER(SEARCH("/",Raw_Data!E581)),DATE(VALUE(RIGHT(Raw_Data!E581,4)),VALUE(MID(Raw_Data!E581,FIND("/",Raw_Data!E581)+1,FIND("/",Raw_Data!E581,FIND("/",Raw_Data!E581)+1)-FIND("/",Raw_Data!E581)-1)),VALUE(LEFT(Raw_Data!E581,FIND("/",Raw_Data!E581)-1))),IF(ISNUMBER(VALUE(LEFT(Raw_Data!E581,4))),DATE(VALUE(LEFT(Raw_Data!E581,4)),VALUE(MID(Raw_Data!E581,6,2)),VALUE(MID(Raw_Data!E581,9,2))),DATEVALUE(Raw_Data!E581))),"")</f>
        <v>45434</v>
      </c>
      <c r="F581" s="11" t="str">
        <f aca="false">Raw_Data!F581</f>
        <v>Male 18-24</v>
      </c>
      <c r="G581" s="11" t="str">
        <f aca="false">IF(TRIM(Raw_Data!G581)="","Unspecified",IFERROR(INDEX(Lookup_Tables!$F$2:$F$24,MATCH(UPPER(TRIM(Raw_Data!G581)),Lookup_Tables!$G$2:$G$24,0)),"Unknown"))</f>
        <v>East</v>
      </c>
      <c r="H581" s="11" t="n">
        <f aca="false">IF(Raw_Data!H581="",ROUND(AVERAGEIFS(Raw_Data!$H$2:$H$839,Raw_Data!$C$2:$C$839,Raw_Data!C581),2),Raw_Data!H581)</f>
        <v>53967.89</v>
      </c>
      <c r="I581" s="11" t="n">
        <f aca="false">Raw_Data!I581</f>
        <v>1470030</v>
      </c>
      <c r="J581" s="11" t="n">
        <f aca="false">IF(Raw_Data!J581&lt;0,ABS(Raw_Data!J581),Raw_Data!J581)</f>
        <v>12116</v>
      </c>
      <c r="K581" s="11" t="n">
        <f aca="false">Raw_Data!K581</f>
        <v>491</v>
      </c>
      <c r="L581" s="11" t="n">
        <f aca="false">IF(Raw_Data!L581="",ROUND(AVERAGEIFS(Raw_Data!$L$2:$L$839,Raw_Data!$C$2:$C$839,Raw_Data!C581),2),Raw_Data!L581)</f>
        <v>394791.43</v>
      </c>
      <c r="M581" s="13" t="n">
        <f aca="false">IFERROR(J581/I581,0)</f>
        <v>0.0082420086664898</v>
      </c>
      <c r="N581" s="14" t="n">
        <f aca="false">IFERROR(H581/J581,0)</f>
        <v>4.45426625949158</v>
      </c>
      <c r="O581" s="14" t="n">
        <f aca="false">IFERROR(H581/K581,0)</f>
        <v>109.914236252546</v>
      </c>
      <c r="P581" s="15" t="n">
        <f aca="false">IFERROR(L581/H581,0)</f>
        <v>7.31530230290641</v>
      </c>
      <c r="Q581" s="13" t="n">
        <f aca="false">IFERROR(K581/J581,0)</f>
        <v>0.0405249257180588</v>
      </c>
      <c r="R581" s="11" t="str">
        <f aca="false">IF(COUNTIF($A$2:A581,A581)&gt;1,"Duplicate - Remove","Unique")</f>
        <v>Unique</v>
      </c>
      <c r="S581" s="11" t="str">
        <f aca="false">TRIM(IF(Raw_Data!G581="","Region missing; ","")&amp;IF(Raw_Data!H581="","Spend imputed; ","")&amp;IF(Raw_Data!L581="","Revenue imputed; ","")&amp;IF(Raw_Data!J581&lt;0,"Clicks corrected; ",""))</f>
        <v/>
      </c>
    </row>
    <row r="582" customFormat="false" ht="15" hidden="false" customHeight="true" outlineLevel="0" collapsed="false">
      <c r="A582" s="11" t="n">
        <f aca="false">Raw_Data!A582</f>
        <v>1618</v>
      </c>
      <c r="B582" s="11" t="str">
        <f aca="false">PROPER(TRIM(Raw_Data!B582))</f>
        <v>Influencer Collab - Skincare</v>
      </c>
      <c r="C582" s="11" t="str">
        <f aca="false">IFERROR(INDEX(Lookup_Tables!$B$2:$B$26,MATCH(UPPER(TRIM(Raw_Data!C582)),Lookup_Tables!$C$2:$C$26,0)),"Unknown")</f>
        <v>Facebook</v>
      </c>
      <c r="D582" s="12" t="n">
        <f aca="false">IFERROR(IF(ISNUMBER(SEARCH("/",Raw_Data!D582)),DATE(VALUE(RIGHT(Raw_Data!D582,4)),VALUE(MID(Raw_Data!D582,FIND("/",Raw_Data!D582)+1,FIND("/",Raw_Data!D582,FIND("/",Raw_Data!D582)+1)-FIND("/",Raw_Data!D582)-1)),VALUE(LEFT(Raw_Data!D582,FIND("/",Raw_Data!D582)-1))),IF(ISNUMBER(VALUE(LEFT(Raw_Data!D582,4))),DATE(VALUE(LEFT(Raw_Data!D582,4)),VALUE(MID(Raw_Data!D582,6,2)),VALUE(MID(Raw_Data!D582,9,2))),DATEVALUE(Raw_Data!D582))),"")</f>
        <v>45597</v>
      </c>
      <c r="E582" s="12" t="n">
        <f aca="false">IFERROR(IF(ISNUMBER(SEARCH("/",Raw_Data!E582)),DATE(VALUE(RIGHT(Raw_Data!E582,4)),VALUE(MID(Raw_Data!E582,FIND("/",Raw_Data!E582)+1,FIND("/",Raw_Data!E582,FIND("/",Raw_Data!E582)+1)-FIND("/",Raw_Data!E582)-1)),VALUE(LEFT(Raw_Data!E582,FIND("/",Raw_Data!E582)-1))),IF(ISNUMBER(VALUE(LEFT(Raw_Data!E582,4))),DATE(VALUE(LEFT(Raw_Data!E582,4)),VALUE(MID(Raw_Data!E582,6,2)),VALUE(MID(Raw_Data!E582,9,2))),DATEVALUE(Raw_Data!E582))),"")</f>
        <v>45614</v>
      </c>
      <c r="F582" s="11" t="str">
        <f aca="false">Raw_Data!F582</f>
        <v>Female 45+</v>
      </c>
      <c r="G582" s="11" t="str">
        <f aca="false">IF(TRIM(Raw_Data!G582)="","Unspecified",IFERROR(INDEX(Lookup_Tables!$F$2:$F$24,MATCH(UPPER(TRIM(Raw_Data!G582)),Lookup_Tables!$G$2:$G$24,0)),"Unknown"))</f>
        <v>East</v>
      </c>
      <c r="H582" s="11" t="n">
        <f aca="false">IF(Raw_Data!H582="",ROUND(AVERAGEIFS(Raw_Data!$H$2:$H$839,Raw_Data!$C$2:$C$839,Raw_Data!C582),2),Raw_Data!H582)</f>
        <v>9152.9</v>
      </c>
      <c r="I582" s="11" t="n">
        <f aca="false">Raw_Data!I582</f>
        <v>249029</v>
      </c>
      <c r="J582" s="11" t="n">
        <f aca="false">IF(Raw_Data!J582&lt;0,ABS(Raw_Data!J582),Raw_Data!J582)</f>
        <v>6776</v>
      </c>
      <c r="K582" s="11" t="n">
        <f aca="false">Raw_Data!K582</f>
        <v>345</v>
      </c>
      <c r="L582" s="11" t="n">
        <f aca="false">IF(Raw_Data!L582="",ROUND(AVERAGEIFS(Raw_Data!$L$2:$L$839,Raw_Data!$C$2:$C$839,Raw_Data!C582),2),Raw_Data!L582)</f>
        <v>231652.45</v>
      </c>
      <c r="M582" s="13" t="n">
        <f aca="false">IFERROR(J582/I582,0)</f>
        <v>0.0272096824064667</v>
      </c>
      <c r="N582" s="14" t="n">
        <f aca="false">IFERROR(H582/J582,0)</f>
        <v>1.35078217237308</v>
      </c>
      <c r="O582" s="14" t="n">
        <f aca="false">IFERROR(H582/K582,0)</f>
        <v>26.5301449275362</v>
      </c>
      <c r="P582" s="15" t="n">
        <f aca="false">IFERROR(L582/H582,0)</f>
        <v>25.3091861595778</v>
      </c>
      <c r="Q582" s="13" t="n">
        <f aca="false">IFERROR(K582/J582,0)</f>
        <v>0.0509149940968123</v>
      </c>
      <c r="R582" s="11" t="str">
        <f aca="false">IF(COUNTIF($A$2:A582,A582)&gt;1,"Duplicate - Remove","Unique")</f>
        <v>Unique</v>
      </c>
      <c r="S582" s="11" t="str">
        <f aca="false">TRIM(IF(Raw_Data!G582="","Region missing; ","")&amp;IF(Raw_Data!H582="","Spend imputed; ","")&amp;IF(Raw_Data!L582="","Revenue imputed; ","")&amp;IF(Raw_Data!J582&lt;0,"Clicks corrected; ",""))</f>
        <v/>
      </c>
    </row>
    <row r="583" customFormat="false" ht="15" hidden="false" customHeight="true" outlineLevel="0" collapsed="false">
      <c r="A583" s="11" t="n">
        <f aca="false">Raw_Data!A583</f>
        <v>1608</v>
      </c>
      <c r="B583" s="11" t="str">
        <f aca="false">PROPER(TRIM(Raw_Data!B583))</f>
        <v>Back To College Offer</v>
      </c>
      <c r="C583" s="11" t="str">
        <f aca="false">IFERROR(INDEX(Lookup_Tables!$B$2:$B$26,MATCH(UPPER(TRIM(Raw_Data!C583)),Lookup_Tables!$C$2:$C$26,0)),"Unknown")</f>
        <v>Instagram</v>
      </c>
      <c r="D583" s="12" t="n">
        <f aca="false">IFERROR(IF(ISNUMBER(SEARCH("/",Raw_Data!D583)),DATE(VALUE(RIGHT(Raw_Data!D583,4)),VALUE(MID(Raw_Data!D583,FIND("/",Raw_Data!D583)+1,FIND("/",Raw_Data!D583,FIND("/",Raw_Data!D583)+1)-FIND("/",Raw_Data!D583)-1)),VALUE(LEFT(Raw_Data!D583,FIND("/",Raw_Data!D583)-1))),IF(ISNUMBER(VALUE(LEFT(Raw_Data!D583,4))),DATE(VALUE(LEFT(Raw_Data!D583,4)),VALUE(MID(Raw_Data!D583,6,2)),VALUE(MID(Raw_Data!D583,9,2))),DATEVALUE(Raw_Data!D583))),"")</f>
        <v>45556</v>
      </c>
      <c r="E583" s="12" t="n">
        <f aca="false">IFERROR(IF(ISNUMBER(SEARCH("/",Raw_Data!E583)),DATE(VALUE(RIGHT(Raw_Data!E583,4)),VALUE(MID(Raw_Data!E583,FIND("/",Raw_Data!E583)+1,FIND("/",Raw_Data!E583,FIND("/",Raw_Data!E583)+1)-FIND("/",Raw_Data!E583)-1)),VALUE(LEFT(Raw_Data!E583,FIND("/",Raw_Data!E583)-1))),IF(ISNUMBER(VALUE(LEFT(Raw_Data!E583,4))),DATE(VALUE(LEFT(Raw_Data!E583,4)),VALUE(MID(Raw_Data!E583,6,2)),VALUE(MID(Raw_Data!E583,9,2))),DATEVALUE(Raw_Data!E583))),"")</f>
        <v>45561</v>
      </c>
      <c r="F583" s="11" t="str">
        <f aca="false">Raw_Data!F583</f>
        <v>Male 35-44</v>
      </c>
      <c r="G583" s="11" t="str">
        <f aca="false">IF(TRIM(Raw_Data!G583)="","Unspecified",IFERROR(INDEX(Lookup_Tables!$F$2:$F$24,MATCH(UPPER(TRIM(Raw_Data!G583)),Lookup_Tables!$G$2:$G$24,0)),"Unknown"))</f>
        <v>South</v>
      </c>
      <c r="H583" s="11" t="n">
        <f aca="false">IF(Raw_Data!H583="",ROUND(AVERAGEIFS(Raw_Data!$H$2:$H$839,Raw_Data!$C$2:$C$839,Raw_Data!C583),2),Raw_Data!H583)</f>
        <v>28965</v>
      </c>
      <c r="I583" s="11" t="n">
        <f aca="false">Raw_Data!I583</f>
        <v>1041086</v>
      </c>
      <c r="J583" s="11" t="n">
        <f aca="false">IF(Raw_Data!J583&lt;0,ABS(Raw_Data!J583),Raw_Data!J583)</f>
        <v>26120</v>
      </c>
      <c r="K583" s="11" t="n">
        <f aca="false">Raw_Data!K583</f>
        <v>379</v>
      </c>
      <c r="L583" s="11" t="n">
        <f aca="false">IF(Raw_Data!L583="",ROUND(AVERAGEIFS(Raw_Data!$L$2:$L$839,Raw_Data!$C$2:$C$839,Raw_Data!C583),2),Raw_Data!L583)</f>
        <v>586054.88</v>
      </c>
      <c r="M583" s="13" t="n">
        <f aca="false">IFERROR(J583/I583,0)</f>
        <v>0.0250891857156854</v>
      </c>
      <c r="N583" s="14" t="n">
        <f aca="false">IFERROR(H583/J583,0)</f>
        <v>1.10892036753446</v>
      </c>
      <c r="O583" s="14" t="n">
        <f aca="false">IFERROR(H583/K583,0)</f>
        <v>76.4248021108179</v>
      </c>
      <c r="P583" s="15" t="n">
        <f aca="false">IFERROR(L583/H583,0)</f>
        <v>20.2332083549111</v>
      </c>
      <c r="Q583" s="13" t="n">
        <f aca="false">IFERROR(K583/J583,0)</f>
        <v>0.014509954058193</v>
      </c>
      <c r="R583" s="11" t="str">
        <f aca="false">IF(COUNTIF($A$2:A583,A583)&gt;1,"Duplicate - Remove","Unique")</f>
        <v>Unique</v>
      </c>
      <c r="S583" s="11" t="str">
        <f aca="false">TRIM(IF(Raw_Data!G583="","Region missing; ","")&amp;IF(Raw_Data!H583="","Spend imputed; ","")&amp;IF(Raw_Data!L583="","Revenue imputed; ","")&amp;IF(Raw_Data!J583&lt;0,"Clicks corrected; ",""))</f>
        <v/>
      </c>
    </row>
    <row r="584" customFormat="false" ht="15" hidden="false" customHeight="true" outlineLevel="0" collapsed="false">
      <c r="A584" s="11" t="n">
        <f aca="false">Raw_Data!A584</f>
        <v>1505</v>
      </c>
      <c r="B584" s="11" t="str">
        <f aca="false">PROPER(TRIM(Raw_Data!B584))</f>
        <v>Influencer Collab - Skincare</v>
      </c>
      <c r="C584" s="11" t="str">
        <f aca="false">IFERROR(INDEX(Lookup_Tables!$B$2:$B$26,MATCH(UPPER(TRIM(Raw_Data!C584)),Lookup_Tables!$C$2:$C$26,0)),"Unknown")</f>
        <v>Instagram</v>
      </c>
      <c r="D584" s="12" t="n">
        <f aca="false">IFERROR(IF(ISNUMBER(SEARCH("/",Raw_Data!D584)),DATE(VALUE(RIGHT(Raw_Data!D584,4)),VALUE(MID(Raw_Data!D584,FIND("/",Raw_Data!D584)+1,FIND("/",Raw_Data!D584,FIND("/",Raw_Data!D584)+1)-FIND("/",Raw_Data!D584)-1)),VALUE(LEFT(Raw_Data!D584,FIND("/",Raw_Data!D584)-1))),IF(ISNUMBER(VALUE(LEFT(Raw_Data!D584,4))),DATE(VALUE(LEFT(Raw_Data!D584,4)),VALUE(MID(Raw_Data!D584,6,2)),VALUE(MID(Raw_Data!D584,9,2))),DATEVALUE(Raw_Data!D584))),"")</f>
        <v>45358</v>
      </c>
      <c r="E584" s="12" t="n">
        <f aca="false">IFERROR(IF(ISNUMBER(SEARCH("/",Raw_Data!E584)),DATE(VALUE(RIGHT(Raw_Data!E584,4)),VALUE(MID(Raw_Data!E584,FIND("/",Raw_Data!E584)+1,FIND("/",Raw_Data!E584,FIND("/",Raw_Data!E584)+1)-FIND("/",Raw_Data!E584)-1)),VALUE(LEFT(Raw_Data!E584,FIND("/",Raw_Data!E584)-1))),IF(ISNUMBER(VALUE(LEFT(Raw_Data!E584,4))),DATE(VALUE(LEFT(Raw_Data!E584,4)),VALUE(MID(Raw_Data!E584,6,2)),VALUE(MID(Raw_Data!E584,9,2))),DATEVALUE(Raw_Data!E584))),"")</f>
        <v>45385</v>
      </c>
      <c r="F584" s="11" t="str">
        <f aca="false">Raw_Data!F584</f>
        <v>Male 35-44</v>
      </c>
      <c r="G584" s="11" t="str">
        <f aca="false">IF(TRIM(Raw_Data!G584)="","Unspecified",IFERROR(INDEX(Lookup_Tables!$F$2:$F$24,MATCH(UPPER(TRIM(Raw_Data!G584)),Lookup_Tables!$G$2:$G$24,0)),"Unknown"))</f>
        <v>South</v>
      </c>
      <c r="H584" s="11" t="n">
        <f aca="false">IF(Raw_Data!H584="",ROUND(AVERAGEIFS(Raw_Data!$H$2:$H$839,Raw_Data!$C$2:$C$839,Raw_Data!C584),2),Raw_Data!H584)</f>
        <v>13063.75</v>
      </c>
      <c r="I584" s="11" t="n">
        <f aca="false">Raw_Data!I584</f>
        <v>328973</v>
      </c>
      <c r="J584" s="11" t="n">
        <f aca="false">IF(Raw_Data!J584&lt;0,ABS(Raw_Data!J584),Raw_Data!J584)</f>
        <v>8962</v>
      </c>
      <c r="K584" s="11" t="n">
        <f aca="false">Raw_Data!K584</f>
        <v>152</v>
      </c>
      <c r="L584" s="11" t="n">
        <f aca="false">IF(Raw_Data!L584="",ROUND(AVERAGEIFS(Raw_Data!$L$2:$L$839,Raw_Data!$C$2:$C$839,Raw_Data!C584),2),Raw_Data!L584)</f>
        <v>231171.75</v>
      </c>
      <c r="M584" s="13" t="n">
        <f aca="false">IFERROR(J584/I584,0)</f>
        <v>0.0272423572755211</v>
      </c>
      <c r="N584" s="14" t="n">
        <f aca="false">IFERROR(H584/J584,0)</f>
        <v>1.45768243695604</v>
      </c>
      <c r="O584" s="14" t="n">
        <f aca="false">IFERROR(H584/K584,0)</f>
        <v>85.9457236842105</v>
      </c>
      <c r="P584" s="15" t="n">
        <f aca="false">IFERROR(L584/H584,0)</f>
        <v>17.6956654865563</v>
      </c>
      <c r="Q584" s="13" t="n">
        <f aca="false">IFERROR(K584/J584,0)</f>
        <v>0.0169604998884178</v>
      </c>
      <c r="R584" s="11" t="str">
        <f aca="false">IF(COUNTIF($A$2:A584,A584)&gt;1,"Duplicate - Remove","Unique")</f>
        <v>Unique</v>
      </c>
      <c r="S584" s="11" t="str">
        <f aca="false">TRIM(IF(Raw_Data!G584="","Region missing; ","")&amp;IF(Raw_Data!H584="","Spend imputed; ","")&amp;IF(Raw_Data!L584="","Revenue imputed; ","")&amp;IF(Raw_Data!J584&lt;0,"Clicks corrected; ",""))</f>
        <v/>
      </c>
    </row>
    <row r="585" customFormat="false" ht="15" hidden="false" customHeight="true" outlineLevel="0" collapsed="false">
      <c r="A585" s="11" t="n">
        <f aca="false">Raw_Data!A585</f>
        <v>1203</v>
      </c>
      <c r="B585" s="11" t="str">
        <f aca="false">PROPER(TRIM(Raw_Data!B585))</f>
        <v>Wedding Season Special</v>
      </c>
      <c r="C585" s="11" t="str">
        <f aca="false">IFERROR(INDEX(Lookup_Tables!$B$2:$B$26,MATCH(UPPER(TRIM(Raw_Data!C585)),Lookup_Tables!$C$2:$C$26,0)),"Unknown")</f>
        <v>YouTube</v>
      </c>
      <c r="D585" s="12" t="n">
        <f aca="false">IFERROR(IF(ISNUMBER(SEARCH("/",Raw_Data!D585)),DATE(VALUE(RIGHT(Raw_Data!D585,4)),VALUE(MID(Raw_Data!D585,FIND("/",Raw_Data!D585)+1,FIND("/",Raw_Data!D585,FIND("/",Raw_Data!D585)+1)-FIND("/",Raw_Data!D585)-1)),VALUE(LEFT(Raw_Data!D585,FIND("/",Raw_Data!D585)-1))),IF(ISNUMBER(VALUE(LEFT(Raw_Data!D585,4))),DATE(VALUE(LEFT(Raw_Data!D585,4)),VALUE(MID(Raw_Data!D585,6,2)),VALUE(MID(Raw_Data!D585,9,2))),DATEVALUE(Raw_Data!D585))),"")</f>
        <v>45432</v>
      </c>
      <c r="E585" s="12" t="n">
        <f aca="false">IFERROR(IF(ISNUMBER(SEARCH("/",Raw_Data!E585)),DATE(VALUE(RIGHT(Raw_Data!E585,4)),VALUE(MID(Raw_Data!E585,FIND("/",Raw_Data!E585)+1,FIND("/",Raw_Data!E585,FIND("/",Raw_Data!E585)+1)-FIND("/",Raw_Data!E585)-1)),VALUE(LEFT(Raw_Data!E585,FIND("/",Raw_Data!E585)-1))),IF(ISNUMBER(VALUE(LEFT(Raw_Data!E585,4))),DATE(VALUE(LEFT(Raw_Data!E585,4)),VALUE(MID(Raw_Data!E585,6,2)),VALUE(MID(Raw_Data!E585,9,2))),DATEVALUE(Raw_Data!E585))),"")</f>
        <v>45449</v>
      </c>
      <c r="F585" s="11" t="str">
        <f aca="false">Raw_Data!F585</f>
        <v>Male 18-24</v>
      </c>
      <c r="G585" s="11" t="str">
        <f aca="false">IF(TRIM(Raw_Data!G585)="","Unspecified",IFERROR(INDEX(Lookup_Tables!$F$2:$F$24,MATCH(UPPER(TRIM(Raw_Data!G585)),Lookup_Tables!$G$2:$G$24,0)),"Unknown"))</f>
        <v>West</v>
      </c>
      <c r="H585" s="11" t="n">
        <f aca="false">IF(Raw_Data!H585="",ROUND(AVERAGEIFS(Raw_Data!$H$2:$H$839,Raw_Data!$C$2:$C$839,Raw_Data!C585),2),Raw_Data!H585)</f>
        <v>87786.87</v>
      </c>
      <c r="I585" s="11" t="n">
        <f aca="false">Raw_Data!I585</f>
        <v>2310650</v>
      </c>
      <c r="J585" s="11" t="n">
        <f aca="false">IF(Raw_Data!J585&lt;0,ABS(Raw_Data!J585),Raw_Data!J585)</f>
        <v>20798</v>
      </c>
      <c r="K585" s="11" t="n">
        <f aca="false">Raw_Data!K585</f>
        <v>808</v>
      </c>
      <c r="L585" s="11" t="n">
        <f aca="false">IF(Raw_Data!L585="",ROUND(AVERAGEIFS(Raw_Data!$L$2:$L$839,Raw_Data!$C$2:$C$839,Raw_Data!C585),2),Raw_Data!L585)</f>
        <v>1102936.74</v>
      </c>
      <c r="M585" s="13" t="n">
        <f aca="false">IFERROR(J585/I585,0)</f>
        <v>0.00900093047410902</v>
      </c>
      <c r="N585" s="14" t="n">
        <f aca="false">IFERROR(H585/J585,0)</f>
        <v>4.2209284546591</v>
      </c>
      <c r="O585" s="14" t="n">
        <f aca="false">IFERROR(H585/K585,0)</f>
        <v>108.647116336634</v>
      </c>
      <c r="P585" s="15" t="n">
        <f aca="false">IFERROR(L585/H585,0)</f>
        <v>12.5638007141615</v>
      </c>
      <c r="Q585" s="13" t="n">
        <f aca="false">IFERROR(K585/J585,0)</f>
        <v>0.0388498894124435</v>
      </c>
      <c r="R585" s="11" t="str">
        <f aca="false">IF(COUNTIF($A$2:A585,A585)&gt;1,"Duplicate - Remove","Unique")</f>
        <v>Unique</v>
      </c>
      <c r="S585" s="11" t="str">
        <f aca="false">TRIM(IF(Raw_Data!G585="","Region missing; ","")&amp;IF(Raw_Data!H585="","Spend imputed; ","")&amp;IF(Raw_Data!L585="","Revenue imputed; ","")&amp;IF(Raw_Data!J585&lt;0,"Clicks corrected; ",""))</f>
        <v/>
      </c>
    </row>
    <row r="586" customFormat="false" ht="15" hidden="false" customHeight="true" outlineLevel="0" collapsed="false">
      <c r="A586" s="11" t="n">
        <f aca="false">Raw_Data!A586</f>
        <v>1094</v>
      </c>
      <c r="B586" s="11" t="str">
        <f aca="false">PROPER(TRIM(Raw_Data!B586))</f>
        <v>Influencer Collab - Skincare</v>
      </c>
      <c r="C586" s="11" t="str">
        <f aca="false">IFERROR(INDEX(Lookup_Tables!$B$2:$B$26,MATCH(UPPER(TRIM(Raw_Data!C586)),Lookup_Tables!$C$2:$C$26,0)),"Unknown")</f>
        <v>Google Ads</v>
      </c>
      <c r="D586" s="12" t="n">
        <f aca="false">IFERROR(IF(ISNUMBER(SEARCH("/",Raw_Data!D586)),DATE(VALUE(RIGHT(Raw_Data!D586,4)),VALUE(MID(Raw_Data!D586,FIND("/",Raw_Data!D586)+1,FIND("/",Raw_Data!D586,FIND("/",Raw_Data!D586)+1)-FIND("/",Raw_Data!D586)-1)),VALUE(LEFT(Raw_Data!D586,FIND("/",Raw_Data!D586)-1))),IF(ISNUMBER(VALUE(LEFT(Raw_Data!D586,4))),DATE(VALUE(LEFT(Raw_Data!D586,4)),VALUE(MID(Raw_Data!D586,6,2)),VALUE(MID(Raw_Data!D586,9,2))),DATEVALUE(Raw_Data!D586))),"")</f>
        <v>45303</v>
      </c>
      <c r="E586" s="12" t="n">
        <f aca="false">IFERROR(IF(ISNUMBER(SEARCH("/",Raw_Data!E586)),DATE(VALUE(RIGHT(Raw_Data!E586,4)),VALUE(MID(Raw_Data!E586,FIND("/",Raw_Data!E586)+1,FIND("/",Raw_Data!E586,FIND("/",Raw_Data!E586)+1)-FIND("/",Raw_Data!E586)-1)),VALUE(LEFT(Raw_Data!E586,FIND("/",Raw_Data!E586)-1))),IF(ISNUMBER(VALUE(LEFT(Raw_Data!E586,4))),DATE(VALUE(LEFT(Raw_Data!E586,4)),VALUE(MID(Raw_Data!E586,6,2)),VALUE(MID(Raw_Data!E586,9,2))),DATEVALUE(Raw_Data!E586))),"")</f>
        <v>45310</v>
      </c>
      <c r="F586" s="11" t="str">
        <f aca="false">Raw_Data!F586</f>
        <v>Male 45+</v>
      </c>
      <c r="G586" s="11" t="str">
        <f aca="false">IF(TRIM(Raw_Data!G586)="","Unspecified",IFERROR(INDEX(Lookup_Tables!$F$2:$F$24,MATCH(UPPER(TRIM(Raw_Data!G586)),Lookup_Tables!$G$2:$G$24,0)),"Unknown"))</f>
        <v>West</v>
      </c>
      <c r="H586" s="11" t="n">
        <f aca="false">IF(Raw_Data!H586="",ROUND(AVERAGEIFS(Raw_Data!$H$2:$H$839,Raw_Data!$C$2:$C$839,Raw_Data!C586),2),Raw_Data!H586)</f>
        <v>45381.11</v>
      </c>
      <c r="I586" s="11" t="n">
        <f aca="false">Raw_Data!I586</f>
        <v>1777449</v>
      </c>
      <c r="J586" s="11" t="n">
        <f aca="false">IF(Raw_Data!J586&lt;0,ABS(Raw_Data!J586),Raw_Data!J586)</f>
        <v>20359</v>
      </c>
      <c r="K586" s="11" t="n">
        <f aca="false">Raw_Data!K586</f>
        <v>706</v>
      </c>
      <c r="L586" s="11" t="n">
        <f aca="false">IF(Raw_Data!L586="",ROUND(AVERAGEIFS(Raw_Data!$L$2:$L$839,Raw_Data!$C$2:$C$839,Raw_Data!C586),2),Raw_Data!L586)</f>
        <v>298838.21</v>
      </c>
      <c r="M586" s="13" t="n">
        <f aca="false">IFERROR(J586/I586,0)</f>
        <v>0.0114540557844416</v>
      </c>
      <c r="N586" s="14" t="n">
        <f aca="false">IFERROR(H586/J586,0)</f>
        <v>2.22904415737512</v>
      </c>
      <c r="O586" s="14" t="n">
        <f aca="false">IFERROR(H586/K586,0)</f>
        <v>64.2791926345609</v>
      </c>
      <c r="P586" s="15" t="n">
        <f aca="false">IFERROR(L586/H586,0)</f>
        <v>6.58507934248413</v>
      </c>
      <c r="Q586" s="13" t="n">
        <f aca="false">IFERROR(K586/J586,0)</f>
        <v>0.0346775381894985</v>
      </c>
      <c r="R586" s="11" t="str">
        <f aca="false">IF(COUNTIF($A$2:A586,A586)&gt;1,"Duplicate - Remove","Unique")</f>
        <v>Unique</v>
      </c>
      <c r="S586" s="11" t="str">
        <f aca="false">TRIM(IF(Raw_Data!G586="","Region missing; ","")&amp;IF(Raw_Data!H586="","Spend imputed; ","")&amp;IF(Raw_Data!L586="","Revenue imputed; ","")&amp;IF(Raw_Data!J586&lt;0,"Clicks corrected; ",""))</f>
        <v/>
      </c>
    </row>
    <row r="587" customFormat="false" ht="15" hidden="false" customHeight="true" outlineLevel="0" collapsed="false">
      <c r="A587" s="11" t="n">
        <f aca="false">Raw_Data!A587</f>
        <v>1739</v>
      </c>
      <c r="B587" s="11" t="str">
        <f aca="false">PROPER(TRIM(Raw_Data!B587))</f>
        <v>New Year Wellness</v>
      </c>
      <c r="C587" s="11" t="str">
        <f aca="false">IFERROR(INDEX(Lookup_Tables!$B$2:$B$26,MATCH(UPPER(TRIM(Raw_Data!C587)),Lookup_Tables!$C$2:$C$26,0)),"Unknown")</f>
        <v>Google Ads</v>
      </c>
      <c r="D587" s="12" t="n">
        <f aca="false">IFERROR(IF(ISNUMBER(SEARCH("/",Raw_Data!D587)),DATE(VALUE(RIGHT(Raw_Data!D587,4)),VALUE(MID(Raw_Data!D587,FIND("/",Raw_Data!D587)+1,FIND("/",Raw_Data!D587,FIND("/",Raw_Data!D587)+1)-FIND("/",Raw_Data!D587)-1)),VALUE(LEFT(Raw_Data!D587,FIND("/",Raw_Data!D587)-1))),IF(ISNUMBER(VALUE(LEFT(Raw_Data!D587,4))),DATE(VALUE(LEFT(Raw_Data!D587,4)),VALUE(MID(Raw_Data!D587,6,2)),VALUE(MID(Raw_Data!D587,9,2))),DATEVALUE(Raw_Data!D587))),"")</f>
        <v>45578</v>
      </c>
      <c r="E587" s="12" t="n">
        <f aca="false">IFERROR(IF(ISNUMBER(SEARCH("/",Raw_Data!E587)),DATE(VALUE(RIGHT(Raw_Data!E587,4)),VALUE(MID(Raw_Data!E587,FIND("/",Raw_Data!E587)+1,FIND("/",Raw_Data!E587,FIND("/",Raw_Data!E587)+1)-FIND("/",Raw_Data!E587)-1)),VALUE(LEFT(Raw_Data!E587,FIND("/",Raw_Data!E587)-1))),IF(ISNUMBER(VALUE(LEFT(Raw_Data!E587,4))),DATE(VALUE(LEFT(Raw_Data!E587,4)),VALUE(MID(Raw_Data!E587,6,2)),VALUE(MID(Raw_Data!E587,9,2))),DATEVALUE(Raw_Data!E587))),"")</f>
        <v>45605</v>
      </c>
      <c r="F587" s="11" t="str">
        <f aca="false">Raw_Data!F587</f>
        <v>Female 45+</v>
      </c>
      <c r="G587" s="11" t="str">
        <f aca="false">IF(TRIM(Raw_Data!G587)="","Unspecified",IFERROR(INDEX(Lookup_Tables!$F$2:$F$24,MATCH(UPPER(TRIM(Raw_Data!G587)),Lookup_Tables!$G$2:$G$24,0)),"Unknown"))</f>
        <v>North</v>
      </c>
      <c r="H587" s="11" t="n">
        <f aca="false">IF(Raw_Data!H587="",ROUND(AVERAGEIFS(Raw_Data!$H$2:$H$839,Raw_Data!$C$2:$C$839,Raw_Data!C587),2),Raw_Data!H587)</f>
        <v>65437.46</v>
      </c>
      <c r="I587" s="11" t="n">
        <f aca="false">Raw_Data!I587</f>
        <v>2152187</v>
      </c>
      <c r="J587" s="11" t="n">
        <f aca="false">IF(Raw_Data!J587&lt;0,ABS(Raw_Data!J587),Raw_Data!J587)</f>
        <v>58702</v>
      </c>
      <c r="K587" s="11" t="n">
        <f aca="false">Raw_Data!K587</f>
        <v>1764</v>
      </c>
      <c r="L587" s="11" t="n">
        <f aca="false">IF(Raw_Data!L587="",ROUND(AVERAGEIFS(Raw_Data!$L$2:$L$839,Raw_Data!$C$2:$C$839,Raw_Data!C587),2),Raw_Data!L587)</f>
        <v>843550.44</v>
      </c>
      <c r="M587" s="13" t="n">
        <f aca="false">IFERROR(J587/I587,0)</f>
        <v>0.0272755109105296</v>
      </c>
      <c r="N587" s="14" t="n">
        <f aca="false">IFERROR(H587/J587,0)</f>
        <v>1.11473987257674</v>
      </c>
      <c r="O587" s="14" t="n">
        <f aca="false">IFERROR(H587/K587,0)</f>
        <v>37.0960657596372</v>
      </c>
      <c r="P587" s="15" t="n">
        <f aca="false">IFERROR(L587/H587,0)</f>
        <v>12.8909410603651</v>
      </c>
      <c r="Q587" s="13" t="n">
        <f aca="false">IFERROR(K587/J587,0)</f>
        <v>0.0300500834724541</v>
      </c>
      <c r="R587" s="11" t="str">
        <f aca="false">IF(COUNTIF($A$2:A587,A587)&gt;1,"Duplicate - Remove","Unique")</f>
        <v>Unique</v>
      </c>
      <c r="S587" s="11" t="str">
        <f aca="false">TRIM(IF(Raw_Data!G587="","Region missing; ","")&amp;IF(Raw_Data!H587="","Spend imputed; ","")&amp;IF(Raw_Data!L587="","Revenue imputed; ","")&amp;IF(Raw_Data!J587&lt;0,"Clicks corrected; ",""))</f>
        <v/>
      </c>
    </row>
    <row r="588" customFormat="false" ht="15" hidden="false" customHeight="true" outlineLevel="0" collapsed="false">
      <c r="A588" s="11" t="n">
        <f aca="false">Raw_Data!A588</f>
        <v>1204</v>
      </c>
      <c r="B588" s="11" t="str">
        <f aca="false">PROPER(TRIM(Raw_Data!B588))</f>
        <v>Ayurvedic Range Launch</v>
      </c>
      <c r="C588" s="11" t="str">
        <f aca="false">IFERROR(INDEX(Lookup_Tables!$B$2:$B$26,MATCH(UPPER(TRIM(Raw_Data!C588)),Lookup_Tables!$C$2:$C$26,0)),"Unknown")</f>
        <v>Google Ads</v>
      </c>
      <c r="D588" s="12" t="n">
        <f aca="false">IFERROR(IF(ISNUMBER(SEARCH("/",Raw_Data!D588)),DATE(VALUE(RIGHT(Raw_Data!D588,4)),VALUE(MID(Raw_Data!D588,FIND("/",Raw_Data!D588)+1,FIND("/",Raw_Data!D588,FIND("/",Raw_Data!D588)+1)-FIND("/",Raw_Data!D588)-1)),VALUE(LEFT(Raw_Data!D588,FIND("/",Raw_Data!D588)-1))),IF(ISNUMBER(VALUE(LEFT(Raw_Data!D588,4))),DATE(VALUE(LEFT(Raw_Data!D588,4)),VALUE(MID(Raw_Data!D588,6,2)),VALUE(MID(Raw_Data!D588,9,2))),DATEVALUE(Raw_Data!D588))),"")</f>
        <v>45624</v>
      </c>
      <c r="E588" s="12" t="n">
        <f aca="false">IFERROR(IF(ISNUMBER(SEARCH("/",Raw_Data!E588)),DATE(VALUE(RIGHT(Raw_Data!E588,4)),VALUE(MID(Raw_Data!E588,FIND("/",Raw_Data!E588)+1,FIND("/",Raw_Data!E588,FIND("/",Raw_Data!E588)+1)-FIND("/",Raw_Data!E588)-1)),VALUE(LEFT(Raw_Data!E588,FIND("/",Raw_Data!E588)-1))),IF(ISNUMBER(VALUE(LEFT(Raw_Data!E588,4))),DATE(VALUE(LEFT(Raw_Data!E588,4)),VALUE(MID(Raw_Data!E588,6,2)),VALUE(MID(Raw_Data!E588,9,2))),DATEVALUE(Raw_Data!E588))),"")</f>
        <v>45634</v>
      </c>
      <c r="F588" s="11" t="str">
        <f aca="false">Raw_Data!F588</f>
        <v>Female 35-44</v>
      </c>
      <c r="G588" s="11" t="str">
        <f aca="false">IF(TRIM(Raw_Data!G588)="","Unspecified",IFERROR(INDEX(Lookup_Tables!$F$2:$F$24,MATCH(UPPER(TRIM(Raw_Data!G588)),Lookup_Tables!$G$2:$G$24,0)),"Unknown"))</f>
        <v>East</v>
      </c>
      <c r="H588" s="11" t="n">
        <f aca="false">IF(Raw_Data!H588="",ROUND(AVERAGEIFS(Raw_Data!$H$2:$H$839,Raw_Data!$C$2:$C$839,Raw_Data!C588),2),Raw_Data!H588)</f>
        <v>47974.4</v>
      </c>
      <c r="I588" s="11" t="n">
        <f aca="false">Raw_Data!I588</f>
        <v>1483461</v>
      </c>
      <c r="J588" s="11" t="n">
        <f aca="false">IF(Raw_Data!J588&lt;0,ABS(Raw_Data!J588),Raw_Data!J588)</f>
        <v>39030</v>
      </c>
      <c r="K588" s="11" t="n">
        <f aca="false">Raw_Data!K588</f>
        <v>2468</v>
      </c>
      <c r="L588" s="11" t="n">
        <f aca="false">IF(Raw_Data!L588="",ROUND(AVERAGEIFS(Raw_Data!$L$2:$L$839,Raw_Data!$C$2:$C$839,Raw_Data!C588),2),Raw_Data!L588)</f>
        <v>2875975.96</v>
      </c>
      <c r="M588" s="13" t="n">
        <f aca="false">IFERROR(J588/I588,0)</f>
        <v>0.0263100951086682</v>
      </c>
      <c r="N588" s="14" t="n">
        <f aca="false">IFERROR(H588/J588,0)</f>
        <v>1.22916730719959</v>
      </c>
      <c r="O588" s="14" t="n">
        <f aca="false">IFERROR(H588/K588,0)</f>
        <v>19.4385737439222</v>
      </c>
      <c r="P588" s="15" t="n">
        <f aca="false">IFERROR(L588/H588,0)</f>
        <v>59.9481381736926</v>
      </c>
      <c r="Q588" s="13" t="n">
        <f aca="false">IFERROR(K588/J588,0)</f>
        <v>0.0632334101972841</v>
      </c>
      <c r="R588" s="11" t="str">
        <f aca="false">IF(COUNTIF($A$2:A588,A588)&gt;1,"Duplicate - Remove","Unique")</f>
        <v>Unique</v>
      </c>
      <c r="S588" s="11" t="str">
        <f aca="false">TRIM(IF(Raw_Data!G588="","Region missing; ","")&amp;IF(Raw_Data!H588="","Spend imputed; ","")&amp;IF(Raw_Data!L588="","Revenue imputed; ","")&amp;IF(Raw_Data!J588&lt;0,"Clicks corrected; ",""))</f>
        <v/>
      </c>
    </row>
    <row r="589" customFormat="false" ht="15" hidden="false" customHeight="true" outlineLevel="0" collapsed="false">
      <c r="A589" s="11" t="n">
        <f aca="false">Raw_Data!A589</f>
        <v>1050</v>
      </c>
      <c r="B589" s="11" t="str">
        <f aca="false">PROPER(TRIM(Raw_Data!B589))</f>
        <v>Back To College Offer</v>
      </c>
      <c r="C589" s="11" t="str">
        <f aca="false">IFERROR(INDEX(Lookup_Tables!$B$2:$B$26,MATCH(UPPER(TRIM(Raw_Data!C589)),Lookup_Tables!$C$2:$C$26,0)),"Unknown")</f>
        <v>Instagram</v>
      </c>
      <c r="D589" s="12" t="n">
        <f aca="false">IFERROR(IF(ISNUMBER(SEARCH("/",Raw_Data!D589)),DATE(VALUE(RIGHT(Raw_Data!D589,4)),VALUE(MID(Raw_Data!D589,FIND("/",Raw_Data!D589)+1,FIND("/",Raw_Data!D589,FIND("/",Raw_Data!D589)+1)-FIND("/",Raw_Data!D589)-1)),VALUE(LEFT(Raw_Data!D589,FIND("/",Raw_Data!D589)-1))),IF(ISNUMBER(VALUE(LEFT(Raw_Data!D589,4))),DATE(VALUE(LEFT(Raw_Data!D589,4)),VALUE(MID(Raw_Data!D589,6,2)),VALUE(MID(Raw_Data!D589,9,2))),DATEVALUE(Raw_Data!D589))),"")</f>
        <v>45618</v>
      </c>
      <c r="E589" s="12" t="n">
        <f aca="false">IFERROR(IF(ISNUMBER(SEARCH("/",Raw_Data!E589)),DATE(VALUE(RIGHT(Raw_Data!E589,4)),VALUE(MID(Raw_Data!E589,FIND("/",Raw_Data!E589)+1,FIND("/",Raw_Data!E589,FIND("/",Raw_Data!E589)+1)-FIND("/",Raw_Data!E589)-1)),VALUE(LEFT(Raw_Data!E589,FIND("/",Raw_Data!E589)-1))),IF(ISNUMBER(VALUE(LEFT(Raw_Data!E589,4))),DATE(VALUE(LEFT(Raw_Data!E589,4)),VALUE(MID(Raw_Data!E589,6,2)),VALUE(MID(Raw_Data!E589,9,2))),DATEVALUE(Raw_Data!E589))),"")</f>
        <v>45631</v>
      </c>
      <c r="F589" s="11" t="str">
        <f aca="false">Raw_Data!F589</f>
        <v>Male 45+</v>
      </c>
      <c r="G589" s="11" t="str">
        <f aca="false">IF(TRIM(Raw_Data!G589)="","Unspecified",IFERROR(INDEX(Lookup_Tables!$F$2:$F$24,MATCH(UPPER(TRIM(Raw_Data!G589)),Lookup_Tables!$G$2:$G$24,0)),"Unknown"))</f>
        <v>West</v>
      </c>
      <c r="H589" s="11" t="n">
        <f aca="false">IF(Raw_Data!H589="",ROUND(AVERAGEIFS(Raw_Data!$H$2:$H$839,Raw_Data!$C$2:$C$839,Raw_Data!C589),2),Raw_Data!H589)</f>
        <v>21276.99</v>
      </c>
      <c r="I589" s="11" t="n">
        <f aca="false">Raw_Data!I589</f>
        <v>324153</v>
      </c>
      <c r="J589" s="11" t="n">
        <f aca="false">IF(Raw_Data!J589&lt;0,ABS(Raw_Data!J589),Raw_Data!J589)</f>
        <v>9445</v>
      </c>
      <c r="K589" s="11" t="n">
        <f aca="false">Raw_Data!K589</f>
        <v>690</v>
      </c>
      <c r="L589" s="11" t="n">
        <f aca="false">IF(Raw_Data!L589="",ROUND(AVERAGEIFS(Raw_Data!$L$2:$L$839,Raw_Data!$C$2:$C$839,Raw_Data!C589),2),Raw_Data!L589)</f>
        <v>919449.69</v>
      </c>
      <c r="M589" s="13" t="n">
        <f aca="false">IFERROR(J589/I589,0)</f>
        <v>0.0291374752046102</v>
      </c>
      <c r="N589" s="14" t="n">
        <f aca="false">IFERROR(H589/J589,0)</f>
        <v>2.2527252514558</v>
      </c>
      <c r="O589" s="14" t="n">
        <f aca="false">IFERROR(H589/K589,0)</f>
        <v>30.8362173913044</v>
      </c>
      <c r="P589" s="15" t="n">
        <f aca="false">IFERROR(L589/H589,0)</f>
        <v>43.2133346869083</v>
      </c>
      <c r="Q589" s="13" t="n">
        <f aca="false">IFERROR(K589/J589,0)</f>
        <v>0.0730545262043409</v>
      </c>
      <c r="R589" s="11" t="str">
        <f aca="false">IF(COUNTIF($A$2:A589,A589)&gt;1,"Duplicate - Remove","Unique")</f>
        <v>Unique</v>
      </c>
      <c r="S589" s="11" t="str">
        <f aca="false">TRIM(IF(Raw_Data!G589="","Region missing; ","")&amp;IF(Raw_Data!H589="","Spend imputed; ","")&amp;IF(Raw_Data!L589="","Revenue imputed; ","")&amp;IF(Raw_Data!J589&lt;0,"Clicks corrected; ",""))</f>
        <v/>
      </c>
    </row>
    <row r="590" customFormat="false" ht="15" hidden="false" customHeight="true" outlineLevel="0" collapsed="false">
      <c r="A590" s="11" t="n">
        <f aca="false">Raw_Data!A590</f>
        <v>1558</v>
      </c>
      <c r="B590" s="11" t="str">
        <f aca="false">PROPER(TRIM(Raw_Data!B590))</f>
        <v>Herbal Range Awareness</v>
      </c>
      <c r="C590" s="11" t="str">
        <f aca="false">IFERROR(INDEX(Lookup_Tables!$B$2:$B$26,MATCH(UPPER(TRIM(Raw_Data!C590)),Lookup_Tables!$C$2:$C$26,0)),"Unknown")</f>
        <v>Instagram</v>
      </c>
      <c r="D590" s="12" t="n">
        <f aca="false">IFERROR(IF(ISNUMBER(SEARCH("/",Raw_Data!D590)),DATE(VALUE(RIGHT(Raw_Data!D590,4)),VALUE(MID(Raw_Data!D590,FIND("/",Raw_Data!D590)+1,FIND("/",Raw_Data!D590,FIND("/",Raw_Data!D590)+1)-FIND("/",Raw_Data!D590)-1)),VALUE(LEFT(Raw_Data!D590,FIND("/",Raw_Data!D590)-1))),IF(ISNUMBER(VALUE(LEFT(Raw_Data!D590,4))),DATE(VALUE(LEFT(Raw_Data!D590,4)),VALUE(MID(Raw_Data!D590,6,2)),VALUE(MID(Raw_Data!D590,9,2))),DATEVALUE(Raw_Data!D590))),"")</f>
        <v>45421</v>
      </c>
      <c r="E590" s="12" t="n">
        <f aca="false">IFERROR(IF(ISNUMBER(SEARCH("/",Raw_Data!E590)),DATE(VALUE(RIGHT(Raw_Data!E590,4)),VALUE(MID(Raw_Data!E590,FIND("/",Raw_Data!E590)+1,FIND("/",Raw_Data!E590,FIND("/",Raw_Data!E590)+1)-FIND("/",Raw_Data!E590)-1)),VALUE(LEFT(Raw_Data!E590,FIND("/",Raw_Data!E590)-1))),IF(ISNUMBER(VALUE(LEFT(Raw_Data!E590,4))),DATE(VALUE(LEFT(Raw_Data!E590,4)),VALUE(MID(Raw_Data!E590,6,2)),VALUE(MID(Raw_Data!E590,9,2))),DATEVALUE(Raw_Data!E590))),"")</f>
        <v>45441</v>
      </c>
      <c r="F590" s="11" t="str">
        <f aca="false">Raw_Data!F590</f>
        <v>Male 18-24</v>
      </c>
      <c r="G590" s="11" t="str">
        <f aca="false">IF(TRIM(Raw_Data!G590)="","Unspecified",IFERROR(INDEX(Lookup_Tables!$F$2:$F$24,MATCH(UPPER(TRIM(Raw_Data!G590)),Lookup_Tables!$G$2:$G$24,0)),"Unknown"))</f>
        <v>South</v>
      </c>
      <c r="H590" s="11" t="n">
        <f aca="false">IF(Raw_Data!H590="",ROUND(AVERAGEIFS(Raw_Data!$H$2:$H$839,Raw_Data!$C$2:$C$839,Raw_Data!C590),2),Raw_Data!H590)</f>
        <v>43300.15</v>
      </c>
      <c r="I590" s="11" t="n">
        <f aca="false">Raw_Data!I590</f>
        <v>893603</v>
      </c>
      <c r="J590" s="11" t="n">
        <f aca="false">IF(Raw_Data!J590&lt;0,ABS(Raw_Data!J590),Raw_Data!J590)</f>
        <v>24363</v>
      </c>
      <c r="K590" s="11" t="n">
        <f aca="false">Raw_Data!K590</f>
        <v>983</v>
      </c>
      <c r="L590" s="11" t="n">
        <f aca="false">IF(Raw_Data!L590="",ROUND(AVERAGEIFS(Raw_Data!$L$2:$L$839,Raw_Data!$C$2:$C$839,Raw_Data!C590),2),Raw_Data!L590)</f>
        <v>1097389.45</v>
      </c>
      <c r="M590" s="13" t="n">
        <f aca="false">IFERROR(J590/I590,0)</f>
        <v>0.0272637849246254</v>
      </c>
      <c r="N590" s="14" t="n">
        <f aca="false">IFERROR(H590/J590,0)</f>
        <v>1.77729138447646</v>
      </c>
      <c r="O590" s="14" t="n">
        <f aca="false">IFERROR(H590/K590,0)</f>
        <v>44.048982706002</v>
      </c>
      <c r="P590" s="15" t="n">
        <f aca="false">IFERROR(L590/H590,0)</f>
        <v>25.3437794095402</v>
      </c>
      <c r="Q590" s="13" t="n">
        <f aca="false">IFERROR(K590/J590,0)</f>
        <v>0.0403480687928416</v>
      </c>
      <c r="R590" s="11" t="str">
        <f aca="false">IF(COUNTIF($A$2:A590,A590)&gt;1,"Duplicate - Remove","Unique")</f>
        <v>Unique</v>
      </c>
      <c r="S590" s="11" t="str">
        <f aca="false">TRIM(IF(Raw_Data!G590="","Region missing; ","")&amp;IF(Raw_Data!H590="","Spend imputed; ","")&amp;IF(Raw_Data!L590="","Revenue imputed; ","")&amp;IF(Raw_Data!J590&lt;0,"Clicks corrected; ",""))</f>
        <v/>
      </c>
    </row>
    <row r="591" customFormat="false" ht="15" hidden="false" customHeight="true" outlineLevel="0" collapsed="false">
      <c r="A591" s="11" t="n">
        <f aca="false">Raw_Data!A591</f>
        <v>1127</v>
      </c>
      <c r="B591" s="11" t="str">
        <f aca="false">PROPER(TRIM(Raw_Data!B591))</f>
        <v>Baby Care Trust Campaign</v>
      </c>
      <c r="C591" s="11" t="str">
        <f aca="false">IFERROR(INDEX(Lookup_Tables!$B$2:$B$26,MATCH(UPPER(TRIM(Raw_Data!C591)),Lookup_Tables!$C$2:$C$26,0)),"Unknown")</f>
        <v>YouTube</v>
      </c>
      <c r="D591" s="12" t="n">
        <f aca="false">IFERROR(IF(ISNUMBER(SEARCH("/",Raw_Data!D591)),DATE(VALUE(RIGHT(Raw_Data!D591,4)),VALUE(MID(Raw_Data!D591,FIND("/",Raw_Data!D591)+1,FIND("/",Raw_Data!D591,FIND("/",Raw_Data!D591)+1)-FIND("/",Raw_Data!D591)-1)),VALUE(LEFT(Raw_Data!D591,FIND("/",Raw_Data!D591)-1))),IF(ISNUMBER(VALUE(LEFT(Raw_Data!D591,4))),DATE(VALUE(LEFT(Raw_Data!D591,4)),VALUE(MID(Raw_Data!D591,6,2)),VALUE(MID(Raw_Data!D591,9,2))),DATEVALUE(Raw_Data!D591))),"")</f>
        <v>45544</v>
      </c>
      <c r="E591" s="12" t="n">
        <f aca="false">IFERROR(IF(ISNUMBER(SEARCH("/",Raw_Data!E591)),DATE(VALUE(RIGHT(Raw_Data!E591,4)),VALUE(MID(Raw_Data!E591,FIND("/",Raw_Data!E591)+1,FIND("/",Raw_Data!E591,FIND("/",Raw_Data!E591)+1)-FIND("/",Raw_Data!E591)-1)),VALUE(LEFT(Raw_Data!E591,FIND("/",Raw_Data!E591)-1))),IF(ISNUMBER(VALUE(LEFT(Raw_Data!E591,4))),DATE(VALUE(LEFT(Raw_Data!E591,4)),VALUE(MID(Raw_Data!E591,6,2)),VALUE(MID(Raw_Data!E591,9,2))),DATEVALUE(Raw_Data!E591))),"")</f>
        <v>45553</v>
      </c>
      <c r="F591" s="11" t="str">
        <f aca="false">Raw_Data!F591</f>
        <v>Male 25-34</v>
      </c>
      <c r="G591" s="11" t="str">
        <f aca="false">IF(TRIM(Raw_Data!G591)="","Unspecified",IFERROR(INDEX(Lookup_Tables!$F$2:$F$24,MATCH(UPPER(TRIM(Raw_Data!G591)),Lookup_Tables!$G$2:$G$24,0)),"Unknown"))</f>
        <v>South</v>
      </c>
      <c r="H591" s="11" t="n">
        <f aca="false">IF(Raw_Data!H591="",ROUND(AVERAGEIFS(Raw_Data!$H$2:$H$839,Raw_Data!$C$2:$C$839,Raw_Data!C591),2),Raw_Data!H591)</f>
        <v>27540.56</v>
      </c>
      <c r="I591" s="11" t="n">
        <f aca="false">Raw_Data!I591</f>
        <v>603112</v>
      </c>
      <c r="J591" s="11" t="n">
        <f aca="false">IF(Raw_Data!J591&lt;0,ABS(Raw_Data!J591),Raw_Data!J591)</f>
        <v>8439</v>
      </c>
      <c r="K591" s="11" t="n">
        <f aca="false">Raw_Data!K591</f>
        <v>546</v>
      </c>
      <c r="L591" s="11" t="n">
        <f aca="false">IF(Raw_Data!L591="",ROUND(AVERAGEIFS(Raw_Data!$L$2:$L$839,Raw_Data!$C$2:$C$839,Raw_Data!C591),2),Raw_Data!L591)</f>
        <v>477002.59</v>
      </c>
      <c r="M591" s="13" t="n">
        <f aca="false">IFERROR(J591/I591,0)</f>
        <v>0.0139924259507355</v>
      </c>
      <c r="N591" s="14" t="n">
        <f aca="false">IFERROR(H591/J591,0)</f>
        <v>3.26348619504681</v>
      </c>
      <c r="O591" s="14" t="n">
        <f aca="false">IFERROR(H591/K591,0)</f>
        <v>50.4405860805861</v>
      </c>
      <c r="P591" s="15" t="n">
        <f aca="false">IFERROR(L591/H591,0)</f>
        <v>17.3200032969555</v>
      </c>
      <c r="Q591" s="13" t="n">
        <f aca="false">IFERROR(K591/J591,0)</f>
        <v>0.0646996089584074</v>
      </c>
      <c r="R591" s="11" t="str">
        <f aca="false">IF(COUNTIF($A$2:A591,A591)&gt;1,"Duplicate - Remove","Unique")</f>
        <v>Unique</v>
      </c>
      <c r="S591" s="11" t="str">
        <f aca="false">TRIM(IF(Raw_Data!G591="","Region missing; ","")&amp;IF(Raw_Data!H591="","Spend imputed; ","")&amp;IF(Raw_Data!L591="","Revenue imputed; ","")&amp;IF(Raw_Data!J591&lt;0,"Clicks corrected; ",""))</f>
        <v/>
      </c>
    </row>
    <row r="592" customFormat="false" ht="15" hidden="false" customHeight="true" outlineLevel="0" collapsed="false">
      <c r="A592" s="11" t="n">
        <f aca="false">Raw_Data!A592</f>
        <v>1478</v>
      </c>
      <c r="B592" s="11" t="str">
        <f aca="false">PROPER(TRIM(Raw_Data!B592))</f>
        <v>Anti-Ageing Serum Push</v>
      </c>
      <c r="C592" s="11" t="str">
        <f aca="false">IFERROR(INDEX(Lookup_Tables!$B$2:$B$26,MATCH(UPPER(TRIM(Raw_Data!C592)),Lookup_Tables!$C$2:$C$26,0)),"Unknown")</f>
        <v>Instagram</v>
      </c>
      <c r="D592" s="12" t="n">
        <f aca="false">IFERROR(IF(ISNUMBER(SEARCH("/",Raw_Data!D592)),DATE(VALUE(RIGHT(Raw_Data!D592,4)),VALUE(MID(Raw_Data!D592,FIND("/",Raw_Data!D592)+1,FIND("/",Raw_Data!D592,FIND("/",Raw_Data!D592)+1)-FIND("/",Raw_Data!D592)-1)),VALUE(LEFT(Raw_Data!D592,FIND("/",Raw_Data!D592)-1))),IF(ISNUMBER(VALUE(LEFT(Raw_Data!D592,4))),DATE(VALUE(LEFT(Raw_Data!D592,4)),VALUE(MID(Raw_Data!D592,6,2)),VALUE(MID(Raw_Data!D592,9,2))),DATEVALUE(Raw_Data!D592))),"")</f>
        <v>45295</v>
      </c>
      <c r="E592" s="12" t="n">
        <f aca="false">IFERROR(IF(ISNUMBER(SEARCH("/",Raw_Data!E592)),DATE(VALUE(RIGHT(Raw_Data!E592,4)),VALUE(MID(Raw_Data!E592,FIND("/",Raw_Data!E592)+1,FIND("/",Raw_Data!E592,FIND("/",Raw_Data!E592)+1)-FIND("/",Raw_Data!E592)-1)),VALUE(LEFT(Raw_Data!E592,FIND("/",Raw_Data!E592)-1))),IF(ISNUMBER(VALUE(LEFT(Raw_Data!E592,4))),DATE(VALUE(LEFT(Raw_Data!E592,4)),VALUE(MID(Raw_Data!E592,6,2)),VALUE(MID(Raw_Data!E592,9,2))),DATEVALUE(Raw_Data!E592))),"")</f>
        <v>45304</v>
      </c>
      <c r="F592" s="11" t="str">
        <f aca="false">Raw_Data!F592</f>
        <v>Male 45+</v>
      </c>
      <c r="G592" s="11" t="str">
        <f aca="false">IF(TRIM(Raw_Data!G592)="","Unspecified",IFERROR(INDEX(Lookup_Tables!$F$2:$F$24,MATCH(UPPER(TRIM(Raw_Data!G592)),Lookup_Tables!$G$2:$G$24,0)),"Unknown"))</f>
        <v>Central</v>
      </c>
      <c r="H592" s="11" t="n">
        <f aca="false">IF(Raw_Data!H592="",ROUND(AVERAGEIFS(Raw_Data!$H$2:$H$839,Raw_Data!$C$2:$C$839,Raw_Data!C592),2),Raw_Data!H592)</f>
        <v>21007.01</v>
      </c>
      <c r="I592" s="11" t="n">
        <f aca="false">Raw_Data!I592</f>
        <v>562304</v>
      </c>
      <c r="J592" s="11" t="n">
        <f aca="false">IF(Raw_Data!J592&lt;0,ABS(Raw_Data!J592),Raw_Data!J592)</f>
        <v>9125</v>
      </c>
      <c r="K592" s="11" t="n">
        <f aca="false">Raw_Data!K592</f>
        <v>324</v>
      </c>
      <c r="L592" s="11" t="n">
        <f aca="false">IF(Raw_Data!L592="",ROUND(AVERAGEIFS(Raw_Data!$L$2:$L$839,Raw_Data!$C$2:$C$839,Raw_Data!C592),2),Raw_Data!L592)</f>
        <v>532552.45</v>
      </c>
      <c r="M592" s="13" t="n">
        <f aca="false">IFERROR(J592/I592,0)</f>
        <v>0.0162278767357159</v>
      </c>
      <c r="N592" s="14" t="n">
        <f aca="false">IFERROR(H592/J592,0)</f>
        <v>2.30213808219178</v>
      </c>
      <c r="O592" s="14" t="n">
        <f aca="false">IFERROR(H592/K592,0)</f>
        <v>64.8364506172839</v>
      </c>
      <c r="P592" s="15" t="n">
        <f aca="false">IFERROR(L592/H592,0)</f>
        <v>25.3511780115304</v>
      </c>
      <c r="Q592" s="13" t="n">
        <f aca="false">IFERROR(K592/J592,0)</f>
        <v>0.0355068493150685</v>
      </c>
      <c r="R592" s="11" t="str">
        <f aca="false">IF(COUNTIF($A$2:A592,A592)&gt;1,"Duplicate - Remove","Unique")</f>
        <v>Unique</v>
      </c>
      <c r="S592" s="11" t="str">
        <f aca="false">TRIM(IF(Raw_Data!G592="","Region missing; ","")&amp;IF(Raw_Data!H592="","Spend imputed; ","")&amp;IF(Raw_Data!L592="","Revenue imputed; ","")&amp;IF(Raw_Data!J592&lt;0,"Clicks corrected; ",""))</f>
        <v/>
      </c>
    </row>
    <row r="593" customFormat="false" ht="15" hidden="false" customHeight="true" outlineLevel="0" collapsed="false">
      <c r="A593" s="11" t="n">
        <f aca="false">Raw_Data!A593</f>
        <v>1604</v>
      </c>
      <c r="B593" s="11" t="str">
        <f aca="false">PROPER(TRIM(Raw_Data!B593))</f>
        <v>Herbal Range Awareness</v>
      </c>
      <c r="C593" s="11" t="str">
        <f aca="false">IFERROR(INDEX(Lookup_Tables!$B$2:$B$26,MATCH(UPPER(TRIM(Raw_Data!C593)),Lookup_Tables!$C$2:$C$26,0)),"Unknown")</f>
        <v>Email</v>
      </c>
      <c r="D593" s="12" t="n">
        <f aca="false">IFERROR(IF(ISNUMBER(SEARCH("/",Raw_Data!D593)),DATE(VALUE(RIGHT(Raw_Data!D593,4)),VALUE(MID(Raw_Data!D593,FIND("/",Raw_Data!D593)+1,FIND("/",Raw_Data!D593,FIND("/",Raw_Data!D593)+1)-FIND("/",Raw_Data!D593)-1)),VALUE(LEFT(Raw_Data!D593,FIND("/",Raw_Data!D593)-1))),IF(ISNUMBER(VALUE(LEFT(Raw_Data!D593,4))),DATE(VALUE(LEFT(Raw_Data!D593,4)),VALUE(MID(Raw_Data!D593,6,2)),VALUE(MID(Raw_Data!D593,9,2))),DATEVALUE(Raw_Data!D593))),"")</f>
        <v>45377</v>
      </c>
      <c r="E593" s="12" t="n">
        <f aca="false">IFERROR(IF(ISNUMBER(SEARCH("/",Raw_Data!E593)),DATE(VALUE(RIGHT(Raw_Data!E593,4)),VALUE(MID(Raw_Data!E593,FIND("/",Raw_Data!E593)+1,FIND("/",Raw_Data!E593,FIND("/",Raw_Data!E593)+1)-FIND("/",Raw_Data!E593)-1)),VALUE(LEFT(Raw_Data!E593,FIND("/",Raw_Data!E593)-1))),IF(ISNUMBER(VALUE(LEFT(Raw_Data!E593,4))),DATE(VALUE(LEFT(Raw_Data!E593,4)),VALUE(MID(Raw_Data!E593,6,2)),VALUE(MID(Raw_Data!E593,9,2))),DATEVALUE(Raw_Data!E593))),"")</f>
        <v>45402</v>
      </c>
      <c r="F593" s="11" t="str">
        <f aca="false">Raw_Data!F593</f>
        <v>Male 18-24</v>
      </c>
      <c r="G593" s="11" t="str">
        <f aca="false">IF(TRIM(Raw_Data!G593)="","Unspecified",IFERROR(INDEX(Lookup_Tables!$F$2:$F$24,MATCH(UPPER(TRIM(Raw_Data!G593)),Lookup_Tables!$G$2:$G$24,0)),"Unknown"))</f>
        <v>Central</v>
      </c>
      <c r="H593" s="11" t="n">
        <f aca="false">IF(Raw_Data!H593="",ROUND(AVERAGEIFS(Raw_Data!$H$2:$H$839,Raw_Data!$C$2:$C$839,Raw_Data!C593),2),Raw_Data!H593)</f>
        <v>5979.43</v>
      </c>
      <c r="I593" s="11" t="n">
        <f aca="false">Raw_Data!I593</f>
        <v>215240</v>
      </c>
      <c r="J593" s="11" t="n">
        <f aca="false">IF(Raw_Data!J593&lt;0,ABS(Raw_Data!J593),Raw_Data!J593)</f>
        <v>4695</v>
      </c>
      <c r="K593" s="11" t="n">
        <f aca="false">Raw_Data!K593</f>
        <v>208</v>
      </c>
      <c r="L593" s="11" t="n">
        <f aca="false">IF(Raw_Data!L593="",ROUND(AVERAGEIFS(Raw_Data!$L$2:$L$839,Raw_Data!$C$2:$C$839,Raw_Data!C593),2),Raw_Data!L593)</f>
        <v>310751.86</v>
      </c>
      <c r="M593" s="13" t="n">
        <f aca="false">IFERROR(J593/I593,0)</f>
        <v>0.0218128600631853</v>
      </c>
      <c r="N593" s="14" t="n">
        <f aca="false">IFERROR(H593/J593,0)</f>
        <v>1.27357401490948</v>
      </c>
      <c r="O593" s="14" t="n">
        <f aca="false">IFERROR(H593/K593,0)</f>
        <v>28.7472596153846</v>
      </c>
      <c r="P593" s="15" t="n">
        <f aca="false">IFERROR(L593/H593,0)</f>
        <v>51.9701476562147</v>
      </c>
      <c r="Q593" s="13" t="n">
        <f aca="false">IFERROR(K593/J593,0)</f>
        <v>0.0443024494142705</v>
      </c>
      <c r="R593" s="11" t="str">
        <f aca="false">IF(COUNTIF($A$2:A593,A593)&gt;1,"Duplicate - Remove","Unique")</f>
        <v>Unique</v>
      </c>
      <c r="S593" s="11" t="str">
        <f aca="false">TRIM(IF(Raw_Data!G593="","Region missing; ","")&amp;IF(Raw_Data!H593="","Spend imputed; ","")&amp;IF(Raw_Data!L593="","Revenue imputed; ","")&amp;IF(Raw_Data!J593&lt;0,"Clicks corrected; ",""))</f>
        <v/>
      </c>
    </row>
    <row r="594" customFormat="false" ht="15" hidden="false" customHeight="true" outlineLevel="0" collapsed="false">
      <c r="A594" s="11" t="n">
        <f aca="false">Raw_Data!A594</f>
        <v>1466</v>
      </c>
      <c r="B594" s="11" t="str">
        <f aca="false">PROPER(TRIM(Raw_Data!B594))</f>
        <v>Back To College Offer</v>
      </c>
      <c r="C594" s="11" t="str">
        <f aca="false">IFERROR(INDEX(Lookup_Tables!$B$2:$B$26,MATCH(UPPER(TRIM(Raw_Data!C594)),Lookup_Tables!$C$2:$C$26,0)),"Unknown")</f>
        <v>Facebook</v>
      </c>
      <c r="D594" s="12" t="n">
        <f aca="false">IFERROR(IF(ISNUMBER(SEARCH("/",Raw_Data!D594)),DATE(VALUE(RIGHT(Raw_Data!D594,4)),VALUE(MID(Raw_Data!D594,FIND("/",Raw_Data!D594)+1,FIND("/",Raw_Data!D594,FIND("/",Raw_Data!D594)+1)-FIND("/",Raw_Data!D594)-1)),VALUE(LEFT(Raw_Data!D594,FIND("/",Raw_Data!D594)-1))),IF(ISNUMBER(VALUE(LEFT(Raw_Data!D594,4))),DATE(VALUE(LEFT(Raw_Data!D594,4)),VALUE(MID(Raw_Data!D594,6,2)),VALUE(MID(Raw_Data!D594,9,2))),DATEVALUE(Raw_Data!D594))),"")</f>
        <v>45398</v>
      </c>
      <c r="E594" s="12" t="n">
        <f aca="false">IFERROR(IF(ISNUMBER(SEARCH("/",Raw_Data!E594)),DATE(VALUE(RIGHT(Raw_Data!E594,4)),VALUE(MID(Raw_Data!E594,FIND("/",Raw_Data!E594)+1,FIND("/",Raw_Data!E594,FIND("/",Raw_Data!E594)+1)-FIND("/",Raw_Data!E594)-1)),VALUE(LEFT(Raw_Data!E594,FIND("/",Raw_Data!E594)-1))),IF(ISNUMBER(VALUE(LEFT(Raw_Data!E594,4))),DATE(VALUE(LEFT(Raw_Data!E594,4)),VALUE(MID(Raw_Data!E594,6,2)),VALUE(MID(Raw_Data!E594,9,2))),DATEVALUE(Raw_Data!E594))),"")</f>
        <v>45424</v>
      </c>
      <c r="F594" s="11" t="str">
        <f aca="false">Raw_Data!F594</f>
        <v>Female 25-34</v>
      </c>
      <c r="G594" s="11" t="str">
        <f aca="false">IF(TRIM(Raw_Data!G594)="","Unspecified",IFERROR(INDEX(Lookup_Tables!$F$2:$F$24,MATCH(UPPER(TRIM(Raw_Data!G594)),Lookup_Tables!$G$2:$G$24,0)),"Unknown"))</f>
        <v>Central</v>
      </c>
      <c r="H594" s="11" t="n">
        <f aca="false">IF(Raw_Data!H594="",ROUND(AVERAGEIFS(Raw_Data!$H$2:$H$839,Raw_Data!$C$2:$C$839,Raw_Data!C594),2),Raw_Data!H594)</f>
        <v>13949.22</v>
      </c>
      <c r="I594" s="11" t="n">
        <f aca="false">Raw_Data!I594</f>
        <v>418163</v>
      </c>
      <c r="J594" s="11" t="n">
        <f aca="false">IF(Raw_Data!J594&lt;0,ABS(Raw_Data!J594),Raw_Data!J594)</f>
        <v>4348</v>
      </c>
      <c r="K594" s="11" t="n">
        <f aca="false">Raw_Data!K594</f>
        <v>212</v>
      </c>
      <c r="L594" s="11" t="n">
        <f aca="false">IF(Raw_Data!L594="",ROUND(AVERAGEIFS(Raw_Data!$L$2:$L$839,Raw_Data!$C$2:$C$839,Raw_Data!C594),2),Raw_Data!L594)</f>
        <v>320277.69</v>
      </c>
      <c r="M594" s="13" t="n">
        <f aca="false">IFERROR(J594/I594,0)</f>
        <v>0.0103978592080122</v>
      </c>
      <c r="N594" s="14" t="n">
        <f aca="false">IFERROR(H594/J594,0)</f>
        <v>3.20819227230911</v>
      </c>
      <c r="O594" s="14" t="n">
        <f aca="false">IFERROR(H594/K594,0)</f>
        <v>65.7982075471698</v>
      </c>
      <c r="P594" s="15" t="n">
        <f aca="false">IFERROR(L594/H594,0)</f>
        <v>22.96025799292</v>
      </c>
      <c r="Q594" s="13" t="n">
        <f aca="false">IFERROR(K594/J594,0)</f>
        <v>0.0487580496780129</v>
      </c>
      <c r="R594" s="11" t="str">
        <f aca="false">IF(COUNTIF($A$2:A594,A594)&gt;1,"Duplicate - Remove","Unique")</f>
        <v>Unique</v>
      </c>
      <c r="S594" s="11" t="str">
        <f aca="false">TRIM(IF(Raw_Data!G594="","Region missing; ","")&amp;IF(Raw_Data!H594="","Spend imputed; ","")&amp;IF(Raw_Data!L594="","Revenue imputed; ","")&amp;IF(Raw_Data!J594&lt;0,"Clicks corrected; ",""))</f>
        <v/>
      </c>
    </row>
    <row r="595" customFormat="false" ht="15" hidden="false" customHeight="true" outlineLevel="0" collapsed="false">
      <c r="A595" s="11" t="n">
        <f aca="false">Raw_Data!A595</f>
        <v>1097</v>
      </c>
      <c r="B595" s="11" t="str">
        <f aca="false">PROPER(TRIM(Raw_Data!B595))</f>
        <v>Herbal Range Awareness</v>
      </c>
      <c r="C595" s="11" t="str">
        <f aca="false">IFERROR(INDEX(Lookup_Tables!$B$2:$B$26,MATCH(UPPER(TRIM(Raw_Data!C595)),Lookup_Tables!$C$2:$C$26,0)),"Unknown")</f>
        <v>YouTube</v>
      </c>
      <c r="D595" s="12" t="n">
        <f aca="false">IFERROR(IF(ISNUMBER(SEARCH("/",Raw_Data!D595)),DATE(VALUE(RIGHT(Raw_Data!D595,4)),VALUE(MID(Raw_Data!D595,FIND("/",Raw_Data!D595)+1,FIND("/",Raw_Data!D595,FIND("/",Raw_Data!D595)+1)-FIND("/",Raw_Data!D595)-1)),VALUE(LEFT(Raw_Data!D595,FIND("/",Raw_Data!D595)-1))),IF(ISNUMBER(VALUE(LEFT(Raw_Data!D595,4))),DATE(VALUE(LEFT(Raw_Data!D595,4)),VALUE(MID(Raw_Data!D595,6,2)),VALUE(MID(Raw_Data!D595,9,2))),DATEVALUE(Raw_Data!D595))),"")</f>
        <v>45595</v>
      </c>
      <c r="E595" s="12" t="n">
        <f aca="false">IFERROR(IF(ISNUMBER(SEARCH("/",Raw_Data!E595)),DATE(VALUE(RIGHT(Raw_Data!E595,4)),VALUE(MID(Raw_Data!E595,FIND("/",Raw_Data!E595)+1,FIND("/",Raw_Data!E595,FIND("/",Raw_Data!E595)+1)-FIND("/",Raw_Data!E595)-1)),VALUE(LEFT(Raw_Data!E595,FIND("/",Raw_Data!E595)-1))),IF(ISNUMBER(VALUE(LEFT(Raw_Data!E595,4))),DATE(VALUE(LEFT(Raw_Data!E595,4)),VALUE(MID(Raw_Data!E595,6,2)),VALUE(MID(Raw_Data!E595,9,2))),DATEVALUE(Raw_Data!E595))),"")</f>
        <v>45610</v>
      </c>
      <c r="F595" s="11" t="str">
        <f aca="false">Raw_Data!F595</f>
        <v>Male 25-34</v>
      </c>
      <c r="G595" s="11" t="str">
        <f aca="false">IF(TRIM(Raw_Data!G595)="","Unspecified",IFERROR(INDEX(Lookup_Tables!$F$2:$F$24,MATCH(UPPER(TRIM(Raw_Data!G595)),Lookup_Tables!$G$2:$G$24,0)),"Unknown"))</f>
        <v>West</v>
      </c>
      <c r="H595" s="11" t="n">
        <f aca="false">IF(Raw_Data!H595="",ROUND(AVERAGEIFS(Raw_Data!$H$2:$H$839,Raw_Data!$C$2:$C$839,Raw_Data!C595),2),Raw_Data!H595)</f>
        <v>77121.7</v>
      </c>
      <c r="I595" s="11" t="n">
        <f aca="false">Raw_Data!I595</f>
        <v>2183199</v>
      </c>
      <c r="J595" s="11" t="n">
        <f aca="false">IF(Raw_Data!J595&lt;0,ABS(Raw_Data!J595),Raw_Data!J595)</f>
        <v>57335</v>
      </c>
      <c r="K595" s="11" t="n">
        <f aca="false">Raw_Data!K595</f>
        <v>1776</v>
      </c>
      <c r="L595" s="11" t="n">
        <f aca="false">IF(Raw_Data!L595="",ROUND(AVERAGEIFS(Raw_Data!$L$2:$L$839,Raw_Data!$C$2:$C$839,Raw_Data!C595),2),Raw_Data!L595)</f>
        <v>2722316.4</v>
      </c>
      <c r="M595" s="13" t="n">
        <f aca="false">IFERROR(J595/I595,0)</f>
        <v>0.0262619211533168</v>
      </c>
      <c r="N595" s="14" t="n">
        <f aca="false">IFERROR(H595/J595,0)</f>
        <v>1.34510682828988</v>
      </c>
      <c r="O595" s="14" t="n">
        <f aca="false">IFERROR(H595/K595,0)</f>
        <v>43.4243806306306</v>
      </c>
      <c r="P595" s="15" t="n">
        <f aca="false">IFERROR(L595/H595,0)</f>
        <v>35.2989677354104</v>
      </c>
      <c r="Q595" s="13" t="n">
        <f aca="false">IFERROR(K595/J595,0)</f>
        <v>0.0309758437254731</v>
      </c>
      <c r="R595" s="11" t="str">
        <f aca="false">IF(COUNTIF($A$2:A595,A595)&gt;1,"Duplicate - Remove","Unique")</f>
        <v>Unique</v>
      </c>
      <c r="S595" s="11" t="str">
        <f aca="false">TRIM(IF(Raw_Data!G595="","Region missing; ","")&amp;IF(Raw_Data!H595="","Spend imputed; ","")&amp;IF(Raw_Data!L595="","Revenue imputed; ","")&amp;IF(Raw_Data!J595&lt;0,"Clicks corrected; ",""))</f>
        <v/>
      </c>
    </row>
    <row r="596" customFormat="false" ht="15" hidden="false" customHeight="true" outlineLevel="0" collapsed="false">
      <c r="A596" s="11" t="n">
        <f aca="false">Raw_Data!A596</f>
        <v>1093</v>
      </c>
      <c r="B596" s="11" t="str">
        <f aca="false">PROPER(TRIM(Raw_Data!B596))</f>
        <v>Hair Care Revamp</v>
      </c>
      <c r="C596" s="11" t="str">
        <f aca="false">IFERROR(INDEX(Lookup_Tables!$B$2:$B$26,MATCH(UPPER(TRIM(Raw_Data!C596)),Lookup_Tables!$C$2:$C$26,0)),"Unknown")</f>
        <v>Facebook</v>
      </c>
      <c r="D596" s="12" t="n">
        <f aca="false">IFERROR(IF(ISNUMBER(SEARCH("/",Raw_Data!D596)),DATE(VALUE(RIGHT(Raw_Data!D596,4)),VALUE(MID(Raw_Data!D596,FIND("/",Raw_Data!D596)+1,FIND("/",Raw_Data!D596,FIND("/",Raw_Data!D596)+1)-FIND("/",Raw_Data!D596)-1)),VALUE(LEFT(Raw_Data!D596,FIND("/",Raw_Data!D596)-1))),IF(ISNUMBER(VALUE(LEFT(Raw_Data!D596,4))),DATE(VALUE(LEFT(Raw_Data!D596,4)),VALUE(MID(Raw_Data!D596,6,2)),VALUE(MID(Raw_Data!D596,9,2))),DATEVALUE(Raw_Data!D596))),"")</f>
        <v>45364</v>
      </c>
      <c r="E596" s="12" t="n">
        <f aca="false">IFERROR(IF(ISNUMBER(SEARCH("/",Raw_Data!E596)),DATE(VALUE(RIGHT(Raw_Data!E596,4)),VALUE(MID(Raw_Data!E596,FIND("/",Raw_Data!E596)+1,FIND("/",Raw_Data!E596,FIND("/",Raw_Data!E596)+1)-FIND("/",Raw_Data!E596)-1)),VALUE(LEFT(Raw_Data!E596,FIND("/",Raw_Data!E596)-1))),IF(ISNUMBER(VALUE(LEFT(Raw_Data!E596,4))),DATE(VALUE(LEFT(Raw_Data!E596,4)),VALUE(MID(Raw_Data!E596,6,2)),VALUE(MID(Raw_Data!E596,9,2))),DATEVALUE(Raw_Data!E596))),"")</f>
        <v>45372</v>
      </c>
      <c r="F596" s="11" t="str">
        <f aca="false">Raw_Data!F596</f>
        <v>Male 18-24</v>
      </c>
      <c r="G596" s="11" t="str">
        <f aca="false">IF(TRIM(Raw_Data!G596)="","Unspecified",IFERROR(INDEX(Lookup_Tables!$F$2:$F$24,MATCH(UPPER(TRIM(Raw_Data!G596)),Lookup_Tables!$G$2:$G$24,0)),"Unknown"))</f>
        <v>West</v>
      </c>
      <c r="H596" s="11" t="n">
        <f aca="false">IF(Raw_Data!H596="",ROUND(AVERAGEIFS(Raw_Data!$H$2:$H$839,Raw_Data!$C$2:$C$839,Raw_Data!C596),2),Raw_Data!H596)</f>
        <v>18769.33</v>
      </c>
      <c r="I596" s="11" t="n">
        <f aca="false">Raw_Data!I596</f>
        <v>461795</v>
      </c>
      <c r="J596" s="11" t="n">
        <f aca="false">IF(Raw_Data!J596&lt;0,ABS(Raw_Data!J596),Raw_Data!J596)</f>
        <v>10834</v>
      </c>
      <c r="K596" s="11" t="n">
        <f aca="false">Raw_Data!K596</f>
        <v>296</v>
      </c>
      <c r="L596" s="11" t="n">
        <f aca="false">IF(Raw_Data!L596="",ROUND(AVERAGEIFS(Raw_Data!$L$2:$L$839,Raw_Data!$C$2:$C$839,Raw_Data!C596),2),Raw_Data!L596)</f>
        <v>474989.98</v>
      </c>
      <c r="M596" s="13" t="n">
        <f aca="false">IFERROR(J596/I596,0)</f>
        <v>0.0234606264684546</v>
      </c>
      <c r="N596" s="14" t="n">
        <f aca="false">IFERROR(H596/J596,0)</f>
        <v>1.73244692634299</v>
      </c>
      <c r="O596" s="14" t="n">
        <f aca="false">IFERROR(H596/K596,0)</f>
        <v>63.4098986486487</v>
      </c>
      <c r="P596" s="15" t="n">
        <f aca="false">IFERROR(L596/H596,0)</f>
        <v>25.3067094030527</v>
      </c>
      <c r="Q596" s="13" t="n">
        <f aca="false">IFERROR(K596/J596,0)</f>
        <v>0.0273213956064242</v>
      </c>
      <c r="R596" s="11" t="str">
        <f aca="false">IF(COUNTIF($A$2:A596,A596)&gt;1,"Duplicate - Remove","Unique")</f>
        <v>Unique</v>
      </c>
      <c r="S596" s="11" t="str">
        <f aca="false">TRIM(IF(Raw_Data!G596="","Region missing; ","")&amp;IF(Raw_Data!H596="","Spend imputed; ","")&amp;IF(Raw_Data!L596="","Revenue imputed; ","")&amp;IF(Raw_Data!J596&lt;0,"Clicks corrected; ",""))</f>
        <v/>
      </c>
    </row>
    <row r="597" customFormat="false" ht="15" hidden="false" customHeight="true" outlineLevel="0" collapsed="false">
      <c r="A597" s="11" t="n">
        <f aca="false">Raw_Data!A597</f>
        <v>1105</v>
      </c>
      <c r="B597" s="11" t="str">
        <f aca="false">PROPER(TRIM(Raw_Data!B597))</f>
        <v>Ayurvedic Range Launch</v>
      </c>
      <c r="C597" s="11" t="str">
        <f aca="false">IFERROR(INDEX(Lookup_Tables!$B$2:$B$26,MATCH(UPPER(TRIM(Raw_Data!C597)),Lookup_Tables!$C$2:$C$26,0)),"Unknown")</f>
        <v>Facebook</v>
      </c>
      <c r="D597" s="12" t="n">
        <f aca="false">IFERROR(IF(ISNUMBER(SEARCH("/",Raw_Data!D597)),DATE(VALUE(RIGHT(Raw_Data!D597,4)),VALUE(MID(Raw_Data!D597,FIND("/",Raw_Data!D597)+1,FIND("/",Raw_Data!D597,FIND("/",Raw_Data!D597)+1)-FIND("/",Raw_Data!D597)-1)),VALUE(LEFT(Raw_Data!D597,FIND("/",Raw_Data!D597)-1))),IF(ISNUMBER(VALUE(LEFT(Raw_Data!D597,4))),DATE(VALUE(LEFT(Raw_Data!D597,4)),VALUE(MID(Raw_Data!D597,6,2)),VALUE(MID(Raw_Data!D597,9,2))),DATEVALUE(Raw_Data!D597))),"")</f>
        <v>45381</v>
      </c>
      <c r="E597" s="12" t="n">
        <f aca="false">IFERROR(IF(ISNUMBER(SEARCH("/",Raw_Data!E597)),DATE(VALUE(RIGHT(Raw_Data!E597,4)),VALUE(MID(Raw_Data!E597,FIND("/",Raw_Data!E597)+1,FIND("/",Raw_Data!E597,FIND("/",Raw_Data!E597)+1)-FIND("/",Raw_Data!E597)-1)),VALUE(LEFT(Raw_Data!E597,FIND("/",Raw_Data!E597)-1))),IF(ISNUMBER(VALUE(LEFT(Raw_Data!E597,4))),DATE(VALUE(LEFT(Raw_Data!E597,4)),VALUE(MID(Raw_Data!E597,6,2)),VALUE(MID(Raw_Data!E597,9,2))),DATEVALUE(Raw_Data!E597))),"")</f>
        <v>45405</v>
      </c>
      <c r="F597" s="11" t="str">
        <f aca="false">Raw_Data!F597</f>
        <v>Male 18-24</v>
      </c>
      <c r="G597" s="11" t="str">
        <f aca="false">IF(TRIM(Raw_Data!G597)="","Unspecified",IFERROR(INDEX(Lookup_Tables!$F$2:$F$24,MATCH(UPPER(TRIM(Raw_Data!G597)),Lookup_Tables!$G$2:$G$24,0)),"Unknown"))</f>
        <v>East</v>
      </c>
      <c r="H597" s="11" t="n">
        <f aca="false">IF(Raw_Data!H597="",ROUND(AVERAGEIFS(Raw_Data!$H$2:$H$839,Raw_Data!$C$2:$C$839,Raw_Data!C597),2),Raw_Data!H597)</f>
        <v>45469.88</v>
      </c>
      <c r="I597" s="11" t="n">
        <f aca="false">Raw_Data!I597</f>
        <v>1622126</v>
      </c>
      <c r="J597" s="11" t="n">
        <f aca="false">IF(Raw_Data!J597&lt;0,ABS(Raw_Data!J597),Raw_Data!J597)</f>
        <v>33186</v>
      </c>
      <c r="K597" s="11" t="n">
        <f aca="false">Raw_Data!K597</f>
        <v>533</v>
      </c>
      <c r="L597" s="11" t="n">
        <f aca="false">IF(Raw_Data!L597="",ROUND(AVERAGEIFS(Raw_Data!$L$2:$L$839,Raw_Data!$C$2:$C$839,Raw_Data!C597),2),Raw_Data!L597)</f>
        <v>703784.39</v>
      </c>
      <c r="M597" s="13" t="n">
        <f aca="false">IFERROR(J597/I597,0)</f>
        <v>0.0204583367753183</v>
      </c>
      <c r="N597" s="14" t="n">
        <f aca="false">IFERROR(H597/J597,0)</f>
        <v>1.37015247393479</v>
      </c>
      <c r="O597" s="14" t="n">
        <f aca="false">IFERROR(H597/K597,0)</f>
        <v>85.3093433395872</v>
      </c>
      <c r="P597" s="15" t="n">
        <f aca="false">IFERROR(L597/H597,0)</f>
        <v>15.4780349101427</v>
      </c>
      <c r="Q597" s="13" t="n">
        <f aca="false">IFERROR(K597/J597,0)</f>
        <v>0.0160609895739167</v>
      </c>
      <c r="R597" s="11" t="str">
        <f aca="false">IF(COUNTIF($A$2:A597,A597)&gt;1,"Duplicate - Remove","Unique")</f>
        <v>Unique</v>
      </c>
      <c r="S597" s="11" t="str">
        <f aca="false">TRIM(IF(Raw_Data!G597="","Region missing; ","")&amp;IF(Raw_Data!H597="","Spend imputed; ","")&amp;IF(Raw_Data!L597="","Revenue imputed; ","")&amp;IF(Raw_Data!J597&lt;0,"Clicks corrected; ",""))</f>
        <v/>
      </c>
    </row>
    <row r="598" customFormat="false" ht="15" hidden="false" customHeight="true" outlineLevel="0" collapsed="false">
      <c r="A598" s="11" t="n">
        <f aca="false">Raw_Data!A598</f>
        <v>1802</v>
      </c>
      <c r="B598" s="11" t="str">
        <f aca="false">PROPER(TRIM(Raw_Data!B598))</f>
        <v>Monsoon Skincare Push</v>
      </c>
      <c r="C598" s="11" t="str">
        <f aca="false">IFERROR(INDEX(Lookup_Tables!$B$2:$B$26,MATCH(UPPER(TRIM(Raw_Data!C598)),Lookup_Tables!$C$2:$C$26,0)),"Unknown")</f>
        <v>Facebook</v>
      </c>
      <c r="D598" s="12" t="n">
        <f aca="false">IFERROR(IF(ISNUMBER(SEARCH("/",Raw_Data!D598)),DATE(VALUE(RIGHT(Raw_Data!D598,4)),VALUE(MID(Raw_Data!D598,FIND("/",Raw_Data!D598)+1,FIND("/",Raw_Data!D598,FIND("/",Raw_Data!D598)+1)-FIND("/",Raw_Data!D598)-1)),VALUE(LEFT(Raw_Data!D598,FIND("/",Raw_Data!D598)-1))),IF(ISNUMBER(VALUE(LEFT(Raw_Data!D598,4))),DATE(VALUE(LEFT(Raw_Data!D598,4)),VALUE(MID(Raw_Data!D598,6,2)),VALUE(MID(Raw_Data!D598,9,2))),DATEVALUE(Raw_Data!D598))),"")</f>
        <v>45499</v>
      </c>
      <c r="E598" s="12" t="n">
        <f aca="false">IFERROR(IF(ISNUMBER(SEARCH("/",Raw_Data!E598)),DATE(VALUE(RIGHT(Raw_Data!E598,4)),VALUE(MID(Raw_Data!E598,FIND("/",Raw_Data!E598)+1,FIND("/",Raw_Data!E598,FIND("/",Raw_Data!E598)+1)-FIND("/",Raw_Data!E598)-1)),VALUE(LEFT(Raw_Data!E598,FIND("/",Raw_Data!E598)-1))),IF(ISNUMBER(VALUE(LEFT(Raw_Data!E598,4))),DATE(VALUE(LEFT(Raw_Data!E598,4)),VALUE(MID(Raw_Data!E598,6,2)),VALUE(MID(Raw_Data!E598,9,2))),DATEVALUE(Raw_Data!E598))),"")</f>
        <v>45521</v>
      </c>
      <c r="F598" s="11" t="str">
        <f aca="false">Raw_Data!F598</f>
        <v>Male 35-44</v>
      </c>
      <c r="G598" s="11" t="str">
        <f aca="false">IF(TRIM(Raw_Data!G598)="","Unspecified",IFERROR(INDEX(Lookup_Tables!$F$2:$F$24,MATCH(UPPER(TRIM(Raw_Data!G598)),Lookup_Tables!$G$2:$G$24,0)),"Unknown"))</f>
        <v>Unspecified</v>
      </c>
      <c r="H598" s="11" t="n">
        <f aca="false">IF(Raw_Data!H598="",ROUND(AVERAGEIFS(Raw_Data!$H$2:$H$839,Raw_Data!$C$2:$C$839,Raw_Data!C598),2),Raw_Data!H598)</f>
        <v>17628.42</v>
      </c>
      <c r="I598" s="11" t="n">
        <f aca="false">Raw_Data!I598</f>
        <v>524821</v>
      </c>
      <c r="J598" s="11" t="n">
        <f aca="false">IF(Raw_Data!J598&lt;0,ABS(Raw_Data!J598),Raw_Data!J598)</f>
        <v>11459</v>
      </c>
      <c r="K598" s="11" t="n">
        <f aca="false">Raw_Data!K598</f>
        <v>751</v>
      </c>
      <c r="L598" s="11" t="n">
        <f aca="false">IF(Raw_Data!L598="",ROUND(AVERAGEIFS(Raw_Data!$L$2:$L$839,Raw_Data!$C$2:$C$839,Raw_Data!C598),2),Raw_Data!L598)</f>
        <v>352153.57</v>
      </c>
      <c r="M598" s="13" t="n">
        <f aca="false">IFERROR(J598/I598,0)</f>
        <v>0.0218341110588181</v>
      </c>
      <c r="N598" s="14" t="n">
        <f aca="false">IFERROR(H598/J598,0)</f>
        <v>1.53839078453617</v>
      </c>
      <c r="O598" s="14" t="n">
        <f aca="false">IFERROR(H598/K598,0)</f>
        <v>23.4732623169108</v>
      </c>
      <c r="P598" s="15" t="n">
        <f aca="false">IFERROR(L598/H598,0)</f>
        <v>19.9764681122869</v>
      </c>
      <c r="Q598" s="13" t="n">
        <f aca="false">IFERROR(K598/J598,0)</f>
        <v>0.0655380050615237</v>
      </c>
      <c r="R598" s="11" t="str">
        <f aca="false">IF(COUNTIF($A$2:A598,A598)&gt;1,"Duplicate - Remove","Unique")</f>
        <v>Unique</v>
      </c>
      <c r="S598" s="11" t="str">
        <f aca="false">TRIM(IF(Raw_Data!G598="","Region missing; ","")&amp;IF(Raw_Data!H598="","Spend imputed; ","")&amp;IF(Raw_Data!L598="","Revenue imputed; ","")&amp;IF(Raw_Data!J598&lt;0,"Clicks corrected; ",""))</f>
        <v>Region missing;</v>
      </c>
    </row>
    <row r="599" customFormat="false" ht="15" hidden="false" customHeight="true" outlineLevel="0" collapsed="false">
      <c r="A599" s="11" t="n">
        <f aca="false">Raw_Data!A599</f>
        <v>1228</v>
      </c>
      <c r="B599" s="11" t="str">
        <f aca="false">PROPER(TRIM(Raw_Data!B599))</f>
        <v>Men'S Grooming Drive</v>
      </c>
      <c r="C599" s="11" t="str">
        <f aca="false">IFERROR(INDEX(Lookup_Tables!$B$2:$B$26,MATCH(UPPER(TRIM(Raw_Data!C599)),Lookup_Tables!$C$2:$C$26,0)),"Unknown")</f>
        <v>Email</v>
      </c>
      <c r="D599" s="12" t="n">
        <f aca="false">IFERROR(IF(ISNUMBER(SEARCH("/",Raw_Data!D599)),DATE(VALUE(RIGHT(Raw_Data!D599,4)),VALUE(MID(Raw_Data!D599,FIND("/",Raw_Data!D599)+1,FIND("/",Raw_Data!D599,FIND("/",Raw_Data!D599)+1)-FIND("/",Raw_Data!D599)-1)),VALUE(LEFT(Raw_Data!D599,FIND("/",Raw_Data!D599)-1))),IF(ISNUMBER(VALUE(LEFT(Raw_Data!D599,4))),DATE(VALUE(LEFT(Raw_Data!D599,4)),VALUE(MID(Raw_Data!D599,6,2)),VALUE(MID(Raw_Data!D599,9,2))),DATEVALUE(Raw_Data!D599))),"")</f>
        <v>45423</v>
      </c>
      <c r="E599" s="12" t="n">
        <f aca="false">IFERROR(IF(ISNUMBER(SEARCH("/",Raw_Data!E599)),DATE(VALUE(RIGHT(Raw_Data!E599,4)),VALUE(MID(Raw_Data!E599,FIND("/",Raw_Data!E599)+1,FIND("/",Raw_Data!E599,FIND("/",Raw_Data!E599)+1)-FIND("/",Raw_Data!E599)-1)),VALUE(LEFT(Raw_Data!E599,FIND("/",Raw_Data!E599)-1))),IF(ISNUMBER(VALUE(LEFT(Raw_Data!E599,4))),DATE(VALUE(LEFT(Raw_Data!E599,4)),VALUE(MID(Raw_Data!E599,6,2)),VALUE(MID(Raw_Data!E599,9,2))),DATEVALUE(Raw_Data!E599))),"")</f>
        <v>45434</v>
      </c>
      <c r="F599" s="11" t="str">
        <f aca="false">Raw_Data!F599</f>
        <v>Female 45+</v>
      </c>
      <c r="G599" s="11" t="str">
        <f aca="false">IF(TRIM(Raw_Data!G599)="","Unspecified",IFERROR(INDEX(Lookup_Tables!$F$2:$F$24,MATCH(UPPER(TRIM(Raw_Data!G599)),Lookup_Tables!$G$2:$G$24,0)),"Unknown"))</f>
        <v>North</v>
      </c>
      <c r="H599" s="11" t="n">
        <f aca="false">IF(Raw_Data!H599="",ROUND(AVERAGEIFS(Raw_Data!$H$2:$H$839,Raw_Data!$C$2:$C$839,Raw_Data!C599),2),Raw_Data!H599)</f>
        <v>5964.04</v>
      </c>
      <c r="I599" s="11" t="n">
        <f aca="false">Raw_Data!I599</f>
        <v>207164</v>
      </c>
      <c r="J599" s="11" t="n">
        <f aca="false">IF(Raw_Data!J599&lt;0,ABS(Raw_Data!J599),Raw_Data!J599)</f>
        <v>4627</v>
      </c>
      <c r="K599" s="11" t="n">
        <f aca="false">Raw_Data!K599</f>
        <v>84</v>
      </c>
      <c r="L599" s="11" t="n">
        <f aca="false">IF(Raw_Data!L599="",ROUND(AVERAGEIFS(Raw_Data!$L$2:$L$839,Raw_Data!$C$2:$C$839,Raw_Data!C599),2),Raw_Data!L599)</f>
        <v>30276.24</v>
      </c>
      <c r="M599" s="13" t="n">
        <f aca="false">IFERROR(J599/I599,0)</f>
        <v>0.0223349616728775</v>
      </c>
      <c r="N599" s="14" t="n">
        <f aca="false">IFERROR(H599/J599,0)</f>
        <v>1.28896477199049</v>
      </c>
      <c r="O599" s="14" t="n">
        <f aca="false">IFERROR(H599/K599,0)</f>
        <v>71.0004761904762</v>
      </c>
      <c r="P599" s="15" t="n">
        <f aca="false">IFERROR(L599/H599,0)</f>
        <v>5.07646494657984</v>
      </c>
      <c r="Q599" s="13" t="n">
        <f aca="false">IFERROR(K599/J599,0)</f>
        <v>0.0181543116490166</v>
      </c>
      <c r="R599" s="11" t="str">
        <f aca="false">IF(COUNTIF($A$2:A599,A599)&gt;1,"Duplicate - Remove","Unique")</f>
        <v>Unique</v>
      </c>
      <c r="S599" s="11" t="str">
        <f aca="false">TRIM(IF(Raw_Data!G599="","Region missing; ","")&amp;IF(Raw_Data!H599="","Spend imputed; ","")&amp;IF(Raw_Data!L599="","Revenue imputed; ","")&amp;IF(Raw_Data!J599&lt;0,"Clicks corrected; ",""))</f>
        <v/>
      </c>
    </row>
    <row r="600" customFormat="false" ht="15" hidden="false" customHeight="true" outlineLevel="0" collapsed="false">
      <c r="A600" s="11" t="n">
        <f aca="false">Raw_Data!A600</f>
        <v>1405</v>
      </c>
      <c r="B600" s="11" t="str">
        <f aca="false">PROPER(TRIM(Raw_Data!B600))</f>
        <v>Back To College Offer</v>
      </c>
      <c r="C600" s="11" t="str">
        <f aca="false">IFERROR(INDEX(Lookup_Tables!$B$2:$B$26,MATCH(UPPER(TRIM(Raw_Data!C600)),Lookup_Tables!$C$2:$C$26,0)),"Unknown")</f>
        <v>Instagram</v>
      </c>
      <c r="D600" s="12" t="n">
        <f aca="false">IFERROR(IF(ISNUMBER(SEARCH("/",Raw_Data!D600)),DATE(VALUE(RIGHT(Raw_Data!D600,4)),VALUE(MID(Raw_Data!D600,FIND("/",Raw_Data!D600)+1,FIND("/",Raw_Data!D600,FIND("/",Raw_Data!D600)+1)-FIND("/",Raw_Data!D600)-1)),VALUE(LEFT(Raw_Data!D600,FIND("/",Raw_Data!D600)-1))),IF(ISNUMBER(VALUE(LEFT(Raw_Data!D600,4))),DATE(VALUE(LEFT(Raw_Data!D600,4)),VALUE(MID(Raw_Data!D600,6,2)),VALUE(MID(Raw_Data!D600,9,2))),DATEVALUE(Raw_Data!D600))),"")</f>
        <v>45431</v>
      </c>
      <c r="E600" s="12" t="n">
        <f aca="false">IFERROR(IF(ISNUMBER(SEARCH("/",Raw_Data!E600)),DATE(VALUE(RIGHT(Raw_Data!E600,4)),VALUE(MID(Raw_Data!E600,FIND("/",Raw_Data!E600)+1,FIND("/",Raw_Data!E600,FIND("/",Raw_Data!E600)+1)-FIND("/",Raw_Data!E600)-1)),VALUE(LEFT(Raw_Data!E600,FIND("/",Raw_Data!E600)-1))),IF(ISNUMBER(VALUE(LEFT(Raw_Data!E600,4))),DATE(VALUE(LEFT(Raw_Data!E600,4)),VALUE(MID(Raw_Data!E600,6,2)),VALUE(MID(Raw_Data!E600,9,2))),DATEVALUE(Raw_Data!E600))),"")</f>
        <v>45455</v>
      </c>
      <c r="F600" s="11" t="str">
        <f aca="false">Raw_Data!F600</f>
        <v>Male 45+</v>
      </c>
      <c r="G600" s="11" t="str">
        <f aca="false">IF(TRIM(Raw_Data!G600)="","Unspecified",IFERROR(INDEX(Lookup_Tables!$F$2:$F$24,MATCH(UPPER(TRIM(Raw_Data!G600)),Lookup_Tables!$G$2:$G$24,0)),"Unknown"))</f>
        <v>Unspecified</v>
      </c>
      <c r="H600" s="11" t="n">
        <f aca="false">IF(Raw_Data!H600="",ROUND(AVERAGEIFS(Raw_Data!$H$2:$H$839,Raw_Data!$C$2:$C$839,Raw_Data!C600),2),Raw_Data!H600)</f>
        <v>51653.36</v>
      </c>
      <c r="I600" s="11" t="n">
        <f aca="false">Raw_Data!I600</f>
        <v>1265705</v>
      </c>
      <c r="J600" s="11" t="n">
        <f aca="false">IF(Raw_Data!J600&lt;0,ABS(Raw_Data!J600),Raw_Data!J600)</f>
        <v>19672</v>
      </c>
      <c r="K600" s="11" t="n">
        <f aca="false">Raw_Data!K600</f>
        <v>1067</v>
      </c>
      <c r="L600" s="11" t="n">
        <f aca="false">IF(Raw_Data!L600="",ROUND(AVERAGEIFS(Raw_Data!$L$2:$L$839,Raw_Data!$C$2:$C$839,Raw_Data!C600),2),Raw_Data!L600)</f>
        <v>1278779</v>
      </c>
      <c r="M600" s="13" t="n">
        <f aca="false">IFERROR(J600/I600,0)</f>
        <v>0.0155423262134542</v>
      </c>
      <c r="N600" s="14" t="n">
        <f aca="false">IFERROR(H600/J600,0)</f>
        <v>2.62572997153314</v>
      </c>
      <c r="O600" s="14" t="n">
        <f aca="false">IFERROR(H600/K600,0)</f>
        <v>48.4098969072165</v>
      </c>
      <c r="P600" s="15" t="n">
        <f aca="false">IFERROR(L600/H600,0)</f>
        <v>24.7569373996193</v>
      </c>
      <c r="Q600" s="13" t="n">
        <f aca="false">IFERROR(K600/J600,0)</f>
        <v>0.0542395282635218</v>
      </c>
      <c r="R600" s="11" t="str">
        <f aca="false">IF(COUNTIF($A$2:A600,A600)&gt;1,"Duplicate - Remove","Unique")</f>
        <v>Unique</v>
      </c>
      <c r="S600" s="11" t="str">
        <f aca="false">TRIM(IF(Raw_Data!G600="","Region missing; ","")&amp;IF(Raw_Data!H600="","Spend imputed; ","")&amp;IF(Raw_Data!L600="","Revenue imputed; ","")&amp;IF(Raw_Data!J600&lt;0,"Clicks corrected; ",""))</f>
        <v>Region missing;</v>
      </c>
    </row>
    <row r="601" customFormat="false" ht="15" hidden="false" customHeight="true" outlineLevel="0" collapsed="false">
      <c r="A601" s="11" t="n">
        <f aca="false">Raw_Data!A601</f>
        <v>1714</v>
      </c>
      <c r="B601" s="11" t="str">
        <f aca="false">PROPER(TRIM(Raw_Data!B601))</f>
        <v>Ayurvedic Range Launch</v>
      </c>
      <c r="C601" s="11" t="str">
        <f aca="false">IFERROR(INDEX(Lookup_Tables!$B$2:$B$26,MATCH(UPPER(TRIM(Raw_Data!C601)),Lookup_Tables!$C$2:$C$26,0)),"Unknown")</f>
        <v>Facebook</v>
      </c>
      <c r="D601" s="12" t="n">
        <f aca="false">IFERROR(IF(ISNUMBER(SEARCH("/",Raw_Data!D601)),DATE(VALUE(RIGHT(Raw_Data!D601,4)),VALUE(MID(Raw_Data!D601,FIND("/",Raw_Data!D601)+1,FIND("/",Raw_Data!D601,FIND("/",Raw_Data!D601)+1)-FIND("/",Raw_Data!D601)-1)),VALUE(LEFT(Raw_Data!D601,FIND("/",Raw_Data!D601)-1))),IF(ISNUMBER(VALUE(LEFT(Raw_Data!D601,4))),DATE(VALUE(LEFT(Raw_Data!D601,4)),VALUE(MID(Raw_Data!D601,6,2)),VALUE(MID(Raw_Data!D601,9,2))),DATEVALUE(Raw_Data!D601))),"")</f>
        <v>45363</v>
      </c>
      <c r="E601" s="12" t="n">
        <f aca="false">IFERROR(IF(ISNUMBER(SEARCH("/",Raw_Data!E601)),DATE(VALUE(RIGHT(Raw_Data!E601,4)),VALUE(MID(Raw_Data!E601,FIND("/",Raw_Data!E601)+1,FIND("/",Raw_Data!E601,FIND("/",Raw_Data!E601)+1)-FIND("/",Raw_Data!E601)-1)),VALUE(LEFT(Raw_Data!E601,FIND("/",Raw_Data!E601)-1))),IF(ISNUMBER(VALUE(LEFT(Raw_Data!E601,4))),DATE(VALUE(LEFT(Raw_Data!E601,4)),VALUE(MID(Raw_Data!E601,6,2)),VALUE(MID(Raw_Data!E601,9,2))),DATEVALUE(Raw_Data!E601))),"")</f>
        <v>45374</v>
      </c>
      <c r="F601" s="11" t="str">
        <f aca="false">Raw_Data!F601</f>
        <v>Female 18-24</v>
      </c>
      <c r="G601" s="11" t="str">
        <f aca="false">IF(TRIM(Raw_Data!G601)="","Unspecified",IFERROR(INDEX(Lookup_Tables!$F$2:$F$24,MATCH(UPPER(TRIM(Raw_Data!G601)),Lookup_Tables!$G$2:$G$24,0)),"Unknown"))</f>
        <v>East</v>
      </c>
      <c r="H601" s="11" t="n">
        <f aca="false">IF(Raw_Data!H601="",ROUND(AVERAGEIFS(Raw_Data!$H$2:$H$839,Raw_Data!$C$2:$C$839,Raw_Data!C601),2),Raw_Data!H601)</f>
        <v>46768.72</v>
      </c>
      <c r="I601" s="11" t="n">
        <f aca="false">Raw_Data!I601</f>
        <v>918508</v>
      </c>
      <c r="J601" s="11" t="n">
        <f aca="false">IF(Raw_Data!J601&lt;0,ABS(Raw_Data!J601),Raw_Data!J601)</f>
        <v>24384</v>
      </c>
      <c r="K601" s="11" t="n">
        <f aca="false">Raw_Data!K601</f>
        <v>400</v>
      </c>
      <c r="L601" s="11" t="n">
        <f aca="false">IF(Raw_Data!L601="",ROUND(AVERAGEIFS(Raw_Data!$L$2:$L$839,Raw_Data!$C$2:$C$839,Raw_Data!C601),2),Raw_Data!L601)</f>
        <v>391122.23</v>
      </c>
      <c r="M601" s="13" t="n">
        <f aca="false">IFERROR(J601/I601,0)</f>
        <v>0.0265474007847509</v>
      </c>
      <c r="N601" s="14" t="n">
        <f aca="false">IFERROR(H601/J601,0)</f>
        <v>1.91800853018373</v>
      </c>
      <c r="O601" s="14" t="n">
        <f aca="false">IFERROR(H601/K601,0)</f>
        <v>116.9218</v>
      </c>
      <c r="P601" s="15" t="n">
        <f aca="false">IFERROR(L601/H601,0)</f>
        <v>8.36290217051055</v>
      </c>
      <c r="Q601" s="13" t="n">
        <f aca="false">IFERROR(K601/J601,0)</f>
        <v>0.0164041994750656</v>
      </c>
      <c r="R601" s="11" t="str">
        <f aca="false">IF(COUNTIF($A$2:A601,A601)&gt;1,"Duplicate - Remove","Unique")</f>
        <v>Unique</v>
      </c>
      <c r="S601" s="11" t="str">
        <f aca="false">TRIM(IF(Raw_Data!G601="","Region missing; ","")&amp;IF(Raw_Data!H601="","Spend imputed; ","")&amp;IF(Raw_Data!L601="","Revenue imputed; ","")&amp;IF(Raw_Data!J601&lt;0,"Clicks corrected; ",""))</f>
        <v/>
      </c>
    </row>
    <row r="602" customFormat="false" ht="15" hidden="false" customHeight="true" outlineLevel="0" collapsed="false">
      <c r="A602" s="11" t="n">
        <f aca="false">Raw_Data!A602</f>
        <v>1323</v>
      </c>
      <c r="B602" s="11" t="str">
        <f aca="false">PROPER(TRIM(Raw_Data!B602))</f>
        <v>Back To College Offer</v>
      </c>
      <c r="C602" s="11" t="str">
        <f aca="false">IFERROR(INDEX(Lookup_Tables!$B$2:$B$26,MATCH(UPPER(TRIM(Raw_Data!C602)),Lookup_Tables!$C$2:$C$26,0)),"Unknown")</f>
        <v>YouTube</v>
      </c>
      <c r="D602" s="12" t="n">
        <f aca="false">IFERROR(IF(ISNUMBER(SEARCH("/",Raw_Data!D602)),DATE(VALUE(RIGHT(Raw_Data!D602,4)),VALUE(MID(Raw_Data!D602,FIND("/",Raw_Data!D602)+1,FIND("/",Raw_Data!D602,FIND("/",Raw_Data!D602)+1)-FIND("/",Raw_Data!D602)-1)),VALUE(LEFT(Raw_Data!D602,FIND("/",Raw_Data!D602)-1))),IF(ISNUMBER(VALUE(LEFT(Raw_Data!D602,4))),DATE(VALUE(LEFT(Raw_Data!D602,4)),VALUE(MID(Raw_Data!D602,6,2)),VALUE(MID(Raw_Data!D602,9,2))),DATEVALUE(Raw_Data!D602))),"")</f>
        <v>45418</v>
      </c>
      <c r="E602" s="12" t="n">
        <f aca="false">IFERROR(IF(ISNUMBER(SEARCH("/",Raw_Data!E602)),DATE(VALUE(RIGHT(Raw_Data!E602,4)),VALUE(MID(Raw_Data!E602,FIND("/",Raw_Data!E602)+1,FIND("/",Raw_Data!E602,FIND("/",Raw_Data!E602)+1)-FIND("/",Raw_Data!E602)-1)),VALUE(LEFT(Raw_Data!E602,FIND("/",Raw_Data!E602)-1))),IF(ISNUMBER(VALUE(LEFT(Raw_Data!E602,4))),DATE(VALUE(LEFT(Raw_Data!E602,4)),VALUE(MID(Raw_Data!E602,6,2)),VALUE(MID(Raw_Data!E602,9,2))),DATEVALUE(Raw_Data!E602))),"")</f>
        <v>45430</v>
      </c>
      <c r="F602" s="11" t="str">
        <f aca="false">Raw_Data!F602</f>
        <v>Female 45+</v>
      </c>
      <c r="G602" s="11" t="str">
        <f aca="false">IF(TRIM(Raw_Data!G602)="","Unspecified",IFERROR(INDEX(Lookup_Tables!$F$2:$F$24,MATCH(UPPER(TRIM(Raw_Data!G602)),Lookup_Tables!$G$2:$G$24,0)),"Unknown"))</f>
        <v>Unspecified</v>
      </c>
      <c r="H602" s="11" t="n">
        <f aca="false">IF(Raw_Data!H602="",ROUND(AVERAGEIFS(Raw_Data!$H$2:$H$839,Raw_Data!$C$2:$C$839,Raw_Data!C602),2),Raw_Data!H602)</f>
        <v>47568.65</v>
      </c>
      <c r="I602" s="11" t="n">
        <f aca="false">Raw_Data!I602</f>
        <v>978019</v>
      </c>
      <c r="J602" s="11" t="n">
        <f aca="false">IF(Raw_Data!J602&lt;0,ABS(Raw_Data!J602),Raw_Data!J602)</f>
        <v>32102</v>
      </c>
      <c r="K602" s="11" t="n">
        <f aca="false">Raw_Data!K602</f>
        <v>2447</v>
      </c>
      <c r="L602" s="11" t="n">
        <f aca="false">IF(Raw_Data!L602="",ROUND(AVERAGEIFS(Raw_Data!$L$2:$L$839,Raw_Data!$C$2:$C$839,Raw_Data!C602),2),Raw_Data!L602)</f>
        <v>4098588.81</v>
      </c>
      <c r="M602" s="13" t="n">
        <f aca="false">IFERROR(J602/I602,0)</f>
        <v>0.0328234932041198</v>
      </c>
      <c r="N602" s="14" t="n">
        <f aca="false">IFERROR(H602/J602,0)</f>
        <v>1.48179708429381</v>
      </c>
      <c r="O602" s="14" t="n">
        <f aca="false">IFERROR(H602/K602,0)</f>
        <v>19.4395790764201</v>
      </c>
      <c r="P602" s="15" t="n">
        <f aca="false">IFERROR(L602/H602,0)</f>
        <v>86.161554090772</v>
      </c>
      <c r="Q602" s="13" t="n">
        <f aca="false">IFERROR(K602/J602,0)</f>
        <v>0.0762257803252134</v>
      </c>
      <c r="R602" s="11" t="str">
        <f aca="false">IF(COUNTIF($A$2:A602,A602)&gt;1,"Duplicate - Remove","Unique")</f>
        <v>Unique</v>
      </c>
      <c r="S602" s="11" t="str">
        <f aca="false">TRIM(IF(Raw_Data!G602="","Region missing; ","")&amp;IF(Raw_Data!H602="","Spend imputed; ","")&amp;IF(Raw_Data!L602="","Revenue imputed; ","")&amp;IF(Raw_Data!J602&lt;0,"Clicks corrected; ",""))</f>
        <v>Region missing;</v>
      </c>
    </row>
    <row r="603" customFormat="false" ht="15" hidden="false" customHeight="true" outlineLevel="0" collapsed="false">
      <c r="A603" s="11" t="n">
        <f aca="false">Raw_Data!A603</f>
        <v>1602</v>
      </c>
      <c r="B603" s="11" t="str">
        <f aca="false">PROPER(TRIM(Raw_Data!B603))</f>
        <v>Festive Gift Bundle</v>
      </c>
      <c r="C603" s="11" t="str">
        <f aca="false">IFERROR(INDEX(Lookup_Tables!$B$2:$B$26,MATCH(UPPER(TRIM(Raw_Data!C603)),Lookup_Tables!$C$2:$C$26,0)),"Unknown")</f>
        <v>Facebook</v>
      </c>
      <c r="D603" s="12" t="n">
        <f aca="false">IFERROR(IF(ISNUMBER(SEARCH("/",Raw_Data!D603)),DATE(VALUE(RIGHT(Raw_Data!D603,4)),VALUE(MID(Raw_Data!D603,FIND("/",Raw_Data!D603)+1,FIND("/",Raw_Data!D603,FIND("/",Raw_Data!D603)+1)-FIND("/",Raw_Data!D603)-1)),VALUE(LEFT(Raw_Data!D603,FIND("/",Raw_Data!D603)-1))),IF(ISNUMBER(VALUE(LEFT(Raw_Data!D603,4))),DATE(VALUE(LEFT(Raw_Data!D603,4)),VALUE(MID(Raw_Data!D603,6,2)),VALUE(MID(Raw_Data!D603,9,2))),DATEVALUE(Raw_Data!D603))),"")</f>
        <v>45461</v>
      </c>
      <c r="E603" s="12" t="n">
        <f aca="false">IFERROR(IF(ISNUMBER(SEARCH("/",Raw_Data!E603)),DATE(VALUE(RIGHT(Raw_Data!E603,4)),VALUE(MID(Raw_Data!E603,FIND("/",Raw_Data!E603)+1,FIND("/",Raw_Data!E603,FIND("/",Raw_Data!E603)+1)-FIND("/",Raw_Data!E603)-1)),VALUE(LEFT(Raw_Data!E603,FIND("/",Raw_Data!E603)-1))),IF(ISNUMBER(VALUE(LEFT(Raw_Data!E603,4))),DATE(VALUE(LEFT(Raw_Data!E603,4)),VALUE(MID(Raw_Data!E603,6,2)),VALUE(MID(Raw_Data!E603,9,2))),DATEVALUE(Raw_Data!E603))),"")</f>
        <v>45484</v>
      </c>
      <c r="F603" s="11" t="str">
        <f aca="false">Raw_Data!F603</f>
        <v>Female 45+</v>
      </c>
      <c r="G603" s="11" t="str">
        <f aca="false">IF(TRIM(Raw_Data!G603)="","Unspecified",IFERROR(INDEX(Lookup_Tables!$F$2:$F$24,MATCH(UPPER(TRIM(Raw_Data!G603)),Lookup_Tables!$G$2:$G$24,0)),"Unknown"))</f>
        <v>Central</v>
      </c>
      <c r="H603" s="11" t="n">
        <f aca="false">IF(Raw_Data!H603="",ROUND(AVERAGEIFS(Raw_Data!$H$2:$H$839,Raw_Data!$C$2:$C$839,Raw_Data!C603),2),Raw_Data!H603)</f>
        <v>30785.98</v>
      </c>
      <c r="I603" s="11" t="n">
        <f aca="false">Raw_Data!I603</f>
        <v>1277222</v>
      </c>
      <c r="J603" s="11" t="n">
        <f aca="false">IF(Raw_Data!J603&lt;0,ABS(Raw_Data!J603),Raw_Data!J603)</f>
        <v>34635</v>
      </c>
      <c r="K603" s="11" t="n">
        <f aca="false">Raw_Data!K603</f>
        <v>1839</v>
      </c>
      <c r="L603" s="11" t="n">
        <f aca="false">IF(Raw_Data!L603="",ROUND(AVERAGEIFS(Raw_Data!$L$2:$L$839,Raw_Data!$C$2:$C$839,Raw_Data!C603),2),Raw_Data!L603)</f>
        <v>3068156.57</v>
      </c>
      <c r="M603" s="13" t="n">
        <f aca="false">IFERROR(J603/I603,0)</f>
        <v>0.0271174470843753</v>
      </c>
      <c r="N603" s="14" t="n">
        <f aca="false">IFERROR(H603/J603,0)</f>
        <v>0.888869063086473</v>
      </c>
      <c r="O603" s="14" t="n">
        <f aca="false">IFERROR(H603/K603,0)</f>
        <v>16.7406090266449</v>
      </c>
      <c r="P603" s="15" t="n">
        <f aca="false">IFERROR(L603/H603,0)</f>
        <v>99.6608381477543</v>
      </c>
      <c r="Q603" s="13" t="n">
        <f aca="false">IFERROR(K603/J603,0)</f>
        <v>0.0530965786054569</v>
      </c>
      <c r="R603" s="11" t="str">
        <f aca="false">IF(COUNTIF($A$2:A603,A603)&gt;1,"Duplicate - Remove","Unique")</f>
        <v>Unique</v>
      </c>
      <c r="S603" s="11" t="str">
        <f aca="false">TRIM(IF(Raw_Data!G603="","Region missing; ","")&amp;IF(Raw_Data!H603="","Spend imputed; ","")&amp;IF(Raw_Data!L603="","Revenue imputed; ","")&amp;IF(Raw_Data!J603&lt;0,"Clicks corrected; ",""))</f>
        <v>Spend imputed;</v>
      </c>
    </row>
    <row r="604" customFormat="false" ht="15" hidden="false" customHeight="true" outlineLevel="0" collapsed="false">
      <c r="A604" s="11" t="n">
        <f aca="false">Raw_Data!A604</f>
        <v>1264</v>
      </c>
      <c r="B604" s="11" t="str">
        <f aca="false">PROPER(TRIM(Raw_Data!B604))</f>
        <v>New Year Wellness</v>
      </c>
      <c r="C604" s="11" t="str">
        <f aca="false">IFERROR(INDEX(Lookup_Tables!$B$2:$B$26,MATCH(UPPER(TRIM(Raw_Data!C604)),Lookup_Tables!$C$2:$C$26,0)),"Unknown")</f>
        <v>YouTube</v>
      </c>
      <c r="D604" s="12" t="n">
        <f aca="false">IFERROR(IF(ISNUMBER(SEARCH("/",Raw_Data!D604)),DATE(VALUE(RIGHT(Raw_Data!D604,4)),VALUE(MID(Raw_Data!D604,FIND("/",Raw_Data!D604)+1,FIND("/",Raw_Data!D604,FIND("/",Raw_Data!D604)+1)-FIND("/",Raw_Data!D604)-1)),VALUE(LEFT(Raw_Data!D604,FIND("/",Raw_Data!D604)-1))),IF(ISNUMBER(VALUE(LEFT(Raw_Data!D604,4))),DATE(VALUE(LEFT(Raw_Data!D604,4)),VALUE(MID(Raw_Data!D604,6,2)),VALUE(MID(Raw_Data!D604,9,2))),DATEVALUE(Raw_Data!D604))),"")</f>
        <v>45584</v>
      </c>
      <c r="E604" s="12" t="n">
        <f aca="false">IFERROR(IF(ISNUMBER(SEARCH("/",Raw_Data!E604)),DATE(VALUE(RIGHT(Raw_Data!E604,4)),VALUE(MID(Raw_Data!E604,FIND("/",Raw_Data!E604)+1,FIND("/",Raw_Data!E604,FIND("/",Raw_Data!E604)+1)-FIND("/",Raw_Data!E604)-1)),VALUE(LEFT(Raw_Data!E604,FIND("/",Raw_Data!E604)-1))),IF(ISNUMBER(VALUE(LEFT(Raw_Data!E604,4))),DATE(VALUE(LEFT(Raw_Data!E604,4)),VALUE(MID(Raw_Data!E604,6,2)),VALUE(MID(Raw_Data!E604,9,2))),DATEVALUE(Raw_Data!E604))),"")</f>
        <v>45612</v>
      </c>
      <c r="F604" s="11" t="str">
        <f aca="false">Raw_Data!F604</f>
        <v>Male 45+</v>
      </c>
      <c r="G604" s="11" t="str">
        <f aca="false">IF(TRIM(Raw_Data!G604)="","Unspecified",IFERROR(INDEX(Lookup_Tables!$F$2:$F$24,MATCH(UPPER(TRIM(Raw_Data!G604)),Lookup_Tables!$G$2:$G$24,0)),"Unknown"))</f>
        <v>South</v>
      </c>
      <c r="H604" s="11" t="n">
        <f aca="false">IF(Raw_Data!H604="",ROUND(AVERAGEIFS(Raw_Data!$H$2:$H$839,Raw_Data!$C$2:$C$839,Raw_Data!C604),2),Raw_Data!H604)</f>
        <v>56111.43</v>
      </c>
      <c r="I604" s="11" t="n">
        <f aca="false">Raw_Data!I604</f>
        <v>1209984</v>
      </c>
      <c r="J604" s="11" t="n">
        <f aca="false">IF(Raw_Data!J604&lt;0,ABS(Raw_Data!J604),Raw_Data!J604)</f>
        <v>20516</v>
      </c>
      <c r="K604" s="11" t="n">
        <f aca="false">Raw_Data!K604</f>
        <v>829</v>
      </c>
      <c r="L604" s="11" t="n">
        <f aca="false">IF(Raw_Data!L604="",ROUND(AVERAGEIFS(Raw_Data!$L$2:$L$839,Raw_Data!$C$2:$C$839,Raw_Data!C604),2),Raw_Data!L604)</f>
        <v>1129025.25</v>
      </c>
      <c r="M604" s="13" t="n">
        <f aca="false">IFERROR(J604/I604,0)</f>
        <v>0.016955596107056</v>
      </c>
      <c r="N604" s="14" t="n">
        <f aca="false">IFERROR(H604/J604,0)</f>
        <v>2.73500828621564</v>
      </c>
      <c r="O604" s="14" t="n">
        <f aca="false">IFERROR(H604/K604,0)</f>
        <v>67.685681544029</v>
      </c>
      <c r="P604" s="15" t="n">
        <f aca="false">IFERROR(L604/H604,0)</f>
        <v>20.1211277274523</v>
      </c>
      <c r="Q604" s="13" t="n">
        <f aca="false">IFERROR(K604/J604,0)</f>
        <v>0.0404074868395399</v>
      </c>
      <c r="R604" s="11" t="str">
        <f aca="false">IF(COUNTIF($A$2:A604,A604)&gt;1,"Duplicate - Remove","Unique")</f>
        <v>Unique</v>
      </c>
      <c r="S604" s="11" t="str">
        <f aca="false">TRIM(IF(Raw_Data!G604="","Region missing; ","")&amp;IF(Raw_Data!H604="","Spend imputed; ","")&amp;IF(Raw_Data!L604="","Revenue imputed; ","")&amp;IF(Raw_Data!J604&lt;0,"Clicks corrected; ",""))</f>
        <v/>
      </c>
    </row>
    <row r="605" customFormat="false" ht="15" hidden="false" customHeight="true" outlineLevel="0" collapsed="false">
      <c r="A605" s="11" t="n">
        <f aca="false">Raw_Data!A605</f>
        <v>1721</v>
      </c>
      <c r="B605" s="11" t="str">
        <f aca="false">PROPER(TRIM(Raw_Data!B605))</f>
        <v>Sunscreen Season Campaign</v>
      </c>
      <c r="C605" s="11" t="str">
        <f aca="false">IFERROR(INDEX(Lookup_Tables!$B$2:$B$26,MATCH(UPPER(TRIM(Raw_Data!C605)),Lookup_Tables!$C$2:$C$26,0)),"Unknown")</f>
        <v>Facebook</v>
      </c>
      <c r="D605" s="12" t="n">
        <f aca="false">IFERROR(IF(ISNUMBER(SEARCH("/",Raw_Data!D605)),DATE(VALUE(RIGHT(Raw_Data!D605,4)),VALUE(MID(Raw_Data!D605,FIND("/",Raw_Data!D605)+1,FIND("/",Raw_Data!D605,FIND("/",Raw_Data!D605)+1)-FIND("/",Raw_Data!D605)-1)),VALUE(LEFT(Raw_Data!D605,FIND("/",Raw_Data!D605)-1))),IF(ISNUMBER(VALUE(LEFT(Raw_Data!D605,4))),DATE(VALUE(LEFT(Raw_Data!D605,4)),VALUE(MID(Raw_Data!D605,6,2)),VALUE(MID(Raw_Data!D605,9,2))),DATEVALUE(Raw_Data!D605))),"")</f>
        <v>45472</v>
      </c>
      <c r="E605" s="12" t="n">
        <f aca="false">IFERROR(IF(ISNUMBER(SEARCH("/",Raw_Data!E605)),DATE(VALUE(RIGHT(Raw_Data!E605,4)),VALUE(MID(Raw_Data!E605,FIND("/",Raw_Data!E605)+1,FIND("/",Raw_Data!E605,FIND("/",Raw_Data!E605)+1)-FIND("/",Raw_Data!E605)-1)),VALUE(LEFT(Raw_Data!E605,FIND("/",Raw_Data!E605)-1))),IF(ISNUMBER(VALUE(LEFT(Raw_Data!E605,4))),DATE(VALUE(LEFT(Raw_Data!E605,4)),VALUE(MID(Raw_Data!E605,6,2)),VALUE(MID(Raw_Data!E605,9,2))),DATEVALUE(Raw_Data!E605))),"")</f>
        <v>45480</v>
      </c>
      <c r="F605" s="11" t="str">
        <f aca="false">Raw_Data!F605</f>
        <v>Female 18-24</v>
      </c>
      <c r="G605" s="11" t="str">
        <f aca="false">IF(TRIM(Raw_Data!G605)="","Unspecified",IFERROR(INDEX(Lookup_Tables!$F$2:$F$24,MATCH(UPPER(TRIM(Raw_Data!G605)),Lookup_Tables!$G$2:$G$24,0)),"Unknown"))</f>
        <v>West</v>
      </c>
      <c r="H605" s="11" t="n">
        <f aca="false">IF(Raw_Data!H605="",ROUND(AVERAGEIFS(Raw_Data!$H$2:$H$839,Raw_Data!$C$2:$C$839,Raw_Data!C605),2),Raw_Data!H605)</f>
        <v>47929.81</v>
      </c>
      <c r="I605" s="11" t="n">
        <f aca="false">Raw_Data!I605</f>
        <v>1564937</v>
      </c>
      <c r="J605" s="11" t="n">
        <f aca="false">IF(Raw_Data!J605&lt;0,ABS(Raw_Data!J605),Raw_Data!J605)</f>
        <v>36360</v>
      </c>
      <c r="K605" s="11" t="n">
        <f aca="false">Raw_Data!K605</f>
        <v>723</v>
      </c>
      <c r="L605" s="11" t="n">
        <f aca="false">IF(Raw_Data!L605="",ROUND(AVERAGEIFS(Raw_Data!$L$2:$L$839,Raw_Data!$C$2:$C$839,Raw_Data!C605),2),Raw_Data!L605)</f>
        <v>796894.88</v>
      </c>
      <c r="M605" s="13" t="n">
        <f aca="false">IFERROR(J605/I605,0)</f>
        <v>0.0232341621419904</v>
      </c>
      <c r="N605" s="14" t="n">
        <f aca="false">IFERROR(H605/J605,0)</f>
        <v>1.31820159515952</v>
      </c>
      <c r="O605" s="14" t="n">
        <f aca="false">IFERROR(H605/K605,0)</f>
        <v>66.2929598893499</v>
      </c>
      <c r="P605" s="15" t="n">
        <f aca="false">IFERROR(L605/H605,0)</f>
        <v>16.6262891507394</v>
      </c>
      <c r="Q605" s="13" t="n">
        <f aca="false">IFERROR(K605/J605,0)</f>
        <v>0.0198844884488449</v>
      </c>
      <c r="R605" s="11" t="str">
        <f aca="false">IF(COUNTIF($A$2:A605,A605)&gt;1,"Duplicate - Remove","Unique")</f>
        <v>Unique</v>
      </c>
      <c r="S605" s="11" t="str">
        <f aca="false">TRIM(IF(Raw_Data!G605="","Region missing; ","")&amp;IF(Raw_Data!H605="","Spend imputed; ","")&amp;IF(Raw_Data!L605="","Revenue imputed; ","")&amp;IF(Raw_Data!J605&lt;0,"Clicks corrected; ",""))</f>
        <v/>
      </c>
    </row>
    <row r="606" customFormat="false" ht="15" hidden="false" customHeight="true" outlineLevel="0" collapsed="false">
      <c r="A606" s="11" t="n">
        <f aca="false">Raw_Data!A606</f>
        <v>1696</v>
      </c>
      <c r="B606" s="11" t="str">
        <f aca="false">PROPER(TRIM(Raw_Data!B606))</f>
        <v>Summer Glow Launch</v>
      </c>
      <c r="C606" s="11" t="str">
        <f aca="false">IFERROR(INDEX(Lookup_Tables!$B$2:$B$26,MATCH(UPPER(TRIM(Raw_Data!C606)),Lookup_Tables!$C$2:$C$26,0)),"Unknown")</f>
        <v>Google Ads</v>
      </c>
      <c r="D606" s="12" t="n">
        <f aca="false">IFERROR(IF(ISNUMBER(SEARCH("/",Raw_Data!D606)),DATE(VALUE(RIGHT(Raw_Data!D606,4)),VALUE(MID(Raw_Data!D606,FIND("/",Raw_Data!D606)+1,FIND("/",Raw_Data!D606,FIND("/",Raw_Data!D606)+1)-FIND("/",Raw_Data!D606)-1)),VALUE(LEFT(Raw_Data!D606,FIND("/",Raw_Data!D606)-1))),IF(ISNUMBER(VALUE(LEFT(Raw_Data!D606,4))),DATE(VALUE(LEFT(Raw_Data!D606,4)),VALUE(MID(Raw_Data!D606,6,2)),VALUE(MID(Raw_Data!D606,9,2))),DATEVALUE(Raw_Data!D606))),"")</f>
        <v>45328</v>
      </c>
      <c r="E606" s="12" t="n">
        <f aca="false">IFERROR(IF(ISNUMBER(SEARCH("/",Raw_Data!E606)),DATE(VALUE(RIGHT(Raw_Data!E606,4)),VALUE(MID(Raw_Data!E606,FIND("/",Raw_Data!E606)+1,FIND("/",Raw_Data!E606,FIND("/",Raw_Data!E606)+1)-FIND("/",Raw_Data!E606)-1)),VALUE(LEFT(Raw_Data!E606,FIND("/",Raw_Data!E606)-1))),IF(ISNUMBER(VALUE(LEFT(Raw_Data!E606,4))),DATE(VALUE(LEFT(Raw_Data!E606,4)),VALUE(MID(Raw_Data!E606,6,2)),VALUE(MID(Raw_Data!E606,9,2))),DATEVALUE(Raw_Data!E606))),"")</f>
        <v>45353</v>
      </c>
      <c r="F606" s="11" t="str">
        <f aca="false">Raw_Data!F606</f>
        <v>Male 18-24</v>
      </c>
      <c r="G606" s="11" t="str">
        <f aca="false">IF(TRIM(Raw_Data!G606)="","Unspecified",IFERROR(INDEX(Lookup_Tables!$F$2:$F$24,MATCH(UPPER(TRIM(Raw_Data!G606)),Lookup_Tables!$G$2:$G$24,0)),"Unknown"))</f>
        <v>West</v>
      </c>
      <c r="H606" s="11" t="n">
        <f aca="false">IF(Raw_Data!H606="",ROUND(AVERAGEIFS(Raw_Data!$H$2:$H$839,Raw_Data!$C$2:$C$839,Raw_Data!C606),2),Raw_Data!H606)</f>
        <v>18069.49</v>
      </c>
      <c r="I606" s="11" t="n">
        <f aca="false">Raw_Data!I606</f>
        <v>678607</v>
      </c>
      <c r="J606" s="11" t="n">
        <f aca="false">IF(Raw_Data!J606&lt;0,ABS(Raw_Data!J606),Raw_Data!J606)</f>
        <v>13338</v>
      </c>
      <c r="K606" s="11" t="n">
        <f aca="false">Raw_Data!K606</f>
        <v>304</v>
      </c>
      <c r="L606" s="11" t="n">
        <f aca="false">IF(Raw_Data!L606="",ROUND(AVERAGEIFS(Raw_Data!$L$2:$L$839,Raw_Data!$C$2:$C$839,Raw_Data!C606),2),Raw_Data!L606)</f>
        <v>250708.47</v>
      </c>
      <c r="M606" s="13" t="n">
        <f aca="false">IFERROR(J606/I606,0)</f>
        <v>0.0196549696658007</v>
      </c>
      <c r="N606" s="14" t="n">
        <f aca="false">IFERROR(H606/J606,0)</f>
        <v>1.35473759184286</v>
      </c>
      <c r="O606" s="14" t="n">
        <f aca="false">IFERROR(H606/K606,0)</f>
        <v>59.4391118421053</v>
      </c>
      <c r="P606" s="15" t="n">
        <f aca="false">IFERROR(L606/H606,0)</f>
        <v>13.874684343609</v>
      </c>
      <c r="Q606" s="13" t="n">
        <f aca="false">IFERROR(K606/J606,0)</f>
        <v>0.0227920227920228</v>
      </c>
      <c r="R606" s="11" t="str">
        <f aca="false">IF(COUNTIF($A$2:A606,A606)&gt;1,"Duplicate - Remove","Unique")</f>
        <v>Unique</v>
      </c>
      <c r="S606" s="11" t="str">
        <f aca="false">TRIM(IF(Raw_Data!G606="","Region missing; ","")&amp;IF(Raw_Data!H606="","Spend imputed; ","")&amp;IF(Raw_Data!L606="","Revenue imputed; ","")&amp;IF(Raw_Data!J606&lt;0,"Clicks corrected; ",""))</f>
        <v/>
      </c>
    </row>
    <row r="607" customFormat="false" ht="15" hidden="false" customHeight="true" outlineLevel="0" collapsed="false">
      <c r="A607" s="11" t="n">
        <f aca="false">Raw_Data!A607</f>
        <v>1654</v>
      </c>
      <c r="B607" s="11" t="str">
        <f aca="false">PROPER(TRIM(Raw_Data!B607))</f>
        <v>Monsoon Skincare Push</v>
      </c>
      <c r="C607" s="11" t="str">
        <f aca="false">IFERROR(INDEX(Lookup_Tables!$B$2:$B$26,MATCH(UPPER(TRIM(Raw_Data!C607)),Lookup_Tables!$C$2:$C$26,0)),"Unknown")</f>
        <v>Facebook</v>
      </c>
      <c r="D607" s="12" t="n">
        <f aca="false">IFERROR(IF(ISNUMBER(SEARCH("/",Raw_Data!D607)),DATE(VALUE(RIGHT(Raw_Data!D607,4)),VALUE(MID(Raw_Data!D607,FIND("/",Raw_Data!D607)+1,FIND("/",Raw_Data!D607,FIND("/",Raw_Data!D607)+1)-FIND("/",Raw_Data!D607)-1)),VALUE(LEFT(Raw_Data!D607,FIND("/",Raw_Data!D607)-1))),IF(ISNUMBER(VALUE(LEFT(Raw_Data!D607,4))),DATE(VALUE(LEFT(Raw_Data!D607,4)),VALUE(MID(Raw_Data!D607,6,2)),VALUE(MID(Raw_Data!D607,9,2))),DATEVALUE(Raw_Data!D607))),"")</f>
        <v>45302</v>
      </c>
      <c r="E607" s="12" t="n">
        <f aca="false">IFERROR(IF(ISNUMBER(SEARCH("/",Raw_Data!E607)),DATE(VALUE(RIGHT(Raw_Data!E607,4)),VALUE(MID(Raw_Data!E607,FIND("/",Raw_Data!E607)+1,FIND("/",Raw_Data!E607,FIND("/",Raw_Data!E607)+1)-FIND("/",Raw_Data!E607)-1)),VALUE(LEFT(Raw_Data!E607,FIND("/",Raw_Data!E607)-1))),IF(ISNUMBER(VALUE(LEFT(Raw_Data!E607,4))),DATE(VALUE(LEFT(Raw_Data!E607,4)),VALUE(MID(Raw_Data!E607,6,2)),VALUE(MID(Raw_Data!E607,9,2))),DATEVALUE(Raw_Data!E607))),"")</f>
        <v>45319</v>
      </c>
      <c r="F607" s="11" t="str">
        <f aca="false">Raw_Data!F607</f>
        <v>Female 45+</v>
      </c>
      <c r="G607" s="11" t="str">
        <f aca="false">IF(TRIM(Raw_Data!G607)="","Unspecified",IFERROR(INDEX(Lookup_Tables!$F$2:$F$24,MATCH(UPPER(TRIM(Raw_Data!G607)),Lookup_Tables!$G$2:$G$24,0)),"Unknown"))</f>
        <v>West</v>
      </c>
      <c r="H607" s="11" t="n">
        <f aca="false">IF(Raw_Data!H607="",ROUND(AVERAGEIFS(Raw_Data!$H$2:$H$839,Raw_Data!$C$2:$C$839,Raw_Data!C607),2),Raw_Data!H607)</f>
        <v>18927.81</v>
      </c>
      <c r="I607" s="11" t="n">
        <f aca="false">Raw_Data!I607</f>
        <v>579044</v>
      </c>
      <c r="J607" s="11" t="n">
        <f aca="false">IF(Raw_Data!J607&lt;0,ABS(Raw_Data!J607),Raw_Data!J607)</f>
        <v>9669</v>
      </c>
      <c r="K607" s="11" t="n">
        <f aca="false">Raw_Data!K607</f>
        <v>102</v>
      </c>
      <c r="L607" s="11" t="n">
        <f aca="false">IF(Raw_Data!L607="",ROUND(AVERAGEIFS(Raw_Data!$L$2:$L$839,Raw_Data!$C$2:$C$839,Raw_Data!C607),2),Raw_Data!L607)</f>
        <v>83380.64</v>
      </c>
      <c r="M607" s="13" t="n">
        <f aca="false">IFERROR(J607/I607,0)</f>
        <v>0.0166982129164623</v>
      </c>
      <c r="N607" s="14" t="n">
        <f aca="false">IFERROR(H607/J607,0)</f>
        <v>1.95757679180887</v>
      </c>
      <c r="O607" s="14" t="n">
        <f aca="false">IFERROR(H607/K607,0)</f>
        <v>185.566764705882</v>
      </c>
      <c r="P607" s="15" t="n">
        <f aca="false">IFERROR(L607/H607,0)</f>
        <v>4.40519214848416</v>
      </c>
      <c r="Q607" s="13" t="n">
        <f aca="false">IFERROR(K607/J607,0)</f>
        <v>0.0105491777846727</v>
      </c>
      <c r="R607" s="11" t="str">
        <f aca="false">IF(COUNTIF($A$2:A607,A607)&gt;1,"Duplicate - Remove","Unique")</f>
        <v>Unique</v>
      </c>
      <c r="S607" s="11" t="str">
        <f aca="false">TRIM(IF(Raw_Data!G607="","Region missing; ","")&amp;IF(Raw_Data!H607="","Spend imputed; ","")&amp;IF(Raw_Data!L607="","Revenue imputed; ","")&amp;IF(Raw_Data!J607&lt;0,"Clicks corrected; ",""))</f>
        <v/>
      </c>
    </row>
    <row r="608" customFormat="false" ht="15" hidden="false" customHeight="true" outlineLevel="0" collapsed="false">
      <c r="A608" s="11" t="n">
        <f aca="false">Raw_Data!A608</f>
        <v>1214</v>
      </c>
      <c r="B608" s="11" t="str">
        <f aca="false">PROPER(TRIM(Raw_Data!B608))</f>
        <v>Back To College Offer</v>
      </c>
      <c r="C608" s="11" t="str">
        <f aca="false">IFERROR(INDEX(Lookup_Tables!$B$2:$B$26,MATCH(UPPER(TRIM(Raw_Data!C608)),Lookup_Tables!$C$2:$C$26,0)),"Unknown")</f>
        <v>Email</v>
      </c>
      <c r="D608" s="12" t="n">
        <f aca="false">IFERROR(IF(ISNUMBER(SEARCH("/",Raw_Data!D608)),DATE(VALUE(RIGHT(Raw_Data!D608,4)),VALUE(MID(Raw_Data!D608,FIND("/",Raw_Data!D608)+1,FIND("/",Raw_Data!D608,FIND("/",Raw_Data!D608)+1)-FIND("/",Raw_Data!D608)-1)),VALUE(LEFT(Raw_Data!D608,FIND("/",Raw_Data!D608)-1))),IF(ISNUMBER(VALUE(LEFT(Raw_Data!D608,4))),DATE(VALUE(LEFT(Raw_Data!D608,4)),VALUE(MID(Raw_Data!D608,6,2)),VALUE(MID(Raw_Data!D608,9,2))),DATEVALUE(Raw_Data!D608))),"")</f>
        <v>45571</v>
      </c>
      <c r="E608" s="12" t="n">
        <f aca="false">IFERROR(IF(ISNUMBER(SEARCH("/",Raw_Data!E608)),DATE(VALUE(RIGHT(Raw_Data!E608,4)),VALUE(MID(Raw_Data!E608,FIND("/",Raw_Data!E608)+1,FIND("/",Raw_Data!E608,FIND("/",Raw_Data!E608)+1)-FIND("/",Raw_Data!E608)-1)),VALUE(LEFT(Raw_Data!E608,FIND("/",Raw_Data!E608)-1))),IF(ISNUMBER(VALUE(LEFT(Raw_Data!E608,4))),DATE(VALUE(LEFT(Raw_Data!E608,4)),VALUE(MID(Raw_Data!E608,6,2)),VALUE(MID(Raw_Data!E608,9,2))),DATEVALUE(Raw_Data!E608))),"")</f>
        <v>45585</v>
      </c>
      <c r="F608" s="11" t="str">
        <f aca="false">Raw_Data!F608</f>
        <v>Female 45+</v>
      </c>
      <c r="G608" s="11" t="str">
        <f aca="false">IF(TRIM(Raw_Data!G608)="","Unspecified",IFERROR(INDEX(Lookup_Tables!$F$2:$F$24,MATCH(UPPER(TRIM(Raw_Data!G608)),Lookup_Tables!$G$2:$G$24,0)),"Unknown"))</f>
        <v>Central</v>
      </c>
      <c r="H608" s="11" t="n">
        <f aca="false">IF(Raw_Data!H608="",ROUND(AVERAGEIFS(Raw_Data!$H$2:$H$839,Raw_Data!$C$2:$C$839,Raw_Data!C608),2),Raw_Data!H608)</f>
        <v>2008.53</v>
      </c>
      <c r="I608" s="11" t="n">
        <f aca="false">Raw_Data!I608</f>
        <v>64136</v>
      </c>
      <c r="J608" s="11" t="n">
        <f aca="false">IF(Raw_Data!J608&lt;0,ABS(Raw_Data!J608),Raw_Data!J608)</f>
        <v>2079</v>
      </c>
      <c r="K608" s="11" t="n">
        <f aca="false">Raw_Data!K608</f>
        <v>136</v>
      </c>
      <c r="L608" s="11" t="n">
        <f aca="false">IF(Raw_Data!L608="",ROUND(AVERAGEIFS(Raw_Data!$L$2:$L$839,Raw_Data!$C$2:$C$839,Raw_Data!C608),2),Raw_Data!L608)</f>
        <v>191422.81</v>
      </c>
      <c r="M608" s="13" t="n">
        <f aca="false">IFERROR(J608/I608,0)</f>
        <v>0.0324154920793314</v>
      </c>
      <c r="N608" s="14" t="n">
        <f aca="false">IFERROR(H608/J608,0)</f>
        <v>0.966103896103896</v>
      </c>
      <c r="O608" s="14" t="n">
        <f aca="false">IFERROR(H608/K608,0)</f>
        <v>14.7686029411765</v>
      </c>
      <c r="P608" s="15" t="n">
        <f aca="false">IFERROR(L608/H608,0)</f>
        <v>95.3049294757858</v>
      </c>
      <c r="Q608" s="13" t="n">
        <f aca="false">IFERROR(K608/J608,0)</f>
        <v>0.0654160654160654</v>
      </c>
      <c r="R608" s="11" t="str">
        <f aca="false">IF(COUNTIF($A$2:A608,A608)&gt;1,"Duplicate - Remove","Unique")</f>
        <v>Unique</v>
      </c>
      <c r="S608" s="11" t="str">
        <f aca="false">TRIM(IF(Raw_Data!G608="","Region missing; ","")&amp;IF(Raw_Data!H608="","Spend imputed; ","")&amp;IF(Raw_Data!L608="","Revenue imputed; ","")&amp;IF(Raw_Data!J608&lt;0,"Clicks corrected; ",""))</f>
        <v/>
      </c>
    </row>
    <row r="609" customFormat="false" ht="15" hidden="false" customHeight="true" outlineLevel="0" collapsed="false">
      <c r="A609" s="11" t="n">
        <f aca="false">Raw_Data!A609</f>
        <v>1222</v>
      </c>
      <c r="B609" s="11" t="str">
        <f aca="false">PROPER(TRIM(Raw_Data!B609))</f>
        <v>Baby Care Trust Campaign</v>
      </c>
      <c r="C609" s="11" t="str">
        <f aca="false">IFERROR(INDEX(Lookup_Tables!$B$2:$B$26,MATCH(UPPER(TRIM(Raw_Data!C609)),Lookup_Tables!$C$2:$C$26,0)),"Unknown")</f>
        <v>YouTube</v>
      </c>
      <c r="D609" s="12" t="n">
        <f aca="false">IFERROR(IF(ISNUMBER(SEARCH("/",Raw_Data!D609)),DATE(VALUE(RIGHT(Raw_Data!D609,4)),VALUE(MID(Raw_Data!D609,FIND("/",Raw_Data!D609)+1,FIND("/",Raw_Data!D609,FIND("/",Raw_Data!D609)+1)-FIND("/",Raw_Data!D609)-1)),VALUE(LEFT(Raw_Data!D609,FIND("/",Raw_Data!D609)-1))),IF(ISNUMBER(VALUE(LEFT(Raw_Data!D609,4))),DATE(VALUE(LEFT(Raw_Data!D609,4)),VALUE(MID(Raw_Data!D609,6,2)),VALUE(MID(Raw_Data!D609,9,2))),DATEVALUE(Raw_Data!D609))),"")</f>
        <v>45556</v>
      </c>
      <c r="E609" s="12" t="n">
        <f aca="false">IFERROR(IF(ISNUMBER(SEARCH("/",Raw_Data!E609)),DATE(VALUE(RIGHT(Raw_Data!E609,4)),VALUE(MID(Raw_Data!E609,FIND("/",Raw_Data!E609)+1,FIND("/",Raw_Data!E609,FIND("/",Raw_Data!E609)+1)-FIND("/",Raw_Data!E609)-1)),VALUE(LEFT(Raw_Data!E609,FIND("/",Raw_Data!E609)-1))),IF(ISNUMBER(VALUE(LEFT(Raw_Data!E609,4))),DATE(VALUE(LEFT(Raw_Data!E609,4)),VALUE(MID(Raw_Data!E609,6,2)),VALUE(MID(Raw_Data!E609,9,2))),DATEVALUE(Raw_Data!E609))),"")</f>
        <v>45569</v>
      </c>
      <c r="F609" s="11" t="str">
        <f aca="false">Raw_Data!F609</f>
        <v>Female 25-34</v>
      </c>
      <c r="G609" s="11" t="str">
        <f aca="false">IF(TRIM(Raw_Data!G609)="","Unspecified",IFERROR(INDEX(Lookup_Tables!$F$2:$F$24,MATCH(UPPER(TRIM(Raw_Data!G609)),Lookup_Tables!$G$2:$G$24,0)),"Unknown"))</f>
        <v>East</v>
      </c>
      <c r="H609" s="11" t="n">
        <f aca="false">IF(Raw_Data!H609="",ROUND(AVERAGEIFS(Raw_Data!$H$2:$H$839,Raw_Data!$C$2:$C$839,Raw_Data!C609),2),Raw_Data!H609)</f>
        <v>87950.56</v>
      </c>
      <c r="I609" s="11" t="n">
        <f aca="false">Raw_Data!I609</f>
        <v>1809361</v>
      </c>
      <c r="J609" s="11" t="n">
        <f aca="false">IF(Raw_Data!J609&lt;0,ABS(Raw_Data!J609),Raw_Data!J609)</f>
        <v>31076</v>
      </c>
      <c r="K609" s="11" t="n">
        <f aca="false">Raw_Data!K609</f>
        <v>2088</v>
      </c>
      <c r="L609" s="11" t="n">
        <f aca="false">IF(Raw_Data!L609="",ROUND(AVERAGEIFS(Raw_Data!$L$2:$L$839,Raw_Data!$C$2:$C$839,Raw_Data!C609),2),Raw_Data!L609)</f>
        <v>1775419.86</v>
      </c>
      <c r="M609" s="13" t="n">
        <f aca="false">IFERROR(J609/I609,0)</f>
        <v>0.0171751242565746</v>
      </c>
      <c r="N609" s="14" t="n">
        <f aca="false">IFERROR(H609/J609,0)</f>
        <v>2.83017634187154</v>
      </c>
      <c r="O609" s="14" t="n">
        <f aca="false">IFERROR(H609/K609,0)</f>
        <v>42.1219157088123</v>
      </c>
      <c r="P609" s="15" t="n">
        <f aca="false">IFERROR(L609/H609,0)</f>
        <v>20.1865668621098</v>
      </c>
      <c r="Q609" s="13" t="n">
        <f aca="false">IFERROR(K609/J609,0)</f>
        <v>0.0671901145578582</v>
      </c>
      <c r="R609" s="11" t="str">
        <f aca="false">IF(COUNTIF($A$2:A609,A609)&gt;1,"Duplicate - Remove","Unique")</f>
        <v>Unique</v>
      </c>
      <c r="S609" s="11" t="str">
        <f aca="false">TRIM(IF(Raw_Data!G609="","Region missing; ","")&amp;IF(Raw_Data!H609="","Spend imputed; ","")&amp;IF(Raw_Data!L609="","Revenue imputed; ","")&amp;IF(Raw_Data!J609&lt;0,"Clicks corrected; ",""))</f>
        <v>Clicks corrected;</v>
      </c>
    </row>
    <row r="610" customFormat="false" ht="15" hidden="false" customHeight="true" outlineLevel="0" collapsed="false">
      <c r="A610" s="11" t="n">
        <f aca="false">Raw_Data!A610</f>
        <v>1210</v>
      </c>
      <c r="B610" s="11" t="str">
        <f aca="false">PROPER(TRIM(Raw_Data!B610))</f>
        <v>Sunscreen Season Campaign</v>
      </c>
      <c r="C610" s="11" t="str">
        <f aca="false">IFERROR(INDEX(Lookup_Tables!$B$2:$B$26,MATCH(UPPER(TRIM(Raw_Data!C610)),Lookup_Tables!$C$2:$C$26,0)),"Unknown")</f>
        <v>YouTube</v>
      </c>
      <c r="D610" s="12" t="n">
        <f aca="false">IFERROR(IF(ISNUMBER(SEARCH("/",Raw_Data!D610)),DATE(VALUE(RIGHT(Raw_Data!D610,4)),VALUE(MID(Raw_Data!D610,FIND("/",Raw_Data!D610)+1,FIND("/",Raw_Data!D610,FIND("/",Raw_Data!D610)+1)-FIND("/",Raw_Data!D610)-1)),VALUE(LEFT(Raw_Data!D610,FIND("/",Raw_Data!D610)-1))),IF(ISNUMBER(VALUE(LEFT(Raw_Data!D610,4))),DATE(VALUE(LEFT(Raw_Data!D610,4)),VALUE(MID(Raw_Data!D610,6,2)),VALUE(MID(Raw_Data!D610,9,2))),DATEVALUE(Raw_Data!D610))),"")</f>
        <v>45415</v>
      </c>
      <c r="E610" s="12" t="n">
        <f aca="false">IFERROR(IF(ISNUMBER(SEARCH("/",Raw_Data!E610)),DATE(VALUE(RIGHT(Raw_Data!E610,4)),VALUE(MID(Raw_Data!E610,FIND("/",Raw_Data!E610)+1,FIND("/",Raw_Data!E610,FIND("/",Raw_Data!E610)+1)-FIND("/",Raw_Data!E610)-1)),VALUE(LEFT(Raw_Data!E610,FIND("/",Raw_Data!E610)-1))),IF(ISNUMBER(VALUE(LEFT(Raw_Data!E610,4))),DATE(VALUE(LEFT(Raw_Data!E610,4)),VALUE(MID(Raw_Data!E610,6,2)),VALUE(MID(Raw_Data!E610,9,2))),DATEVALUE(Raw_Data!E610))),"")</f>
        <v>45440</v>
      </c>
      <c r="F610" s="11" t="str">
        <f aca="false">Raw_Data!F610</f>
        <v>Male 45+</v>
      </c>
      <c r="G610" s="11" t="str">
        <f aca="false">IF(TRIM(Raw_Data!G610)="","Unspecified",IFERROR(INDEX(Lookup_Tables!$F$2:$F$24,MATCH(UPPER(TRIM(Raw_Data!G610)),Lookup_Tables!$G$2:$G$24,0)),"Unknown"))</f>
        <v>North</v>
      </c>
      <c r="H610" s="11" t="n">
        <f aca="false">IF(Raw_Data!H610="",ROUND(AVERAGEIFS(Raw_Data!$H$2:$H$839,Raw_Data!$C$2:$C$839,Raw_Data!C610),2),Raw_Data!H610)</f>
        <v>83895.55</v>
      </c>
      <c r="I610" s="11" t="n">
        <f aca="false">Raw_Data!I610</f>
        <v>1769833</v>
      </c>
      <c r="J610" s="11" t="n">
        <f aca="false">IF(Raw_Data!J610&lt;0,ABS(Raw_Data!J610),Raw_Data!J610)</f>
        <v>10966</v>
      </c>
      <c r="K610" s="11" t="n">
        <f aca="false">Raw_Data!K610</f>
        <v>789</v>
      </c>
      <c r="L610" s="11" t="n">
        <f aca="false">IF(Raw_Data!L610="",ROUND(AVERAGEIFS(Raw_Data!$L$2:$L$839,Raw_Data!$C$2:$C$839,Raw_Data!C610),2),Raw_Data!L610)</f>
        <v>712459.33</v>
      </c>
      <c r="M610" s="13" t="n">
        <f aca="false">IFERROR(J610/I610,0)</f>
        <v>0.00619606482645538</v>
      </c>
      <c r="N610" s="14" t="n">
        <f aca="false">IFERROR(H610/J610,0)</f>
        <v>7.6505152288893</v>
      </c>
      <c r="O610" s="14" t="n">
        <f aca="false">IFERROR(H610/K610,0)</f>
        <v>106.331495564005</v>
      </c>
      <c r="P610" s="15" t="n">
        <f aca="false">IFERROR(L610/H610,0)</f>
        <v>8.49221835961502</v>
      </c>
      <c r="Q610" s="13" t="n">
        <f aca="false">IFERROR(K610/J610,0)</f>
        <v>0.0719496625934707</v>
      </c>
      <c r="R610" s="11" t="str">
        <f aca="false">IF(COUNTIF($A$2:A610,A610)&gt;1,"Duplicate - Remove","Unique")</f>
        <v>Unique</v>
      </c>
      <c r="S610" s="11" t="str">
        <f aca="false">TRIM(IF(Raw_Data!G610="","Region missing; ","")&amp;IF(Raw_Data!H610="","Spend imputed; ","")&amp;IF(Raw_Data!L610="","Revenue imputed; ","")&amp;IF(Raw_Data!J610&lt;0,"Clicks corrected; ",""))</f>
        <v/>
      </c>
    </row>
    <row r="611" customFormat="false" ht="15" hidden="false" customHeight="true" outlineLevel="0" collapsed="false">
      <c r="A611" s="11" t="n">
        <f aca="false">Raw_Data!A611</f>
        <v>1245</v>
      </c>
      <c r="B611" s="11" t="str">
        <f aca="false">PROPER(TRIM(Raw_Data!B611))</f>
        <v>Hair Care Revamp</v>
      </c>
      <c r="C611" s="11" t="str">
        <f aca="false">IFERROR(INDEX(Lookup_Tables!$B$2:$B$26,MATCH(UPPER(TRIM(Raw_Data!C611)),Lookup_Tables!$C$2:$C$26,0)),"Unknown")</f>
        <v>Facebook</v>
      </c>
      <c r="D611" s="12" t="n">
        <f aca="false">IFERROR(IF(ISNUMBER(SEARCH("/",Raw_Data!D611)),DATE(VALUE(RIGHT(Raw_Data!D611,4)),VALUE(MID(Raw_Data!D611,FIND("/",Raw_Data!D611)+1,FIND("/",Raw_Data!D611,FIND("/",Raw_Data!D611)+1)-FIND("/",Raw_Data!D611)-1)),VALUE(LEFT(Raw_Data!D611,FIND("/",Raw_Data!D611)-1))),IF(ISNUMBER(VALUE(LEFT(Raw_Data!D611,4))),DATE(VALUE(LEFT(Raw_Data!D611,4)),VALUE(MID(Raw_Data!D611,6,2)),VALUE(MID(Raw_Data!D611,9,2))),DATEVALUE(Raw_Data!D611))),"")</f>
        <v>45568</v>
      </c>
      <c r="E611" s="12" t="n">
        <f aca="false">IFERROR(IF(ISNUMBER(SEARCH("/",Raw_Data!E611)),DATE(VALUE(RIGHT(Raw_Data!E611,4)),VALUE(MID(Raw_Data!E611,FIND("/",Raw_Data!E611)+1,FIND("/",Raw_Data!E611,FIND("/",Raw_Data!E611)+1)-FIND("/",Raw_Data!E611)-1)),VALUE(LEFT(Raw_Data!E611,FIND("/",Raw_Data!E611)-1))),IF(ISNUMBER(VALUE(LEFT(Raw_Data!E611,4))),DATE(VALUE(LEFT(Raw_Data!E611,4)),VALUE(MID(Raw_Data!E611,6,2)),VALUE(MID(Raw_Data!E611,9,2))),DATEVALUE(Raw_Data!E611))),"")</f>
        <v>45581</v>
      </c>
      <c r="F611" s="11" t="str">
        <f aca="false">Raw_Data!F611</f>
        <v>Male 45+</v>
      </c>
      <c r="G611" s="11" t="str">
        <f aca="false">IF(TRIM(Raw_Data!G611)="","Unspecified",IFERROR(INDEX(Lookup_Tables!$F$2:$F$24,MATCH(UPPER(TRIM(Raw_Data!G611)),Lookup_Tables!$G$2:$G$24,0)),"Unknown"))</f>
        <v>East</v>
      </c>
      <c r="H611" s="11" t="n">
        <f aca="false">IF(Raw_Data!H611="",ROUND(AVERAGEIFS(Raw_Data!$H$2:$H$839,Raw_Data!$C$2:$C$839,Raw_Data!C611),2),Raw_Data!H611)</f>
        <v>25573.18</v>
      </c>
      <c r="I611" s="11" t="n">
        <f aca="false">Raw_Data!I611</f>
        <v>1003454</v>
      </c>
      <c r="J611" s="11" t="n">
        <f aca="false">IF(Raw_Data!J611&lt;0,ABS(Raw_Data!J611),Raw_Data!J611)</f>
        <v>26018</v>
      </c>
      <c r="K611" s="11" t="n">
        <f aca="false">Raw_Data!K611</f>
        <v>582</v>
      </c>
      <c r="L611" s="11" t="n">
        <f aca="false">IF(Raw_Data!L611="",ROUND(AVERAGEIFS(Raw_Data!$L$2:$L$839,Raw_Data!$C$2:$C$839,Raw_Data!C611),2),Raw_Data!L611)</f>
        <v>708001.31</v>
      </c>
      <c r="M611" s="13" t="n">
        <f aca="false">IFERROR(J611/I611,0)</f>
        <v>0.0259284431573346</v>
      </c>
      <c r="N611" s="14" t="n">
        <f aca="false">IFERROR(H611/J611,0)</f>
        <v>0.982903374586825</v>
      </c>
      <c r="O611" s="14" t="n">
        <f aca="false">IFERROR(H611/K611,0)</f>
        <v>43.9401718213058</v>
      </c>
      <c r="P611" s="15" t="n">
        <f aca="false">IFERROR(L611/H611,0)</f>
        <v>27.6853058555878</v>
      </c>
      <c r="Q611" s="13" t="n">
        <f aca="false">IFERROR(K611/J611,0)</f>
        <v>0.0223691290644938</v>
      </c>
      <c r="R611" s="11" t="str">
        <f aca="false">IF(COUNTIF($A$2:A611,A611)&gt;1,"Duplicate - Remove","Unique")</f>
        <v>Unique</v>
      </c>
      <c r="S611" s="11" t="str">
        <f aca="false">TRIM(IF(Raw_Data!G611="","Region missing; ","")&amp;IF(Raw_Data!H611="","Spend imputed; ","")&amp;IF(Raw_Data!L611="","Revenue imputed; ","")&amp;IF(Raw_Data!J611&lt;0,"Clicks corrected; ",""))</f>
        <v/>
      </c>
    </row>
    <row r="612" customFormat="false" ht="15" hidden="false" customHeight="true" outlineLevel="0" collapsed="false">
      <c r="A612" s="11" t="n">
        <f aca="false">Raw_Data!A612</f>
        <v>1658</v>
      </c>
      <c r="B612" s="11" t="str">
        <f aca="false">PROPER(TRIM(Raw_Data!B612))</f>
        <v>New Year Wellness</v>
      </c>
      <c r="C612" s="11" t="str">
        <f aca="false">IFERROR(INDEX(Lookup_Tables!$B$2:$B$26,MATCH(UPPER(TRIM(Raw_Data!C612)),Lookup_Tables!$C$2:$C$26,0)),"Unknown")</f>
        <v>Google Ads</v>
      </c>
      <c r="D612" s="12" t="n">
        <f aca="false">IFERROR(IF(ISNUMBER(SEARCH("/",Raw_Data!D612)),DATE(VALUE(RIGHT(Raw_Data!D612,4)),VALUE(MID(Raw_Data!D612,FIND("/",Raw_Data!D612)+1,FIND("/",Raw_Data!D612,FIND("/",Raw_Data!D612)+1)-FIND("/",Raw_Data!D612)-1)),VALUE(LEFT(Raw_Data!D612,FIND("/",Raw_Data!D612)-1))),IF(ISNUMBER(VALUE(LEFT(Raw_Data!D612,4))),DATE(VALUE(LEFT(Raw_Data!D612,4)),VALUE(MID(Raw_Data!D612,6,2)),VALUE(MID(Raw_Data!D612,9,2))),DATEVALUE(Raw_Data!D612))),"")</f>
        <v>45525</v>
      </c>
      <c r="E612" s="12" t="n">
        <f aca="false">IFERROR(IF(ISNUMBER(SEARCH("/",Raw_Data!E612)),DATE(VALUE(RIGHT(Raw_Data!E612,4)),VALUE(MID(Raw_Data!E612,FIND("/",Raw_Data!E612)+1,FIND("/",Raw_Data!E612,FIND("/",Raw_Data!E612)+1)-FIND("/",Raw_Data!E612)-1)),VALUE(LEFT(Raw_Data!E612,FIND("/",Raw_Data!E612)-1))),IF(ISNUMBER(VALUE(LEFT(Raw_Data!E612,4))),DATE(VALUE(LEFT(Raw_Data!E612,4)),VALUE(MID(Raw_Data!E612,6,2)),VALUE(MID(Raw_Data!E612,9,2))),DATEVALUE(Raw_Data!E612))),"")</f>
        <v>45530</v>
      </c>
      <c r="F612" s="11" t="str">
        <f aca="false">Raw_Data!F612</f>
        <v>Female 25-34</v>
      </c>
      <c r="G612" s="11" t="str">
        <f aca="false">IF(TRIM(Raw_Data!G612)="","Unspecified",IFERROR(INDEX(Lookup_Tables!$F$2:$F$24,MATCH(UPPER(TRIM(Raw_Data!G612)),Lookup_Tables!$G$2:$G$24,0)),"Unknown"))</f>
        <v>Central</v>
      </c>
      <c r="H612" s="11" t="n">
        <f aca="false">IF(Raw_Data!H612="",ROUND(AVERAGEIFS(Raw_Data!$H$2:$H$839,Raw_Data!$C$2:$C$839,Raw_Data!C612),2),Raw_Data!H612)</f>
        <v>36602.04</v>
      </c>
      <c r="I612" s="11" t="n">
        <f aca="false">Raw_Data!I612</f>
        <v>933364</v>
      </c>
      <c r="J612" s="11" t="n">
        <f aca="false">IF(Raw_Data!J612&lt;0,ABS(Raw_Data!J612),Raw_Data!J612)</f>
        <v>31591</v>
      </c>
      <c r="K612" s="11" t="n">
        <f aca="false">Raw_Data!K612</f>
        <v>537</v>
      </c>
      <c r="L612" s="11" t="n">
        <f aca="false">IF(Raw_Data!L612="",ROUND(AVERAGEIFS(Raw_Data!$L$2:$L$839,Raw_Data!$C$2:$C$839,Raw_Data!C612),2),Raw_Data!L612)</f>
        <v>468569.58</v>
      </c>
      <c r="M612" s="13" t="n">
        <f aca="false">IFERROR(J612/I612,0)</f>
        <v>0.0338463879043974</v>
      </c>
      <c r="N612" s="14" t="n">
        <f aca="false">IFERROR(H612/J612,0)</f>
        <v>1.15862239245355</v>
      </c>
      <c r="O612" s="14" t="n">
        <f aca="false">IFERROR(H612/K612,0)</f>
        <v>68.1602234636872</v>
      </c>
      <c r="P612" s="15" t="n">
        <f aca="false">IFERROR(L612/H612,0)</f>
        <v>12.8017340017114</v>
      </c>
      <c r="Q612" s="13" t="n">
        <f aca="false">IFERROR(K612/J612,0)</f>
        <v>0.0169985122344972</v>
      </c>
      <c r="R612" s="11" t="str">
        <f aca="false">IF(COUNTIF($A$2:A612,A612)&gt;1,"Duplicate - Remove","Unique")</f>
        <v>Unique</v>
      </c>
      <c r="S612" s="11" t="str">
        <f aca="false">TRIM(IF(Raw_Data!G612="","Region missing; ","")&amp;IF(Raw_Data!H612="","Spend imputed; ","")&amp;IF(Raw_Data!L612="","Revenue imputed; ","")&amp;IF(Raw_Data!J612&lt;0,"Clicks corrected; ",""))</f>
        <v/>
      </c>
    </row>
    <row r="613" customFormat="false" ht="15" hidden="false" customHeight="true" outlineLevel="0" collapsed="false">
      <c r="A613" s="11" t="n">
        <f aca="false">Raw_Data!A613</f>
        <v>1025</v>
      </c>
      <c r="B613" s="11" t="str">
        <f aca="false">PROPER(TRIM(Raw_Data!B613))</f>
        <v>New Year Wellness</v>
      </c>
      <c r="C613" s="11" t="str">
        <f aca="false">IFERROR(INDEX(Lookup_Tables!$B$2:$B$26,MATCH(UPPER(TRIM(Raw_Data!C613)),Lookup_Tables!$C$2:$C$26,0)),"Unknown")</f>
        <v>Email</v>
      </c>
      <c r="D613" s="12" t="n">
        <f aca="false">IFERROR(IF(ISNUMBER(SEARCH("/",Raw_Data!D613)),DATE(VALUE(RIGHT(Raw_Data!D613,4)),VALUE(MID(Raw_Data!D613,FIND("/",Raw_Data!D613)+1,FIND("/",Raw_Data!D613,FIND("/",Raw_Data!D613)+1)-FIND("/",Raw_Data!D613)-1)),VALUE(LEFT(Raw_Data!D613,FIND("/",Raw_Data!D613)-1))),IF(ISNUMBER(VALUE(LEFT(Raw_Data!D613,4))),DATE(VALUE(LEFT(Raw_Data!D613,4)),VALUE(MID(Raw_Data!D613,6,2)),VALUE(MID(Raw_Data!D613,9,2))),DATEVALUE(Raw_Data!D613))),"")</f>
        <v>45317</v>
      </c>
      <c r="E613" s="12" t="n">
        <f aca="false">IFERROR(IF(ISNUMBER(SEARCH("/",Raw_Data!E613)),DATE(VALUE(RIGHT(Raw_Data!E613,4)),VALUE(MID(Raw_Data!E613,FIND("/",Raw_Data!E613)+1,FIND("/",Raw_Data!E613,FIND("/",Raw_Data!E613)+1)-FIND("/",Raw_Data!E613)-1)),VALUE(LEFT(Raw_Data!E613,FIND("/",Raw_Data!E613)-1))),IF(ISNUMBER(VALUE(LEFT(Raw_Data!E613,4))),DATE(VALUE(LEFT(Raw_Data!E613,4)),VALUE(MID(Raw_Data!E613,6,2)),VALUE(MID(Raw_Data!E613,9,2))),DATEVALUE(Raw_Data!E613))),"")</f>
        <v>45339</v>
      </c>
      <c r="F613" s="11" t="str">
        <f aca="false">Raw_Data!F613</f>
        <v>Male 45+</v>
      </c>
      <c r="G613" s="11" t="str">
        <f aca="false">IF(TRIM(Raw_Data!G613)="","Unspecified",IFERROR(INDEX(Lookup_Tables!$F$2:$F$24,MATCH(UPPER(TRIM(Raw_Data!G613)),Lookup_Tables!$G$2:$G$24,0)),"Unknown"))</f>
        <v>North</v>
      </c>
      <c r="H613" s="11" t="n">
        <f aca="false">IF(Raw_Data!H613="",ROUND(AVERAGEIFS(Raw_Data!$H$2:$H$839,Raw_Data!$C$2:$C$839,Raw_Data!C613),2),Raw_Data!H613)</f>
        <v>7422.29</v>
      </c>
      <c r="I613" s="11" t="n">
        <f aca="false">Raw_Data!I613</f>
        <v>133853</v>
      </c>
      <c r="J613" s="11" t="n">
        <f aca="false">IF(Raw_Data!J613&lt;0,ABS(Raw_Data!J613),Raw_Data!J613)</f>
        <v>1204</v>
      </c>
      <c r="K613" s="11" t="n">
        <f aca="false">Raw_Data!K613</f>
        <v>51</v>
      </c>
      <c r="L613" s="11" t="n">
        <f aca="false">IF(Raw_Data!L613="",ROUND(AVERAGEIFS(Raw_Data!$L$2:$L$839,Raw_Data!$C$2:$C$839,Raw_Data!C613),2),Raw_Data!L613)</f>
        <v>57127.2</v>
      </c>
      <c r="M613" s="13" t="n">
        <f aca="false">IFERROR(J613/I613,0)</f>
        <v>0.0089949422127259</v>
      </c>
      <c r="N613" s="14" t="n">
        <f aca="false">IFERROR(H613/J613,0)</f>
        <v>6.1646926910299</v>
      </c>
      <c r="O613" s="14" t="n">
        <f aca="false">IFERROR(H613/K613,0)</f>
        <v>145.535098039216</v>
      </c>
      <c r="P613" s="15" t="n">
        <f aca="false">IFERROR(L613/H613,0)</f>
        <v>7.69670815880274</v>
      </c>
      <c r="Q613" s="13" t="n">
        <f aca="false">IFERROR(K613/J613,0)</f>
        <v>0.042358803986711</v>
      </c>
      <c r="R613" s="11" t="str">
        <f aca="false">IF(COUNTIF($A$2:A613,A613)&gt;1,"Duplicate - Remove","Unique")</f>
        <v>Duplicate - Remove</v>
      </c>
      <c r="S613" s="11" t="str">
        <f aca="false">TRIM(IF(Raw_Data!G613="","Region missing; ","")&amp;IF(Raw_Data!H613="","Spend imputed; ","")&amp;IF(Raw_Data!L613="","Revenue imputed; ","")&amp;IF(Raw_Data!J613&lt;0,"Clicks corrected; ",""))</f>
        <v/>
      </c>
    </row>
    <row r="614" customFormat="false" ht="15" hidden="false" customHeight="true" outlineLevel="0" collapsed="false">
      <c r="A614" s="11" t="n">
        <f aca="false">Raw_Data!A614</f>
        <v>1811</v>
      </c>
      <c r="B614" s="11" t="str">
        <f aca="false">PROPER(TRIM(Raw_Data!B614))</f>
        <v>New Year Wellness</v>
      </c>
      <c r="C614" s="11" t="str">
        <f aca="false">IFERROR(INDEX(Lookup_Tables!$B$2:$B$26,MATCH(UPPER(TRIM(Raw_Data!C614)),Lookup_Tables!$C$2:$C$26,0)),"Unknown")</f>
        <v>Google Ads</v>
      </c>
      <c r="D614" s="12" t="n">
        <f aca="false">IFERROR(IF(ISNUMBER(SEARCH("/",Raw_Data!D614)),DATE(VALUE(RIGHT(Raw_Data!D614,4)),VALUE(MID(Raw_Data!D614,FIND("/",Raw_Data!D614)+1,FIND("/",Raw_Data!D614,FIND("/",Raw_Data!D614)+1)-FIND("/",Raw_Data!D614)-1)),VALUE(LEFT(Raw_Data!D614,FIND("/",Raw_Data!D614)-1))),IF(ISNUMBER(VALUE(LEFT(Raw_Data!D614,4))),DATE(VALUE(LEFT(Raw_Data!D614,4)),VALUE(MID(Raw_Data!D614,6,2)),VALUE(MID(Raw_Data!D614,9,2))),DATEVALUE(Raw_Data!D614))),"")</f>
        <v>45486</v>
      </c>
      <c r="E614" s="12" t="n">
        <f aca="false">IFERROR(IF(ISNUMBER(SEARCH("/",Raw_Data!E614)),DATE(VALUE(RIGHT(Raw_Data!E614,4)),VALUE(MID(Raw_Data!E614,FIND("/",Raw_Data!E614)+1,FIND("/",Raw_Data!E614,FIND("/",Raw_Data!E614)+1)-FIND("/",Raw_Data!E614)-1)),VALUE(LEFT(Raw_Data!E614,FIND("/",Raw_Data!E614)-1))),IF(ISNUMBER(VALUE(LEFT(Raw_Data!E614,4))),DATE(VALUE(LEFT(Raw_Data!E614,4)),VALUE(MID(Raw_Data!E614,6,2)),VALUE(MID(Raw_Data!E614,9,2))),DATEVALUE(Raw_Data!E614))),"")</f>
        <v>45506</v>
      </c>
      <c r="F614" s="11" t="str">
        <f aca="false">Raw_Data!F614</f>
        <v>Female 25-34</v>
      </c>
      <c r="G614" s="11" t="str">
        <f aca="false">IF(TRIM(Raw_Data!G614)="","Unspecified",IFERROR(INDEX(Lookup_Tables!$F$2:$F$24,MATCH(UPPER(TRIM(Raw_Data!G614)),Lookup_Tables!$G$2:$G$24,0)),"Unknown"))</f>
        <v>Central</v>
      </c>
      <c r="H614" s="11" t="n">
        <f aca="false">IF(Raw_Data!H614="",ROUND(AVERAGEIFS(Raw_Data!$H$2:$H$839,Raw_Data!$C$2:$C$839,Raw_Data!C614),2),Raw_Data!H614)</f>
        <v>23738.81</v>
      </c>
      <c r="I614" s="11" t="n">
        <f aca="false">Raw_Data!I614</f>
        <v>501413</v>
      </c>
      <c r="J614" s="11" t="n">
        <f aca="false">IF(Raw_Data!J614&lt;0,ABS(Raw_Data!J614),Raw_Data!J614)</f>
        <v>3196</v>
      </c>
      <c r="K614" s="11" t="n">
        <f aca="false">Raw_Data!K614</f>
        <v>107</v>
      </c>
      <c r="L614" s="11" t="n">
        <f aca="false">IF(Raw_Data!L614="",ROUND(AVERAGEIFS(Raw_Data!$L$2:$L$839,Raw_Data!$C$2:$C$839,Raw_Data!C614),2),Raw_Data!L614)</f>
        <v>110585.2</v>
      </c>
      <c r="M614" s="13" t="n">
        <f aca="false">IFERROR(J614/I614,0)</f>
        <v>0.0063739871124203</v>
      </c>
      <c r="N614" s="14" t="n">
        <f aca="false">IFERROR(H614/J614,0)</f>
        <v>7.42766270337923</v>
      </c>
      <c r="O614" s="14" t="n">
        <f aca="false">IFERROR(H614/K614,0)</f>
        <v>221.858037383178</v>
      </c>
      <c r="P614" s="15" t="n">
        <f aca="false">IFERROR(L614/H614,0)</f>
        <v>4.65841379580527</v>
      </c>
      <c r="Q614" s="13" t="n">
        <f aca="false">IFERROR(K614/J614,0)</f>
        <v>0.0334793491864831</v>
      </c>
      <c r="R614" s="11" t="str">
        <f aca="false">IF(COUNTIF($A$2:A614,A614)&gt;1,"Duplicate - Remove","Unique")</f>
        <v>Unique</v>
      </c>
      <c r="S614" s="11" t="str">
        <f aca="false">TRIM(IF(Raw_Data!G614="","Region missing; ","")&amp;IF(Raw_Data!H614="","Spend imputed; ","")&amp;IF(Raw_Data!L614="","Revenue imputed; ","")&amp;IF(Raw_Data!J614&lt;0,"Clicks corrected; ",""))</f>
        <v/>
      </c>
    </row>
    <row r="615" customFormat="false" ht="15" hidden="false" customHeight="true" outlineLevel="0" collapsed="false">
      <c r="A615" s="11" t="n">
        <f aca="false">Raw_Data!A615</f>
        <v>1039</v>
      </c>
      <c r="B615" s="11" t="str">
        <f aca="false">PROPER(TRIM(Raw_Data!B615))</f>
        <v>Baby Care Trust Campaign</v>
      </c>
      <c r="C615" s="11" t="str">
        <f aca="false">IFERROR(INDEX(Lookup_Tables!$B$2:$B$26,MATCH(UPPER(TRIM(Raw_Data!C615)),Lookup_Tables!$C$2:$C$26,0)),"Unknown")</f>
        <v>Email</v>
      </c>
      <c r="D615" s="12" t="n">
        <f aca="false">IFERROR(IF(ISNUMBER(SEARCH("/",Raw_Data!D615)),DATE(VALUE(RIGHT(Raw_Data!D615,4)),VALUE(MID(Raw_Data!D615,FIND("/",Raw_Data!D615)+1,FIND("/",Raw_Data!D615,FIND("/",Raw_Data!D615)+1)-FIND("/",Raw_Data!D615)-1)),VALUE(LEFT(Raw_Data!D615,FIND("/",Raw_Data!D615)-1))),IF(ISNUMBER(VALUE(LEFT(Raw_Data!D615,4))),DATE(VALUE(LEFT(Raw_Data!D615,4)),VALUE(MID(Raw_Data!D615,6,2)),VALUE(MID(Raw_Data!D615,9,2))),DATEVALUE(Raw_Data!D615))),"")</f>
        <v>45333</v>
      </c>
      <c r="E615" s="12" t="n">
        <f aca="false">IFERROR(IF(ISNUMBER(SEARCH("/",Raw_Data!E615)),DATE(VALUE(RIGHT(Raw_Data!E615,4)),VALUE(MID(Raw_Data!E615,FIND("/",Raw_Data!E615)+1,FIND("/",Raw_Data!E615,FIND("/",Raw_Data!E615)+1)-FIND("/",Raw_Data!E615)-1)),VALUE(LEFT(Raw_Data!E615,FIND("/",Raw_Data!E615)-1))),IF(ISNUMBER(VALUE(LEFT(Raw_Data!E615,4))),DATE(VALUE(LEFT(Raw_Data!E615,4)),VALUE(MID(Raw_Data!E615,6,2)),VALUE(MID(Raw_Data!E615,9,2))),DATEVALUE(Raw_Data!E615))),"")</f>
        <v>45343</v>
      </c>
      <c r="F615" s="11" t="str">
        <f aca="false">Raw_Data!F615</f>
        <v>Male 25-34</v>
      </c>
      <c r="G615" s="11" t="str">
        <f aca="false">IF(TRIM(Raw_Data!G615)="","Unspecified",IFERROR(INDEX(Lookup_Tables!$F$2:$F$24,MATCH(UPPER(TRIM(Raw_Data!G615)),Lookup_Tables!$G$2:$G$24,0)),"Unknown"))</f>
        <v>North</v>
      </c>
      <c r="H615" s="11" t="n">
        <f aca="false">IF(Raw_Data!H615="",ROUND(AVERAGEIFS(Raw_Data!$H$2:$H$839,Raw_Data!$C$2:$C$839,Raw_Data!C615),2),Raw_Data!H615)</f>
        <v>2216.69</v>
      </c>
      <c r="I615" s="11" t="n">
        <f aca="false">Raw_Data!I615</f>
        <v>37410</v>
      </c>
      <c r="J615" s="11" t="n">
        <f aca="false">IF(Raw_Data!J615&lt;0,ABS(Raw_Data!J615),Raw_Data!J615)</f>
        <v>190</v>
      </c>
      <c r="K615" s="11" t="n">
        <f aca="false">Raw_Data!K615</f>
        <v>7</v>
      </c>
      <c r="L615" s="11" t="n">
        <f aca="false">IF(Raw_Data!L615="",ROUND(AVERAGEIFS(Raw_Data!$L$2:$L$839,Raw_Data!$C$2:$C$839,Raw_Data!C615),2),Raw_Data!L615)</f>
        <v>8477.18</v>
      </c>
      <c r="M615" s="13" t="n">
        <f aca="false">IFERROR(J615/I615,0)</f>
        <v>0.00507885592087677</v>
      </c>
      <c r="N615" s="14" t="n">
        <f aca="false">IFERROR(H615/J615,0)</f>
        <v>11.6667894736842</v>
      </c>
      <c r="O615" s="14" t="n">
        <f aca="false">IFERROR(H615/K615,0)</f>
        <v>316.67</v>
      </c>
      <c r="P615" s="15" t="n">
        <f aca="false">IFERROR(L615/H615,0)</f>
        <v>3.82425147404463</v>
      </c>
      <c r="Q615" s="13" t="n">
        <f aca="false">IFERROR(K615/J615,0)</f>
        <v>0.0368421052631579</v>
      </c>
      <c r="R615" s="11" t="str">
        <f aca="false">IF(COUNTIF($A$2:A615,A615)&gt;1,"Duplicate - Remove","Unique")</f>
        <v>Unique</v>
      </c>
      <c r="S615" s="11" t="str">
        <f aca="false">TRIM(IF(Raw_Data!G615="","Region missing; ","")&amp;IF(Raw_Data!H615="","Spend imputed; ","")&amp;IF(Raw_Data!L615="","Revenue imputed; ","")&amp;IF(Raw_Data!J615&lt;0,"Clicks corrected; ",""))</f>
        <v/>
      </c>
    </row>
    <row r="616" customFormat="false" ht="15" hidden="false" customHeight="true" outlineLevel="0" collapsed="false">
      <c r="A616" s="11" t="n">
        <f aca="false">Raw_Data!A616</f>
        <v>1761</v>
      </c>
      <c r="B616" s="11" t="str">
        <f aca="false">PROPER(TRIM(Raw_Data!B616))</f>
        <v>Back To College Offer</v>
      </c>
      <c r="C616" s="11" t="str">
        <f aca="false">IFERROR(INDEX(Lookup_Tables!$B$2:$B$26,MATCH(UPPER(TRIM(Raw_Data!C616)),Lookup_Tables!$C$2:$C$26,0)),"Unknown")</f>
        <v>Instagram</v>
      </c>
      <c r="D616" s="12" t="n">
        <f aca="false">IFERROR(IF(ISNUMBER(SEARCH("/",Raw_Data!D616)),DATE(VALUE(RIGHT(Raw_Data!D616,4)),VALUE(MID(Raw_Data!D616,FIND("/",Raw_Data!D616)+1,FIND("/",Raw_Data!D616,FIND("/",Raw_Data!D616)+1)-FIND("/",Raw_Data!D616)-1)),VALUE(LEFT(Raw_Data!D616,FIND("/",Raw_Data!D616)-1))),IF(ISNUMBER(VALUE(LEFT(Raw_Data!D616,4))),DATE(VALUE(LEFT(Raw_Data!D616,4)),VALUE(MID(Raw_Data!D616,6,2)),VALUE(MID(Raw_Data!D616,9,2))),DATEVALUE(Raw_Data!D616))),"")</f>
        <v>45508</v>
      </c>
      <c r="E616" s="12" t="n">
        <f aca="false">IFERROR(IF(ISNUMBER(SEARCH("/",Raw_Data!E616)),DATE(VALUE(RIGHT(Raw_Data!E616,4)),VALUE(MID(Raw_Data!E616,FIND("/",Raw_Data!E616)+1,FIND("/",Raw_Data!E616,FIND("/",Raw_Data!E616)+1)-FIND("/",Raw_Data!E616)-1)),VALUE(LEFT(Raw_Data!E616,FIND("/",Raw_Data!E616)-1))),IF(ISNUMBER(VALUE(LEFT(Raw_Data!E616,4))),DATE(VALUE(LEFT(Raw_Data!E616,4)),VALUE(MID(Raw_Data!E616,6,2)),VALUE(MID(Raw_Data!E616,9,2))),DATEVALUE(Raw_Data!E616))),"")</f>
        <v>45519</v>
      </c>
      <c r="F616" s="11" t="str">
        <f aca="false">Raw_Data!F616</f>
        <v>Female 25-34</v>
      </c>
      <c r="G616" s="11" t="str">
        <f aca="false">IF(TRIM(Raw_Data!G616)="","Unspecified",IFERROR(INDEX(Lookup_Tables!$F$2:$F$24,MATCH(UPPER(TRIM(Raw_Data!G616)),Lookup_Tables!$G$2:$G$24,0)),"Unknown"))</f>
        <v>Central</v>
      </c>
      <c r="H616" s="11" t="n">
        <f aca="false">IF(Raw_Data!H616="",ROUND(AVERAGEIFS(Raw_Data!$H$2:$H$839,Raw_Data!$C$2:$C$839,Raw_Data!C616),2),Raw_Data!H616)</f>
        <v>54348.2</v>
      </c>
      <c r="I616" s="11" t="n">
        <f aca="false">Raw_Data!I616</f>
        <v>1585020</v>
      </c>
      <c r="J616" s="11" t="n">
        <f aca="false">IF(Raw_Data!J616&lt;0,ABS(Raw_Data!J616),Raw_Data!J616)</f>
        <v>8393</v>
      </c>
      <c r="K616" s="11" t="n">
        <f aca="false">Raw_Data!K616</f>
        <v>282</v>
      </c>
      <c r="L616" s="11" t="n">
        <f aca="false">IF(Raw_Data!L616="",ROUND(AVERAGEIFS(Raw_Data!$L$2:$L$839,Raw_Data!$C$2:$C$839,Raw_Data!C616),2),Raw_Data!L616)</f>
        <v>354000.81</v>
      </c>
      <c r="M616" s="13" t="n">
        <f aca="false">IFERROR(J616/I616,0)</f>
        <v>0.00529520132238079</v>
      </c>
      <c r="N616" s="14" t="n">
        <f aca="false">IFERROR(H616/J616,0)</f>
        <v>6.47541999285119</v>
      </c>
      <c r="O616" s="14" t="n">
        <f aca="false">IFERROR(H616/K616,0)</f>
        <v>192.724113475177</v>
      </c>
      <c r="P616" s="15" t="n">
        <f aca="false">IFERROR(L616/H616,0)</f>
        <v>6.51357009063778</v>
      </c>
      <c r="Q616" s="13" t="n">
        <f aca="false">IFERROR(K616/J616,0)</f>
        <v>0.0335994280948409</v>
      </c>
      <c r="R616" s="11" t="str">
        <f aca="false">IF(COUNTIF($A$2:A616,A616)&gt;1,"Duplicate - Remove","Unique")</f>
        <v>Duplicate - Remove</v>
      </c>
      <c r="S616" s="11" t="str">
        <f aca="false">TRIM(IF(Raw_Data!G616="","Region missing; ","")&amp;IF(Raw_Data!H616="","Spend imputed; ","")&amp;IF(Raw_Data!L616="","Revenue imputed; ","")&amp;IF(Raw_Data!J616&lt;0,"Clicks corrected; ",""))</f>
        <v/>
      </c>
    </row>
    <row r="617" customFormat="false" ht="15" hidden="false" customHeight="true" outlineLevel="0" collapsed="false">
      <c r="A617" s="11" t="n">
        <f aca="false">Raw_Data!A617</f>
        <v>1064</v>
      </c>
      <c r="B617" s="11" t="str">
        <f aca="false">PROPER(TRIM(Raw_Data!B617))</f>
        <v>Baby Care Trust Campaign</v>
      </c>
      <c r="C617" s="11" t="str">
        <f aca="false">IFERROR(INDEX(Lookup_Tables!$B$2:$B$26,MATCH(UPPER(TRIM(Raw_Data!C617)),Lookup_Tables!$C$2:$C$26,0)),"Unknown")</f>
        <v>YouTube</v>
      </c>
      <c r="D617" s="12" t="n">
        <f aca="false">IFERROR(IF(ISNUMBER(SEARCH("/",Raw_Data!D617)),DATE(VALUE(RIGHT(Raw_Data!D617,4)),VALUE(MID(Raw_Data!D617,FIND("/",Raw_Data!D617)+1,FIND("/",Raw_Data!D617,FIND("/",Raw_Data!D617)+1)-FIND("/",Raw_Data!D617)-1)),VALUE(LEFT(Raw_Data!D617,FIND("/",Raw_Data!D617)-1))),IF(ISNUMBER(VALUE(LEFT(Raw_Data!D617,4))),DATE(VALUE(LEFT(Raw_Data!D617,4)),VALUE(MID(Raw_Data!D617,6,2)),VALUE(MID(Raw_Data!D617,9,2))),DATEVALUE(Raw_Data!D617))),"")</f>
        <v>45465</v>
      </c>
      <c r="E617" s="12" t="n">
        <f aca="false">IFERROR(IF(ISNUMBER(SEARCH("/",Raw_Data!E617)),DATE(VALUE(RIGHT(Raw_Data!E617,4)),VALUE(MID(Raw_Data!E617,FIND("/",Raw_Data!E617)+1,FIND("/",Raw_Data!E617,FIND("/",Raw_Data!E617)+1)-FIND("/",Raw_Data!E617)-1)),VALUE(LEFT(Raw_Data!E617,FIND("/",Raw_Data!E617)-1))),IF(ISNUMBER(VALUE(LEFT(Raw_Data!E617,4))),DATE(VALUE(LEFT(Raw_Data!E617,4)),VALUE(MID(Raw_Data!E617,6,2)),VALUE(MID(Raw_Data!E617,9,2))),DATEVALUE(Raw_Data!E617))),"")</f>
        <v>45481</v>
      </c>
      <c r="F617" s="11" t="str">
        <f aca="false">Raw_Data!F617</f>
        <v>Male 25-34</v>
      </c>
      <c r="G617" s="11" t="str">
        <f aca="false">IF(TRIM(Raw_Data!G617)="","Unspecified",IFERROR(INDEX(Lookup_Tables!$F$2:$F$24,MATCH(UPPER(TRIM(Raw_Data!G617)),Lookup_Tables!$G$2:$G$24,0)),"Unknown"))</f>
        <v>East</v>
      </c>
      <c r="H617" s="11" t="n">
        <f aca="false">IF(Raw_Data!H617="",ROUND(AVERAGEIFS(Raw_Data!$H$2:$H$839,Raw_Data!$C$2:$C$839,Raw_Data!C617),2),Raw_Data!H617)</f>
        <v>28605.42</v>
      </c>
      <c r="I617" s="11" t="n">
        <f aca="false">Raw_Data!I617</f>
        <v>531525</v>
      </c>
      <c r="J617" s="11" t="n">
        <f aca="false">IF(Raw_Data!J617&lt;0,ABS(Raw_Data!J617),Raw_Data!J617)</f>
        <v>13139</v>
      </c>
      <c r="K617" s="11" t="n">
        <f aca="false">Raw_Data!K617</f>
        <v>195</v>
      </c>
      <c r="L617" s="11" t="n">
        <f aca="false">IF(Raw_Data!L617="",ROUND(AVERAGEIFS(Raw_Data!$L$2:$L$839,Raw_Data!$C$2:$C$839,Raw_Data!C617),2),Raw_Data!L617)</f>
        <v>277759</v>
      </c>
      <c r="M617" s="13" t="n">
        <f aca="false">IFERROR(J617/I617,0)</f>
        <v>0.0247194393490429</v>
      </c>
      <c r="N617" s="14" t="n">
        <f aca="false">IFERROR(H617/J617,0)</f>
        <v>2.17713829058528</v>
      </c>
      <c r="O617" s="14" t="n">
        <f aca="false">IFERROR(H617/K617,0)</f>
        <v>146.694461538462</v>
      </c>
      <c r="P617" s="15" t="n">
        <f aca="false">IFERROR(L617/H617,0)</f>
        <v>9.71001299753683</v>
      </c>
      <c r="Q617" s="13" t="n">
        <f aca="false">IFERROR(K617/J617,0)</f>
        <v>0.0148413121242104</v>
      </c>
      <c r="R617" s="11" t="str">
        <f aca="false">IF(COUNTIF($A$2:A617,A617)&gt;1,"Duplicate - Remove","Unique")</f>
        <v>Unique</v>
      </c>
      <c r="S617" s="11" t="str">
        <f aca="false">TRIM(IF(Raw_Data!G617="","Region missing; ","")&amp;IF(Raw_Data!H617="","Spend imputed; ","")&amp;IF(Raw_Data!L617="","Revenue imputed; ","")&amp;IF(Raw_Data!J617&lt;0,"Clicks corrected; ",""))</f>
        <v/>
      </c>
    </row>
    <row r="618" customFormat="false" ht="15" hidden="false" customHeight="true" outlineLevel="0" collapsed="false">
      <c r="A618" s="11" t="n">
        <f aca="false">Raw_Data!A618</f>
        <v>1477</v>
      </c>
      <c r="B618" s="11" t="str">
        <f aca="false">PROPER(TRIM(Raw_Data!B618))</f>
        <v>New Year Wellness</v>
      </c>
      <c r="C618" s="11" t="str">
        <f aca="false">IFERROR(INDEX(Lookup_Tables!$B$2:$B$26,MATCH(UPPER(TRIM(Raw_Data!C618)),Lookup_Tables!$C$2:$C$26,0)),"Unknown")</f>
        <v>Google Ads</v>
      </c>
      <c r="D618" s="12" t="n">
        <f aca="false">IFERROR(IF(ISNUMBER(SEARCH("/",Raw_Data!D618)),DATE(VALUE(RIGHT(Raw_Data!D618,4)),VALUE(MID(Raw_Data!D618,FIND("/",Raw_Data!D618)+1,FIND("/",Raw_Data!D618,FIND("/",Raw_Data!D618)+1)-FIND("/",Raw_Data!D618)-1)),VALUE(LEFT(Raw_Data!D618,FIND("/",Raw_Data!D618)-1))),IF(ISNUMBER(VALUE(LEFT(Raw_Data!D618,4))),DATE(VALUE(LEFT(Raw_Data!D618,4)),VALUE(MID(Raw_Data!D618,6,2)),VALUE(MID(Raw_Data!D618,9,2))),DATEVALUE(Raw_Data!D618))),"")</f>
        <v>45529</v>
      </c>
      <c r="E618" s="12" t="n">
        <f aca="false">IFERROR(IF(ISNUMBER(SEARCH("/",Raw_Data!E618)),DATE(VALUE(RIGHT(Raw_Data!E618,4)),VALUE(MID(Raw_Data!E618,FIND("/",Raw_Data!E618)+1,FIND("/",Raw_Data!E618,FIND("/",Raw_Data!E618)+1)-FIND("/",Raw_Data!E618)-1)),VALUE(LEFT(Raw_Data!E618,FIND("/",Raw_Data!E618)-1))),IF(ISNUMBER(VALUE(LEFT(Raw_Data!E618,4))),DATE(VALUE(LEFT(Raw_Data!E618,4)),VALUE(MID(Raw_Data!E618,6,2)),VALUE(MID(Raw_Data!E618,9,2))),DATEVALUE(Raw_Data!E618))),"")</f>
        <v>45553</v>
      </c>
      <c r="F618" s="11" t="str">
        <f aca="false">Raw_Data!F618</f>
        <v>Female 18-24</v>
      </c>
      <c r="G618" s="11" t="str">
        <f aca="false">IF(TRIM(Raw_Data!G618)="","Unspecified",IFERROR(INDEX(Lookup_Tables!$F$2:$F$24,MATCH(UPPER(TRIM(Raw_Data!G618)),Lookup_Tables!$G$2:$G$24,0)),"Unknown"))</f>
        <v>West</v>
      </c>
      <c r="H618" s="11" t="n">
        <f aca="false">IF(Raw_Data!H618="",ROUND(AVERAGEIFS(Raw_Data!$H$2:$H$839,Raw_Data!$C$2:$C$839,Raw_Data!C618),2),Raw_Data!H618)</f>
        <v>14024.77</v>
      </c>
      <c r="I618" s="11" t="n">
        <f aca="false">Raw_Data!I618</f>
        <v>212437</v>
      </c>
      <c r="J618" s="11" t="n">
        <f aca="false">IF(Raw_Data!J618&lt;0,ABS(Raw_Data!J618),Raw_Data!J618)</f>
        <v>3996</v>
      </c>
      <c r="K618" s="11" t="n">
        <f aca="false">Raw_Data!K618</f>
        <v>123</v>
      </c>
      <c r="L618" s="11" t="n">
        <f aca="false">IF(Raw_Data!L618="",ROUND(AVERAGEIFS(Raw_Data!$L$2:$L$839,Raw_Data!$C$2:$C$839,Raw_Data!C618),2),Raw_Data!L618)</f>
        <v>62162.71</v>
      </c>
      <c r="M618" s="13" t="n">
        <f aca="false">IFERROR(J618/I618,0)</f>
        <v>0.0188102825778937</v>
      </c>
      <c r="N618" s="14" t="n">
        <f aca="false">IFERROR(H618/J618,0)</f>
        <v>3.5097022022022</v>
      </c>
      <c r="O618" s="14" t="n">
        <f aca="false">IFERROR(H618/K618,0)</f>
        <v>114.022520325203</v>
      </c>
      <c r="P618" s="15" t="n">
        <f aca="false">IFERROR(L618/H618,0)</f>
        <v>4.43235147528266</v>
      </c>
      <c r="Q618" s="13" t="n">
        <f aca="false">IFERROR(K618/J618,0)</f>
        <v>0.0307807807807808</v>
      </c>
      <c r="R618" s="11" t="str">
        <f aca="false">IF(COUNTIF($A$2:A618,A618)&gt;1,"Duplicate - Remove","Unique")</f>
        <v>Unique</v>
      </c>
      <c r="S618" s="11" t="str">
        <f aca="false">TRIM(IF(Raw_Data!G618="","Region missing; ","")&amp;IF(Raw_Data!H618="","Spend imputed; ","")&amp;IF(Raw_Data!L618="","Revenue imputed; ","")&amp;IF(Raw_Data!J618&lt;0,"Clicks corrected; ",""))</f>
        <v/>
      </c>
    </row>
    <row r="619" customFormat="false" ht="15" hidden="false" customHeight="true" outlineLevel="0" collapsed="false">
      <c r="A619" s="11" t="n">
        <f aca="false">Raw_Data!A619</f>
        <v>1138</v>
      </c>
      <c r="B619" s="11" t="str">
        <f aca="false">PROPER(TRIM(Raw_Data!B619))</f>
        <v>Monsoon Skincare Push</v>
      </c>
      <c r="C619" s="11" t="str">
        <f aca="false">IFERROR(INDEX(Lookup_Tables!$B$2:$B$26,MATCH(UPPER(TRIM(Raw_Data!C619)),Lookup_Tables!$C$2:$C$26,0)),"Unknown")</f>
        <v>Email</v>
      </c>
      <c r="D619" s="12" t="n">
        <f aca="false">IFERROR(IF(ISNUMBER(SEARCH("/",Raw_Data!D619)),DATE(VALUE(RIGHT(Raw_Data!D619,4)),VALUE(MID(Raw_Data!D619,FIND("/",Raw_Data!D619)+1,FIND("/",Raw_Data!D619,FIND("/",Raw_Data!D619)+1)-FIND("/",Raw_Data!D619)-1)),VALUE(LEFT(Raw_Data!D619,FIND("/",Raw_Data!D619)-1))),IF(ISNUMBER(VALUE(LEFT(Raw_Data!D619,4))),DATE(VALUE(LEFT(Raw_Data!D619,4)),VALUE(MID(Raw_Data!D619,6,2)),VALUE(MID(Raw_Data!D619,9,2))),DATEVALUE(Raw_Data!D619))),"")</f>
        <v>45567</v>
      </c>
      <c r="E619" s="12" t="n">
        <f aca="false">IFERROR(IF(ISNUMBER(SEARCH("/",Raw_Data!E619)),DATE(VALUE(RIGHT(Raw_Data!E619,4)),VALUE(MID(Raw_Data!E619,FIND("/",Raw_Data!E619)+1,FIND("/",Raw_Data!E619,FIND("/",Raw_Data!E619)+1)-FIND("/",Raw_Data!E619)-1)),VALUE(LEFT(Raw_Data!E619,FIND("/",Raw_Data!E619)-1))),IF(ISNUMBER(VALUE(LEFT(Raw_Data!E619,4))),DATE(VALUE(LEFT(Raw_Data!E619,4)),VALUE(MID(Raw_Data!E619,6,2)),VALUE(MID(Raw_Data!E619,9,2))),DATEVALUE(Raw_Data!E619))),"")</f>
        <v>45581</v>
      </c>
      <c r="F619" s="11" t="str">
        <f aca="false">Raw_Data!F619</f>
        <v>Male 18-24</v>
      </c>
      <c r="G619" s="11" t="str">
        <f aca="false">IF(TRIM(Raw_Data!G619)="","Unspecified",IFERROR(INDEX(Lookup_Tables!$F$2:$F$24,MATCH(UPPER(TRIM(Raw_Data!G619)),Lookup_Tables!$G$2:$G$24,0)),"Unknown"))</f>
        <v>Unspecified</v>
      </c>
      <c r="H619" s="11" t="n">
        <f aca="false">IF(Raw_Data!H619="",ROUND(AVERAGEIFS(Raw_Data!$H$2:$H$839,Raw_Data!$C$2:$C$839,Raw_Data!C619),2),Raw_Data!H619)</f>
        <v>6465.18</v>
      </c>
      <c r="I619" s="11" t="n">
        <f aca="false">Raw_Data!I619</f>
        <v>188403</v>
      </c>
      <c r="J619" s="11" t="n">
        <f aca="false">IF(Raw_Data!J619&lt;0,ABS(Raw_Data!J619),Raw_Data!J619)</f>
        <v>5308</v>
      </c>
      <c r="K619" s="11" t="n">
        <f aca="false">Raw_Data!K619</f>
        <v>237</v>
      </c>
      <c r="L619" s="11" t="n">
        <f aca="false">IF(Raw_Data!L619="",ROUND(AVERAGEIFS(Raw_Data!$L$2:$L$839,Raw_Data!$C$2:$C$839,Raw_Data!C619),2),Raw_Data!L619)</f>
        <v>258488.48</v>
      </c>
      <c r="M619" s="13" t="n">
        <f aca="false">IFERROR(J619/I619,0)</f>
        <v>0.0281736490395588</v>
      </c>
      <c r="N619" s="14" t="n">
        <f aca="false">IFERROR(H619/J619,0)</f>
        <v>1.21800678221552</v>
      </c>
      <c r="O619" s="14" t="n">
        <f aca="false">IFERROR(H619/K619,0)</f>
        <v>27.2792405063291</v>
      </c>
      <c r="P619" s="15" t="n">
        <f aca="false">IFERROR(L619/H619,0)</f>
        <v>39.9816370155201</v>
      </c>
      <c r="Q619" s="13" t="n">
        <f aca="false">IFERROR(K619/J619,0)</f>
        <v>0.0446495855312736</v>
      </c>
      <c r="R619" s="11" t="str">
        <f aca="false">IF(COUNTIF($A$2:A619,A619)&gt;1,"Duplicate - Remove","Unique")</f>
        <v>Unique</v>
      </c>
      <c r="S619" s="11" t="str">
        <f aca="false">TRIM(IF(Raw_Data!G619="","Region missing; ","")&amp;IF(Raw_Data!H619="","Spend imputed; ","")&amp;IF(Raw_Data!L619="","Revenue imputed; ","")&amp;IF(Raw_Data!J619&lt;0,"Clicks corrected; ",""))</f>
        <v>Region missing;</v>
      </c>
    </row>
    <row r="620" customFormat="false" ht="15" hidden="false" customHeight="true" outlineLevel="0" collapsed="false">
      <c r="A620" s="11" t="n">
        <f aca="false">Raw_Data!A620</f>
        <v>1340</v>
      </c>
      <c r="B620" s="11" t="str">
        <f aca="false">PROPER(TRIM(Raw_Data!B620))</f>
        <v>Herbal Range Awareness</v>
      </c>
      <c r="C620" s="11" t="str">
        <f aca="false">IFERROR(INDEX(Lookup_Tables!$B$2:$B$26,MATCH(UPPER(TRIM(Raw_Data!C620)),Lookup_Tables!$C$2:$C$26,0)),"Unknown")</f>
        <v>Facebook</v>
      </c>
      <c r="D620" s="12" t="n">
        <f aca="false">IFERROR(IF(ISNUMBER(SEARCH("/",Raw_Data!D620)),DATE(VALUE(RIGHT(Raw_Data!D620,4)),VALUE(MID(Raw_Data!D620,FIND("/",Raw_Data!D620)+1,FIND("/",Raw_Data!D620,FIND("/",Raw_Data!D620)+1)-FIND("/",Raw_Data!D620)-1)),VALUE(LEFT(Raw_Data!D620,FIND("/",Raw_Data!D620)-1))),IF(ISNUMBER(VALUE(LEFT(Raw_Data!D620,4))),DATE(VALUE(LEFT(Raw_Data!D620,4)),VALUE(MID(Raw_Data!D620,6,2)),VALUE(MID(Raw_Data!D620,9,2))),DATEVALUE(Raw_Data!D620))),"")</f>
        <v>45341</v>
      </c>
      <c r="E620" s="12" t="n">
        <f aca="false">IFERROR(IF(ISNUMBER(SEARCH("/",Raw_Data!E620)),DATE(VALUE(RIGHT(Raw_Data!E620,4)),VALUE(MID(Raw_Data!E620,FIND("/",Raw_Data!E620)+1,FIND("/",Raw_Data!E620,FIND("/",Raw_Data!E620)+1)-FIND("/",Raw_Data!E620)-1)),VALUE(LEFT(Raw_Data!E620,FIND("/",Raw_Data!E620)-1))),IF(ISNUMBER(VALUE(LEFT(Raw_Data!E620,4))),DATE(VALUE(LEFT(Raw_Data!E620,4)),VALUE(MID(Raw_Data!E620,6,2)),VALUE(MID(Raw_Data!E620,9,2))),DATEVALUE(Raw_Data!E620))),"")</f>
        <v>45363</v>
      </c>
      <c r="F620" s="11" t="str">
        <f aca="false">Raw_Data!F620</f>
        <v>Male 35-44</v>
      </c>
      <c r="G620" s="11" t="str">
        <f aca="false">IF(TRIM(Raw_Data!G620)="","Unspecified",IFERROR(INDEX(Lookup_Tables!$F$2:$F$24,MATCH(UPPER(TRIM(Raw_Data!G620)),Lookup_Tables!$G$2:$G$24,0)),"Unknown"))</f>
        <v>East</v>
      </c>
      <c r="H620" s="11" t="n">
        <f aca="false">IF(Raw_Data!H620="",ROUND(AVERAGEIFS(Raw_Data!$H$2:$H$839,Raw_Data!$C$2:$C$839,Raw_Data!C620),2),Raw_Data!H620)</f>
        <v>21471.69</v>
      </c>
      <c r="I620" s="11" t="n">
        <f aca="false">Raw_Data!I620</f>
        <v>399221</v>
      </c>
      <c r="J620" s="11" t="n">
        <f aca="false">IF(Raw_Data!J620&lt;0,ABS(Raw_Data!J620),Raw_Data!J620)</f>
        <v>3636</v>
      </c>
      <c r="K620" s="11" t="n">
        <f aca="false">Raw_Data!K620</f>
        <v>107</v>
      </c>
      <c r="L620" s="11" t="n">
        <f aca="false">IF(Raw_Data!L620="",ROUND(AVERAGEIFS(Raw_Data!$L$2:$L$839,Raw_Data!$C$2:$C$839,Raw_Data!C620),2),Raw_Data!L620)</f>
        <v>158282.04</v>
      </c>
      <c r="M620" s="13" t="n">
        <f aca="false">IFERROR(J620/I620,0)</f>
        <v>0.00910773731842764</v>
      </c>
      <c r="N620" s="14" t="n">
        <f aca="false">IFERROR(H620/J620,0)</f>
        <v>5.90530528052805</v>
      </c>
      <c r="O620" s="14" t="n">
        <f aca="false">IFERROR(H620/K620,0)</f>
        <v>200.67</v>
      </c>
      <c r="P620" s="15" t="n">
        <f aca="false">IFERROR(L620/H620,0)</f>
        <v>7.37166194184063</v>
      </c>
      <c r="Q620" s="13" t="n">
        <f aca="false">IFERROR(K620/J620,0)</f>
        <v>0.0294279427942794</v>
      </c>
      <c r="R620" s="11" t="str">
        <f aca="false">IF(COUNTIF($A$2:A620,A620)&gt;1,"Duplicate - Remove","Unique")</f>
        <v>Unique</v>
      </c>
      <c r="S620" s="11" t="str">
        <f aca="false">TRIM(IF(Raw_Data!G620="","Region missing; ","")&amp;IF(Raw_Data!H620="","Spend imputed; ","")&amp;IF(Raw_Data!L620="","Revenue imputed; ","")&amp;IF(Raw_Data!J620&lt;0,"Clicks corrected; ",""))</f>
        <v/>
      </c>
    </row>
    <row r="621" customFormat="false" ht="15" hidden="false" customHeight="true" outlineLevel="0" collapsed="false">
      <c r="A621" s="11" t="n">
        <f aca="false">Raw_Data!A621</f>
        <v>1283</v>
      </c>
      <c r="B621" s="11" t="str">
        <f aca="false">PROPER(TRIM(Raw_Data!B621))</f>
        <v>Sunscreen Season Campaign</v>
      </c>
      <c r="C621" s="11" t="str">
        <f aca="false">IFERROR(INDEX(Lookup_Tables!$B$2:$B$26,MATCH(UPPER(TRIM(Raw_Data!C621)),Lookup_Tables!$C$2:$C$26,0)),"Unknown")</f>
        <v>YouTube</v>
      </c>
      <c r="D621" s="12" t="n">
        <f aca="false">IFERROR(IF(ISNUMBER(SEARCH("/",Raw_Data!D621)),DATE(VALUE(RIGHT(Raw_Data!D621,4)),VALUE(MID(Raw_Data!D621,FIND("/",Raw_Data!D621)+1,FIND("/",Raw_Data!D621,FIND("/",Raw_Data!D621)+1)-FIND("/",Raw_Data!D621)-1)),VALUE(LEFT(Raw_Data!D621,FIND("/",Raw_Data!D621)-1))),IF(ISNUMBER(VALUE(LEFT(Raw_Data!D621,4))),DATE(VALUE(LEFT(Raw_Data!D621,4)),VALUE(MID(Raw_Data!D621,6,2)),VALUE(MID(Raw_Data!D621,9,2))),DATEVALUE(Raw_Data!D621))),"")</f>
        <v>45424</v>
      </c>
      <c r="E621" s="12" t="n">
        <f aca="false">IFERROR(IF(ISNUMBER(SEARCH("/",Raw_Data!E621)),DATE(VALUE(RIGHT(Raw_Data!E621,4)),VALUE(MID(Raw_Data!E621,FIND("/",Raw_Data!E621)+1,FIND("/",Raw_Data!E621,FIND("/",Raw_Data!E621)+1)-FIND("/",Raw_Data!E621)-1)),VALUE(LEFT(Raw_Data!E621,FIND("/",Raw_Data!E621)-1))),IF(ISNUMBER(VALUE(LEFT(Raw_Data!E621,4))),DATE(VALUE(LEFT(Raw_Data!E621,4)),VALUE(MID(Raw_Data!E621,6,2)),VALUE(MID(Raw_Data!E621,9,2))),DATEVALUE(Raw_Data!E621))),"")</f>
        <v>45445</v>
      </c>
      <c r="F621" s="11" t="str">
        <f aca="false">Raw_Data!F621</f>
        <v>Male 35-44</v>
      </c>
      <c r="G621" s="11" t="str">
        <f aca="false">IF(TRIM(Raw_Data!G621)="","Unspecified",IFERROR(INDEX(Lookup_Tables!$F$2:$F$24,MATCH(UPPER(TRIM(Raw_Data!G621)),Lookup_Tables!$G$2:$G$24,0)),"Unknown"))</f>
        <v>East</v>
      </c>
      <c r="H621" s="11" t="n">
        <f aca="false">IF(Raw_Data!H621="",ROUND(AVERAGEIFS(Raw_Data!$H$2:$H$839,Raw_Data!$C$2:$C$839,Raw_Data!C621),2),Raw_Data!H621)</f>
        <v>89626.83</v>
      </c>
      <c r="I621" s="11" t="n">
        <f aca="false">Raw_Data!I621</f>
        <v>2137271</v>
      </c>
      <c r="J621" s="11" t="n">
        <f aca="false">IF(Raw_Data!J621&lt;0,ABS(Raw_Data!J621),Raw_Data!J621)</f>
        <v>19003</v>
      </c>
      <c r="K621" s="11" t="n">
        <f aca="false">Raw_Data!K621</f>
        <v>938</v>
      </c>
      <c r="L621" s="11" t="n">
        <f aca="false">IF(Raw_Data!L621="",ROUND(AVERAGEIFS(Raw_Data!$L$2:$L$839,Raw_Data!$C$2:$C$839,Raw_Data!C621),2),Raw_Data!L621)</f>
        <v>1035151.86</v>
      </c>
      <c r="M621" s="13" t="n">
        <f aca="false">IFERROR(J621/I621,0)</f>
        <v>0.00889124495676964</v>
      </c>
      <c r="N621" s="14" t="n">
        <f aca="false">IFERROR(H621/J621,0)</f>
        <v>4.71645687523023</v>
      </c>
      <c r="O621" s="14" t="n">
        <f aca="false">IFERROR(H621/K621,0)</f>
        <v>95.5509914712154</v>
      </c>
      <c r="P621" s="15" t="n">
        <f aca="false">IFERROR(L621/H621,0)</f>
        <v>11.5495757241442</v>
      </c>
      <c r="Q621" s="13" t="n">
        <f aca="false">IFERROR(K621/J621,0)</f>
        <v>0.0493606272693785</v>
      </c>
      <c r="R621" s="11" t="str">
        <f aca="false">IF(COUNTIF($A$2:A621,A621)&gt;1,"Duplicate - Remove","Unique")</f>
        <v>Unique</v>
      </c>
      <c r="S621" s="11" t="str">
        <f aca="false">TRIM(IF(Raw_Data!G621="","Region missing; ","")&amp;IF(Raw_Data!H621="","Spend imputed; ","")&amp;IF(Raw_Data!L621="","Revenue imputed; ","")&amp;IF(Raw_Data!J621&lt;0,"Clicks corrected; ",""))</f>
        <v/>
      </c>
    </row>
    <row r="622" customFormat="false" ht="15" hidden="false" customHeight="true" outlineLevel="0" collapsed="false">
      <c r="A622" s="11" t="n">
        <f aca="false">Raw_Data!A622</f>
        <v>1183</v>
      </c>
      <c r="B622" s="11" t="str">
        <f aca="false">PROPER(TRIM(Raw_Data!B622))</f>
        <v>Ayurvedic Range Launch</v>
      </c>
      <c r="C622" s="11" t="str">
        <f aca="false">IFERROR(INDEX(Lookup_Tables!$B$2:$B$26,MATCH(UPPER(TRIM(Raw_Data!C622)),Lookup_Tables!$C$2:$C$26,0)),"Unknown")</f>
        <v>Instagram</v>
      </c>
      <c r="D622" s="12" t="n">
        <f aca="false">IFERROR(IF(ISNUMBER(SEARCH("/",Raw_Data!D622)),DATE(VALUE(RIGHT(Raw_Data!D622,4)),VALUE(MID(Raw_Data!D622,FIND("/",Raw_Data!D622)+1,FIND("/",Raw_Data!D622,FIND("/",Raw_Data!D622)+1)-FIND("/",Raw_Data!D622)-1)),VALUE(LEFT(Raw_Data!D622,FIND("/",Raw_Data!D622)-1))),IF(ISNUMBER(VALUE(LEFT(Raw_Data!D622,4))),DATE(VALUE(LEFT(Raw_Data!D622,4)),VALUE(MID(Raw_Data!D622,6,2)),VALUE(MID(Raw_Data!D622,9,2))),DATEVALUE(Raw_Data!D622))),"")</f>
        <v>45347</v>
      </c>
      <c r="E622" s="12" t="n">
        <f aca="false">IFERROR(IF(ISNUMBER(SEARCH("/",Raw_Data!E622)),DATE(VALUE(RIGHT(Raw_Data!E622,4)),VALUE(MID(Raw_Data!E622,FIND("/",Raw_Data!E622)+1,FIND("/",Raw_Data!E622,FIND("/",Raw_Data!E622)+1)-FIND("/",Raw_Data!E622)-1)),VALUE(LEFT(Raw_Data!E622,FIND("/",Raw_Data!E622)-1))),IF(ISNUMBER(VALUE(LEFT(Raw_Data!E622,4))),DATE(VALUE(LEFT(Raw_Data!E622,4)),VALUE(MID(Raw_Data!E622,6,2)),VALUE(MID(Raw_Data!E622,9,2))),DATEVALUE(Raw_Data!E622))),"")</f>
        <v>45367</v>
      </c>
      <c r="F622" s="11" t="str">
        <f aca="false">Raw_Data!F622</f>
        <v>Male 25-34</v>
      </c>
      <c r="G622" s="11" t="str">
        <f aca="false">IF(TRIM(Raw_Data!G622)="","Unspecified",IFERROR(INDEX(Lookup_Tables!$F$2:$F$24,MATCH(UPPER(TRIM(Raw_Data!G622)),Lookup_Tables!$G$2:$G$24,0)),"Unknown"))</f>
        <v>Central</v>
      </c>
      <c r="H622" s="11" t="n">
        <f aca="false">IF(Raw_Data!H622="",ROUND(AVERAGEIFS(Raw_Data!$H$2:$H$839,Raw_Data!$C$2:$C$839,Raw_Data!C622),2),Raw_Data!H622)</f>
        <v>25486.75</v>
      </c>
      <c r="I622" s="11" t="n">
        <f aca="false">Raw_Data!I622</f>
        <v>558467</v>
      </c>
      <c r="J622" s="11" t="n">
        <f aca="false">IF(Raw_Data!J622&lt;0,ABS(Raw_Data!J622),Raw_Data!J622)</f>
        <v>8239</v>
      </c>
      <c r="K622" s="11" t="n">
        <f aca="false">Raw_Data!K622</f>
        <v>242</v>
      </c>
      <c r="L622" s="11" t="n">
        <f aca="false">IF(Raw_Data!L622="",ROUND(AVERAGEIFS(Raw_Data!$L$2:$L$839,Raw_Data!$C$2:$C$839,Raw_Data!C622),2),Raw_Data!L622)</f>
        <v>314932.37</v>
      </c>
      <c r="M622" s="13" t="n">
        <f aca="false">IFERROR(J622/I622,0)</f>
        <v>0.0147528860254948</v>
      </c>
      <c r="N622" s="14" t="n">
        <f aca="false">IFERROR(H622/J622,0)</f>
        <v>3.09342760043695</v>
      </c>
      <c r="O622" s="14" t="n">
        <f aca="false">IFERROR(H622/K622,0)</f>
        <v>105.317148760331</v>
      </c>
      <c r="P622" s="15" t="n">
        <f aca="false">IFERROR(L622/H622,0)</f>
        <v>12.356709662864</v>
      </c>
      <c r="Q622" s="13" t="n">
        <f aca="false">IFERROR(K622/J622,0)</f>
        <v>0.0293724966622163</v>
      </c>
      <c r="R622" s="11" t="str">
        <f aca="false">IF(COUNTIF($A$2:A622,A622)&gt;1,"Duplicate - Remove","Unique")</f>
        <v>Unique</v>
      </c>
      <c r="S622" s="11" t="str">
        <f aca="false">TRIM(IF(Raw_Data!G622="","Region missing; ","")&amp;IF(Raw_Data!H622="","Spend imputed; ","")&amp;IF(Raw_Data!L622="","Revenue imputed; ","")&amp;IF(Raw_Data!J622&lt;0,"Clicks corrected; ",""))</f>
        <v/>
      </c>
    </row>
    <row r="623" customFormat="false" ht="15" hidden="false" customHeight="true" outlineLevel="0" collapsed="false">
      <c r="A623" s="11" t="n">
        <f aca="false">Raw_Data!A623</f>
        <v>1532</v>
      </c>
      <c r="B623" s="11" t="str">
        <f aca="false">PROPER(TRIM(Raw_Data!B623))</f>
        <v>Influencer Collab - Skincare</v>
      </c>
      <c r="C623" s="11" t="str">
        <f aca="false">IFERROR(INDEX(Lookup_Tables!$B$2:$B$26,MATCH(UPPER(TRIM(Raw_Data!C623)),Lookup_Tables!$C$2:$C$26,0)),"Unknown")</f>
        <v>Google Ads</v>
      </c>
      <c r="D623" s="12" t="n">
        <f aca="false">IFERROR(IF(ISNUMBER(SEARCH("/",Raw_Data!D623)),DATE(VALUE(RIGHT(Raw_Data!D623,4)),VALUE(MID(Raw_Data!D623,FIND("/",Raw_Data!D623)+1,FIND("/",Raw_Data!D623,FIND("/",Raw_Data!D623)+1)-FIND("/",Raw_Data!D623)-1)),VALUE(LEFT(Raw_Data!D623,FIND("/",Raw_Data!D623)-1))),IF(ISNUMBER(VALUE(LEFT(Raw_Data!D623,4))),DATE(VALUE(LEFT(Raw_Data!D623,4)),VALUE(MID(Raw_Data!D623,6,2)),VALUE(MID(Raw_Data!D623,9,2))),DATEVALUE(Raw_Data!D623))),"")</f>
        <v>45444</v>
      </c>
      <c r="E623" s="12" t="n">
        <f aca="false">IFERROR(IF(ISNUMBER(SEARCH("/",Raw_Data!E623)),DATE(VALUE(RIGHT(Raw_Data!E623,4)),VALUE(MID(Raw_Data!E623,FIND("/",Raw_Data!E623)+1,FIND("/",Raw_Data!E623,FIND("/",Raw_Data!E623)+1)-FIND("/",Raw_Data!E623)-1)),VALUE(LEFT(Raw_Data!E623,FIND("/",Raw_Data!E623)-1))),IF(ISNUMBER(VALUE(LEFT(Raw_Data!E623,4))),DATE(VALUE(LEFT(Raw_Data!E623,4)),VALUE(MID(Raw_Data!E623,6,2)),VALUE(MID(Raw_Data!E623,9,2))),DATEVALUE(Raw_Data!E623))),"")</f>
        <v>45471</v>
      </c>
      <c r="F623" s="11" t="str">
        <f aca="false">Raw_Data!F623</f>
        <v>Female 45+</v>
      </c>
      <c r="G623" s="11" t="str">
        <f aca="false">IF(TRIM(Raw_Data!G623)="","Unspecified",IFERROR(INDEX(Lookup_Tables!$F$2:$F$24,MATCH(UPPER(TRIM(Raw_Data!G623)),Lookup_Tables!$G$2:$G$24,0)),"Unknown"))</f>
        <v>East</v>
      </c>
      <c r="H623" s="11" t="n">
        <f aca="false">IF(Raw_Data!H623="",ROUND(AVERAGEIFS(Raw_Data!$H$2:$H$839,Raw_Data!$C$2:$C$839,Raw_Data!C623),2),Raw_Data!H623)</f>
        <v>44533.56</v>
      </c>
      <c r="I623" s="11" t="n">
        <f aca="false">Raw_Data!I623</f>
        <v>1381761</v>
      </c>
      <c r="J623" s="11" t="n">
        <f aca="false">IF(Raw_Data!J623&lt;0,ABS(Raw_Data!J623),Raw_Data!J623)</f>
        <v>44650</v>
      </c>
      <c r="K623" s="11" t="n">
        <f aca="false">Raw_Data!K623</f>
        <v>3081</v>
      </c>
      <c r="L623" s="11" t="n">
        <f aca="false">IF(Raw_Data!L623="",ROUND(AVERAGEIFS(Raw_Data!$L$2:$L$839,Raw_Data!$C$2:$C$839,Raw_Data!C623),2),Raw_Data!L623)</f>
        <v>5267494.64</v>
      </c>
      <c r="M623" s="13" t="n">
        <f aca="false">IFERROR(J623/I623,0)</f>
        <v>0.0323138371976051</v>
      </c>
      <c r="N623" s="14" t="n">
        <f aca="false">IFERROR(H623/J623,0)</f>
        <v>0.997392161254199</v>
      </c>
      <c r="O623" s="14" t="n">
        <f aca="false">IFERROR(H623/K623,0)</f>
        <v>14.4542551119766</v>
      </c>
      <c r="P623" s="15" t="n">
        <f aca="false">IFERROR(L623/H623,0)</f>
        <v>118.281463238061</v>
      </c>
      <c r="Q623" s="13" t="n">
        <f aca="false">IFERROR(K623/J623,0)</f>
        <v>0.069003359462486</v>
      </c>
      <c r="R623" s="11" t="str">
        <f aca="false">IF(COUNTIF($A$2:A623,A623)&gt;1,"Duplicate - Remove","Unique")</f>
        <v>Unique</v>
      </c>
      <c r="S623" s="11" t="str">
        <f aca="false">TRIM(IF(Raw_Data!G623="","Region missing; ","")&amp;IF(Raw_Data!H623="","Spend imputed; ","")&amp;IF(Raw_Data!L623="","Revenue imputed; ","")&amp;IF(Raw_Data!J623&lt;0,"Clicks corrected; ",""))</f>
        <v/>
      </c>
    </row>
    <row r="624" customFormat="false" ht="15" hidden="false" customHeight="true" outlineLevel="0" collapsed="false">
      <c r="A624" s="11" t="n">
        <f aca="false">Raw_Data!A624</f>
        <v>1513</v>
      </c>
      <c r="B624" s="11" t="str">
        <f aca="false">PROPER(TRIM(Raw_Data!B624))</f>
        <v>Men'S Grooming Drive</v>
      </c>
      <c r="C624" s="11" t="str">
        <f aca="false">IFERROR(INDEX(Lookup_Tables!$B$2:$B$26,MATCH(UPPER(TRIM(Raw_Data!C624)),Lookup_Tables!$C$2:$C$26,0)),"Unknown")</f>
        <v>Email</v>
      </c>
      <c r="D624" s="12" t="n">
        <f aca="false">IFERROR(IF(ISNUMBER(SEARCH("/",Raw_Data!D624)),DATE(VALUE(RIGHT(Raw_Data!D624,4)),VALUE(MID(Raw_Data!D624,FIND("/",Raw_Data!D624)+1,FIND("/",Raw_Data!D624,FIND("/",Raw_Data!D624)+1)-FIND("/",Raw_Data!D624)-1)),VALUE(LEFT(Raw_Data!D624,FIND("/",Raw_Data!D624)-1))),IF(ISNUMBER(VALUE(LEFT(Raw_Data!D624,4))),DATE(VALUE(LEFT(Raw_Data!D624,4)),VALUE(MID(Raw_Data!D624,6,2)),VALUE(MID(Raw_Data!D624,9,2))),DATEVALUE(Raw_Data!D624))),"")</f>
        <v>45386</v>
      </c>
      <c r="E624" s="12" t="n">
        <f aca="false">IFERROR(IF(ISNUMBER(SEARCH("/",Raw_Data!E624)),DATE(VALUE(RIGHT(Raw_Data!E624,4)),VALUE(MID(Raw_Data!E624,FIND("/",Raw_Data!E624)+1,FIND("/",Raw_Data!E624,FIND("/",Raw_Data!E624)+1)-FIND("/",Raw_Data!E624)-1)),VALUE(LEFT(Raw_Data!E624,FIND("/",Raw_Data!E624)-1))),IF(ISNUMBER(VALUE(LEFT(Raw_Data!E624,4))),DATE(VALUE(LEFT(Raw_Data!E624,4)),VALUE(MID(Raw_Data!E624,6,2)),VALUE(MID(Raw_Data!E624,9,2))),DATEVALUE(Raw_Data!E624))),"")</f>
        <v>45392</v>
      </c>
      <c r="F624" s="11" t="str">
        <f aca="false">Raw_Data!F624</f>
        <v>Male 25-34</v>
      </c>
      <c r="G624" s="11" t="str">
        <f aca="false">IF(TRIM(Raw_Data!G624)="","Unspecified",IFERROR(INDEX(Lookup_Tables!$F$2:$F$24,MATCH(UPPER(TRIM(Raw_Data!G624)),Lookup_Tables!$G$2:$G$24,0)),"Unknown"))</f>
        <v>West</v>
      </c>
      <c r="H624" s="11" t="n">
        <f aca="false">IF(Raw_Data!H624="",ROUND(AVERAGEIFS(Raw_Data!$H$2:$H$839,Raw_Data!$C$2:$C$839,Raw_Data!C624),2),Raw_Data!H624)</f>
        <v>7264.7</v>
      </c>
      <c r="I624" s="11" t="n">
        <f aca="false">Raw_Data!I624</f>
        <v>186799</v>
      </c>
      <c r="J624" s="11" t="n">
        <f aca="false">IF(Raw_Data!J624&lt;0,ABS(Raw_Data!J624),Raw_Data!J624)</f>
        <v>6332</v>
      </c>
      <c r="K624" s="11" t="n">
        <f aca="false">Raw_Data!K624</f>
        <v>194</v>
      </c>
      <c r="L624" s="11" t="n">
        <f aca="false">IF(Raw_Data!L624="",ROUND(AVERAGEIFS(Raw_Data!$L$2:$L$839,Raw_Data!$C$2:$C$839,Raw_Data!C624),2),Raw_Data!L624)</f>
        <v>123767.67</v>
      </c>
      <c r="M624" s="13" t="n">
        <f aca="false">IFERROR(J624/I624,0)</f>
        <v>0.0338973977376753</v>
      </c>
      <c r="N624" s="14" t="n">
        <f aca="false">IFERROR(H624/J624,0)</f>
        <v>1.14729943145925</v>
      </c>
      <c r="O624" s="14" t="n">
        <f aca="false">IFERROR(H624/K624,0)</f>
        <v>37.4469072164948</v>
      </c>
      <c r="P624" s="15" t="n">
        <f aca="false">IFERROR(L624/H624,0)</f>
        <v>17.0368590581855</v>
      </c>
      <c r="Q624" s="13" t="n">
        <f aca="false">IFERROR(K624/J624,0)</f>
        <v>0.0306380290587492</v>
      </c>
      <c r="R624" s="11" t="str">
        <f aca="false">IF(COUNTIF($A$2:A624,A624)&gt;1,"Duplicate - Remove","Unique")</f>
        <v>Unique</v>
      </c>
      <c r="S624" s="11" t="str">
        <f aca="false">TRIM(IF(Raw_Data!G624="","Region missing; ","")&amp;IF(Raw_Data!H624="","Spend imputed; ","")&amp;IF(Raw_Data!L624="","Revenue imputed; ","")&amp;IF(Raw_Data!J624&lt;0,"Clicks corrected; ",""))</f>
        <v/>
      </c>
    </row>
    <row r="625" customFormat="false" ht="15" hidden="false" customHeight="true" outlineLevel="0" collapsed="false">
      <c r="A625" s="11" t="n">
        <f aca="false">Raw_Data!A625</f>
        <v>1709</v>
      </c>
      <c r="B625" s="11" t="str">
        <f aca="false">PROPER(TRIM(Raw_Data!B625))</f>
        <v>Festive Gift Bundle</v>
      </c>
      <c r="C625" s="11" t="str">
        <f aca="false">IFERROR(INDEX(Lookup_Tables!$B$2:$B$26,MATCH(UPPER(TRIM(Raw_Data!C625)),Lookup_Tables!$C$2:$C$26,0)),"Unknown")</f>
        <v>YouTube</v>
      </c>
      <c r="D625" s="12" t="n">
        <f aca="false">IFERROR(IF(ISNUMBER(SEARCH("/",Raw_Data!D625)),DATE(VALUE(RIGHT(Raw_Data!D625,4)),VALUE(MID(Raw_Data!D625,FIND("/",Raw_Data!D625)+1,FIND("/",Raw_Data!D625,FIND("/",Raw_Data!D625)+1)-FIND("/",Raw_Data!D625)-1)),VALUE(LEFT(Raw_Data!D625,FIND("/",Raw_Data!D625)-1))),IF(ISNUMBER(VALUE(LEFT(Raw_Data!D625,4))),DATE(VALUE(LEFT(Raw_Data!D625,4)),VALUE(MID(Raw_Data!D625,6,2)),VALUE(MID(Raw_Data!D625,9,2))),DATEVALUE(Raw_Data!D625))),"")</f>
        <v>45335</v>
      </c>
      <c r="E625" s="12" t="n">
        <f aca="false">IFERROR(IF(ISNUMBER(SEARCH("/",Raw_Data!E625)),DATE(VALUE(RIGHT(Raw_Data!E625,4)),VALUE(MID(Raw_Data!E625,FIND("/",Raw_Data!E625)+1,FIND("/",Raw_Data!E625,FIND("/",Raw_Data!E625)+1)-FIND("/",Raw_Data!E625)-1)),VALUE(LEFT(Raw_Data!E625,FIND("/",Raw_Data!E625)-1))),IF(ISNUMBER(VALUE(LEFT(Raw_Data!E625,4))),DATE(VALUE(LEFT(Raw_Data!E625,4)),VALUE(MID(Raw_Data!E625,6,2)),VALUE(MID(Raw_Data!E625,9,2))),DATEVALUE(Raw_Data!E625))),"")</f>
        <v>45351</v>
      </c>
      <c r="F625" s="11" t="str">
        <f aca="false">Raw_Data!F625</f>
        <v>Male 35-44</v>
      </c>
      <c r="G625" s="11" t="str">
        <f aca="false">IF(TRIM(Raw_Data!G625)="","Unspecified",IFERROR(INDEX(Lookup_Tables!$F$2:$F$24,MATCH(UPPER(TRIM(Raw_Data!G625)),Lookup_Tables!$G$2:$G$24,0)),"Unknown"))</f>
        <v>West</v>
      </c>
      <c r="H625" s="11" t="n">
        <f aca="false">IF(Raw_Data!H625="",ROUND(AVERAGEIFS(Raw_Data!$H$2:$H$839,Raw_Data!$C$2:$C$839,Raw_Data!C625),2),Raw_Data!H625)</f>
        <v>28292.66</v>
      </c>
      <c r="I625" s="11" t="n">
        <f aca="false">Raw_Data!I625</f>
        <v>865777</v>
      </c>
      <c r="J625" s="11" t="n">
        <f aca="false">IF(Raw_Data!J625&lt;0,ABS(Raw_Data!J625),Raw_Data!J625)</f>
        <v>21922</v>
      </c>
      <c r="K625" s="11" t="n">
        <f aca="false">Raw_Data!K625</f>
        <v>1626</v>
      </c>
      <c r="L625" s="11" t="n">
        <f aca="false">IF(Raw_Data!L625="",ROUND(AVERAGEIFS(Raw_Data!$L$2:$L$839,Raw_Data!$C$2:$C$839,Raw_Data!C625),2),Raw_Data!L625)</f>
        <v>830738.25</v>
      </c>
      <c r="M625" s="13" t="n">
        <f aca="false">IFERROR(J625/I625,0)</f>
        <v>0.0253206079625585</v>
      </c>
      <c r="N625" s="14" t="n">
        <f aca="false">IFERROR(H625/J625,0)</f>
        <v>1.29060578414378</v>
      </c>
      <c r="O625" s="14" t="n">
        <f aca="false">IFERROR(H625/K625,0)</f>
        <v>17.400159901599</v>
      </c>
      <c r="P625" s="15" t="n">
        <f aca="false">IFERROR(L625/H625,0)</f>
        <v>29.3623240091246</v>
      </c>
      <c r="Q625" s="13" t="n">
        <f aca="false">IFERROR(K625/J625,0)</f>
        <v>0.0741720645926467</v>
      </c>
      <c r="R625" s="11" t="str">
        <f aca="false">IF(COUNTIF($A$2:A625,A625)&gt;1,"Duplicate - Remove","Unique")</f>
        <v>Unique</v>
      </c>
      <c r="S625" s="11" t="str">
        <f aca="false">TRIM(IF(Raw_Data!G625="","Region missing; ","")&amp;IF(Raw_Data!H625="","Spend imputed; ","")&amp;IF(Raw_Data!L625="","Revenue imputed; ","")&amp;IF(Raw_Data!J625&lt;0,"Clicks corrected; ",""))</f>
        <v/>
      </c>
    </row>
    <row r="626" customFormat="false" ht="15" hidden="false" customHeight="true" outlineLevel="0" collapsed="false">
      <c r="A626" s="11" t="n">
        <f aca="false">Raw_Data!A626</f>
        <v>1248</v>
      </c>
      <c r="B626" s="11" t="str">
        <f aca="false">PROPER(TRIM(Raw_Data!B626))</f>
        <v>Influencer Collab - Skincare</v>
      </c>
      <c r="C626" s="11" t="str">
        <f aca="false">IFERROR(INDEX(Lookup_Tables!$B$2:$B$26,MATCH(UPPER(TRIM(Raw_Data!C626)),Lookup_Tables!$C$2:$C$26,0)),"Unknown")</f>
        <v>YouTube</v>
      </c>
      <c r="D626" s="12" t="n">
        <f aca="false">IFERROR(IF(ISNUMBER(SEARCH("/",Raw_Data!D626)),DATE(VALUE(RIGHT(Raw_Data!D626,4)),VALUE(MID(Raw_Data!D626,FIND("/",Raw_Data!D626)+1,FIND("/",Raw_Data!D626,FIND("/",Raw_Data!D626)+1)-FIND("/",Raw_Data!D626)-1)),VALUE(LEFT(Raw_Data!D626,FIND("/",Raw_Data!D626)-1))),IF(ISNUMBER(VALUE(LEFT(Raw_Data!D626,4))),DATE(VALUE(LEFT(Raw_Data!D626,4)),VALUE(MID(Raw_Data!D626,6,2)),VALUE(MID(Raw_Data!D626,9,2))),DATEVALUE(Raw_Data!D626))),"")</f>
        <v>45385</v>
      </c>
      <c r="E626" s="12" t="n">
        <f aca="false">IFERROR(IF(ISNUMBER(SEARCH("/",Raw_Data!E626)),DATE(VALUE(RIGHT(Raw_Data!E626,4)),VALUE(MID(Raw_Data!E626,FIND("/",Raw_Data!E626)+1,FIND("/",Raw_Data!E626,FIND("/",Raw_Data!E626)+1)-FIND("/",Raw_Data!E626)-1)),VALUE(LEFT(Raw_Data!E626,FIND("/",Raw_Data!E626)-1))),IF(ISNUMBER(VALUE(LEFT(Raw_Data!E626,4))),DATE(VALUE(LEFT(Raw_Data!E626,4)),VALUE(MID(Raw_Data!E626,6,2)),VALUE(MID(Raw_Data!E626,9,2))),DATEVALUE(Raw_Data!E626))),"")</f>
        <v>45394</v>
      </c>
      <c r="F626" s="11" t="str">
        <f aca="false">Raw_Data!F626</f>
        <v>Female 25-34</v>
      </c>
      <c r="G626" s="11" t="str">
        <f aca="false">IF(TRIM(Raw_Data!G626)="","Unspecified",IFERROR(INDEX(Lookup_Tables!$F$2:$F$24,MATCH(UPPER(TRIM(Raw_Data!G626)),Lookup_Tables!$G$2:$G$24,0)),"Unknown"))</f>
        <v>Central</v>
      </c>
      <c r="H626" s="11" t="n">
        <f aca="false">IF(Raw_Data!H626="",ROUND(AVERAGEIFS(Raw_Data!$H$2:$H$839,Raw_Data!$C$2:$C$839,Raw_Data!C626),2),Raw_Data!H626)</f>
        <v>23276.73</v>
      </c>
      <c r="I626" s="11" t="n">
        <f aca="false">Raw_Data!I626</f>
        <v>614123</v>
      </c>
      <c r="J626" s="11" t="n">
        <f aca="false">IF(Raw_Data!J626&lt;0,ABS(Raw_Data!J626),Raw_Data!J626)</f>
        <v>11412</v>
      </c>
      <c r="K626" s="11" t="n">
        <f aca="false">Raw_Data!K626</f>
        <v>673</v>
      </c>
      <c r="L626" s="11" t="n">
        <f aca="false">IF(Raw_Data!L626="",ROUND(AVERAGEIFS(Raw_Data!$L$2:$L$839,Raw_Data!$C$2:$C$839,Raw_Data!C626),2),Raw_Data!L626)</f>
        <v>715664.31</v>
      </c>
      <c r="M626" s="13" t="n">
        <f aca="false">IFERROR(J626/I626,0)</f>
        <v>0.0185825966459488</v>
      </c>
      <c r="N626" s="14" t="n">
        <f aca="false">IFERROR(H626/J626,0)</f>
        <v>2.03967139852787</v>
      </c>
      <c r="O626" s="14" t="n">
        <f aca="false">IFERROR(H626/K626,0)</f>
        <v>34.5865230312036</v>
      </c>
      <c r="P626" s="15" t="n">
        <f aca="false">IFERROR(L626/H626,0)</f>
        <v>30.7459127635196</v>
      </c>
      <c r="Q626" s="13" t="n">
        <f aca="false">IFERROR(K626/J626,0)</f>
        <v>0.0589730108657554</v>
      </c>
      <c r="R626" s="11" t="str">
        <f aca="false">IF(COUNTIF($A$2:A626,A626)&gt;1,"Duplicate - Remove","Unique")</f>
        <v>Unique</v>
      </c>
      <c r="S626" s="11" t="str">
        <f aca="false">TRIM(IF(Raw_Data!G626="","Region missing; ","")&amp;IF(Raw_Data!H626="","Spend imputed; ","")&amp;IF(Raw_Data!L626="","Revenue imputed; ","")&amp;IF(Raw_Data!J626&lt;0,"Clicks corrected; ",""))</f>
        <v/>
      </c>
    </row>
    <row r="627" customFormat="false" ht="15" hidden="false" customHeight="true" outlineLevel="0" collapsed="false">
      <c r="A627" s="11" t="n">
        <f aca="false">Raw_Data!A627</f>
        <v>1657</v>
      </c>
      <c r="B627" s="11" t="str">
        <f aca="false">PROPER(TRIM(Raw_Data!B627))</f>
        <v>Summer Glow Launch</v>
      </c>
      <c r="C627" s="11" t="str">
        <f aca="false">IFERROR(INDEX(Lookup_Tables!$B$2:$B$26,MATCH(UPPER(TRIM(Raw_Data!C627)),Lookup_Tables!$C$2:$C$26,0)),"Unknown")</f>
        <v>Facebook</v>
      </c>
      <c r="D627" s="12" t="n">
        <f aca="false">IFERROR(IF(ISNUMBER(SEARCH("/",Raw_Data!D627)),DATE(VALUE(RIGHT(Raw_Data!D627,4)),VALUE(MID(Raw_Data!D627,FIND("/",Raw_Data!D627)+1,FIND("/",Raw_Data!D627,FIND("/",Raw_Data!D627)+1)-FIND("/",Raw_Data!D627)-1)),VALUE(LEFT(Raw_Data!D627,FIND("/",Raw_Data!D627)-1))),IF(ISNUMBER(VALUE(LEFT(Raw_Data!D627,4))),DATE(VALUE(LEFT(Raw_Data!D627,4)),VALUE(MID(Raw_Data!D627,6,2)),VALUE(MID(Raw_Data!D627,9,2))),DATEVALUE(Raw_Data!D627))),"")</f>
        <v>45339</v>
      </c>
      <c r="E627" s="12" t="n">
        <f aca="false">IFERROR(IF(ISNUMBER(SEARCH("/",Raw_Data!E627)),DATE(VALUE(RIGHT(Raw_Data!E627,4)),VALUE(MID(Raw_Data!E627,FIND("/",Raw_Data!E627)+1,FIND("/",Raw_Data!E627,FIND("/",Raw_Data!E627)+1)-FIND("/",Raw_Data!E627)-1)),VALUE(LEFT(Raw_Data!E627,FIND("/",Raw_Data!E627)-1))),IF(ISNUMBER(VALUE(LEFT(Raw_Data!E627,4))),DATE(VALUE(LEFT(Raw_Data!E627,4)),VALUE(MID(Raw_Data!E627,6,2)),VALUE(MID(Raw_Data!E627,9,2))),DATEVALUE(Raw_Data!E627))),"")</f>
        <v>45349</v>
      </c>
      <c r="F627" s="11" t="str">
        <f aca="false">Raw_Data!F627</f>
        <v>Female 25-34</v>
      </c>
      <c r="G627" s="11" t="str">
        <f aca="false">IF(TRIM(Raw_Data!G627)="","Unspecified",IFERROR(INDEX(Lookup_Tables!$F$2:$F$24,MATCH(UPPER(TRIM(Raw_Data!G627)),Lookup_Tables!$G$2:$G$24,0)),"Unknown"))</f>
        <v>South</v>
      </c>
      <c r="H627" s="11" t="n">
        <f aca="false">IF(Raw_Data!H627="",ROUND(AVERAGEIFS(Raw_Data!$H$2:$H$839,Raw_Data!$C$2:$C$839,Raw_Data!C627),2),Raw_Data!H627)</f>
        <v>46184.46</v>
      </c>
      <c r="I627" s="11" t="n">
        <f aca="false">Raw_Data!I627</f>
        <v>1529304</v>
      </c>
      <c r="J627" s="11" t="n">
        <f aca="false">IF(Raw_Data!J627&lt;0,ABS(Raw_Data!J627),Raw_Data!J627)</f>
        <v>13230</v>
      </c>
      <c r="K627" s="11" t="n">
        <f aca="false">Raw_Data!K627</f>
        <v>832</v>
      </c>
      <c r="L627" s="11" t="n">
        <f aca="false">IF(Raw_Data!L627="",ROUND(AVERAGEIFS(Raw_Data!$L$2:$L$839,Raw_Data!$C$2:$C$839,Raw_Data!C627),2),Raw_Data!L627)</f>
        <v>436400.28</v>
      </c>
      <c r="M627" s="13" t="n">
        <f aca="false">IFERROR(J627/I627,0)</f>
        <v>0.0086509941777436</v>
      </c>
      <c r="N627" s="14" t="n">
        <f aca="false">IFERROR(H627/J627,0)</f>
        <v>3.49088888888889</v>
      </c>
      <c r="O627" s="14" t="n">
        <f aca="false">IFERROR(H627/K627,0)</f>
        <v>55.5101682692308</v>
      </c>
      <c r="P627" s="15" t="n">
        <f aca="false">IFERROR(L627/H627,0)</f>
        <v>9.44907183065473</v>
      </c>
      <c r="Q627" s="13" t="n">
        <f aca="false">IFERROR(K627/J627,0)</f>
        <v>0.0628873771730915</v>
      </c>
      <c r="R627" s="11" t="str">
        <f aca="false">IF(COUNTIF($A$2:A627,A627)&gt;1,"Duplicate - Remove","Unique")</f>
        <v>Unique</v>
      </c>
      <c r="S627" s="11" t="str">
        <f aca="false">TRIM(IF(Raw_Data!G627="","Region missing; ","")&amp;IF(Raw_Data!H627="","Spend imputed; ","")&amp;IF(Raw_Data!L627="","Revenue imputed; ","")&amp;IF(Raw_Data!J627&lt;0,"Clicks corrected; ",""))</f>
        <v/>
      </c>
    </row>
    <row r="628" customFormat="false" ht="15" hidden="false" customHeight="true" outlineLevel="0" collapsed="false">
      <c r="A628" s="11" t="n">
        <f aca="false">Raw_Data!A628</f>
        <v>1112</v>
      </c>
      <c r="B628" s="11" t="str">
        <f aca="false">PROPER(TRIM(Raw_Data!B628))</f>
        <v>New Year Wellness</v>
      </c>
      <c r="C628" s="11" t="str">
        <f aca="false">IFERROR(INDEX(Lookup_Tables!$B$2:$B$26,MATCH(UPPER(TRIM(Raw_Data!C628)),Lookup_Tables!$C$2:$C$26,0)),"Unknown")</f>
        <v>Instagram</v>
      </c>
      <c r="D628" s="12" t="n">
        <f aca="false">IFERROR(IF(ISNUMBER(SEARCH("/",Raw_Data!D628)),DATE(VALUE(RIGHT(Raw_Data!D628,4)),VALUE(MID(Raw_Data!D628,FIND("/",Raw_Data!D628)+1,FIND("/",Raw_Data!D628,FIND("/",Raw_Data!D628)+1)-FIND("/",Raw_Data!D628)-1)),VALUE(LEFT(Raw_Data!D628,FIND("/",Raw_Data!D628)-1))),IF(ISNUMBER(VALUE(LEFT(Raw_Data!D628,4))),DATE(VALUE(LEFT(Raw_Data!D628,4)),VALUE(MID(Raw_Data!D628,6,2)),VALUE(MID(Raw_Data!D628,9,2))),DATEVALUE(Raw_Data!D628))),"")</f>
        <v>45417</v>
      </c>
      <c r="E628" s="12" t="n">
        <f aca="false">IFERROR(IF(ISNUMBER(SEARCH("/",Raw_Data!E628)),DATE(VALUE(RIGHT(Raw_Data!E628,4)),VALUE(MID(Raw_Data!E628,FIND("/",Raw_Data!E628)+1,FIND("/",Raw_Data!E628,FIND("/",Raw_Data!E628)+1)-FIND("/",Raw_Data!E628)-1)),VALUE(LEFT(Raw_Data!E628,FIND("/",Raw_Data!E628)-1))),IF(ISNUMBER(VALUE(LEFT(Raw_Data!E628,4))),DATE(VALUE(LEFT(Raw_Data!E628,4)),VALUE(MID(Raw_Data!E628,6,2)),VALUE(MID(Raw_Data!E628,9,2))),DATEVALUE(Raw_Data!E628))),"")</f>
        <v>45445</v>
      </c>
      <c r="F628" s="11" t="str">
        <f aca="false">Raw_Data!F628</f>
        <v>Female 18-24</v>
      </c>
      <c r="G628" s="11" t="str">
        <f aca="false">IF(TRIM(Raw_Data!G628)="","Unspecified",IFERROR(INDEX(Lookup_Tables!$F$2:$F$24,MATCH(UPPER(TRIM(Raw_Data!G628)),Lookup_Tables!$G$2:$G$24,0)),"Unknown"))</f>
        <v>West</v>
      </c>
      <c r="H628" s="11" t="n">
        <f aca="false">IF(Raw_Data!H628="",ROUND(AVERAGEIFS(Raw_Data!$H$2:$H$839,Raw_Data!$C$2:$C$839,Raw_Data!C628),2),Raw_Data!H628)</f>
        <v>28917.8</v>
      </c>
      <c r="I628" s="11" t="n">
        <f aca="false">Raw_Data!I628</f>
        <v>603181</v>
      </c>
      <c r="J628" s="11" t="n">
        <f aca="false">IF(Raw_Data!J628&lt;0,ABS(Raw_Data!J628),Raw_Data!J628)</f>
        <v>6947</v>
      </c>
      <c r="K628" s="11" t="n">
        <f aca="false">Raw_Data!K628</f>
        <v>489</v>
      </c>
      <c r="L628" s="11" t="n">
        <f aca="false">IF(Raw_Data!L628="",ROUND(AVERAGEIFS(Raw_Data!$L$2:$L$839,Raw_Data!$C$2:$C$839,Raw_Data!C628),2),Raw_Data!L628)</f>
        <v>211171.64</v>
      </c>
      <c r="M628" s="13" t="n">
        <f aca="false">IFERROR(J628/I628,0)</f>
        <v>0.0115172725931354</v>
      </c>
      <c r="N628" s="14" t="n">
        <f aca="false">IFERROR(H628/J628,0)</f>
        <v>4.16263135166259</v>
      </c>
      <c r="O628" s="14" t="n">
        <f aca="false">IFERROR(H628/K628,0)</f>
        <v>59.1366053169734</v>
      </c>
      <c r="P628" s="15" t="n">
        <f aca="false">IFERROR(L628/H628,0)</f>
        <v>7.30247944172793</v>
      </c>
      <c r="Q628" s="13" t="n">
        <f aca="false">IFERROR(K628/J628,0)</f>
        <v>0.0703900964445084</v>
      </c>
      <c r="R628" s="11" t="str">
        <f aca="false">IF(COUNTIF($A$2:A628,A628)&gt;1,"Duplicate - Remove","Unique")</f>
        <v>Unique</v>
      </c>
      <c r="S628" s="11" t="str">
        <f aca="false">TRIM(IF(Raw_Data!G628="","Region missing; ","")&amp;IF(Raw_Data!H628="","Spend imputed; ","")&amp;IF(Raw_Data!L628="","Revenue imputed; ","")&amp;IF(Raw_Data!J628&lt;0,"Clicks corrected; ",""))</f>
        <v/>
      </c>
    </row>
    <row r="629" customFormat="false" ht="15" hidden="false" customHeight="true" outlineLevel="0" collapsed="false">
      <c r="A629" s="11" t="n">
        <f aca="false">Raw_Data!A629</f>
        <v>1232</v>
      </c>
      <c r="B629" s="11" t="str">
        <f aca="false">PROPER(TRIM(Raw_Data!B629))</f>
        <v>Summer Glow Launch</v>
      </c>
      <c r="C629" s="11" t="str">
        <f aca="false">IFERROR(INDEX(Lookup_Tables!$B$2:$B$26,MATCH(UPPER(TRIM(Raw_Data!C629)),Lookup_Tables!$C$2:$C$26,0)),"Unknown")</f>
        <v>Email</v>
      </c>
      <c r="D629" s="12" t="n">
        <f aca="false">IFERROR(IF(ISNUMBER(SEARCH("/",Raw_Data!D629)),DATE(VALUE(RIGHT(Raw_Data!D629,4)),VALUE(MID(Raw_Data!D629,FIND("/",Raw_Data!D629)+1,FIND("/",Raw_Data!D629,FIND("/",Raw_Data!D629)+1)-FIND("/",Raw_Data!D629)-1)),VALUE(LEFT(Raw_Data!D629,FIND("/",Raw_Data!D629)-1))),IF(ISNUMBER(VALUE(LEFT(Raw_Data!D629,4))),DATE(VALUE(LEFT(Raw_Data!D629,4)),VALUE(MID(Raw_Data!D629,6,2)),VALUE(MID(Raw_Data!D629,9,2))),DATEVALUE(Raw_Data!D629))),"")</f>
        <v>45606</v>
      </c>
      <c r="E629" s="12" t="n">
        <f aca="false">IFERROR(IF(ISNUMBER(SEARCH("/",Raw_Data!E629)),DATE(VALUE(RIGHT(Raw_Data!E629,4)),VALUE(MID(Raw_Data!E629,FIND("/",Raw_Data!E629)+1,FIND("/",Raw_Data!E629,FIND("/",Raw_Data!E629)+1)-FIND("/",Raw_Data!E629)-1)),VALUE(LEFT(Raw_Data!E629,FIND("/",Raw_Data!E629)-1))),IF(ISNUMBER(VALUE(LEFT(Raw_Data!E629,4))),DATE(VALUE(LEFT(Raw_Data!E629,4)),VALUE(MID(Raw_Data!E629,6,2)),VALUE(MID(Raw_Data!E629,9,2))),DATEVALUE(Raw_Data!E629))),"")</f>
        <v>45616</v>
      </c>
      <c r="F629" s="11" t="str">
        <f aca="false">Raw_Data!F629</f>
        <v>Male 18-24</v>
      </c>
      <c r="G629" s="11" t="str">
        <f aca="false">IF(TRIM(Raw_Data!G629)="","Unspecified",IFERROR(INDEX(Lookup_Tables!$F$2:$F$24,MATCH(UPPER(TRIM(Raw_Data!G629)),Lookup_Tables!$G$2:$G$24,0)),"Unknown"))</f>
        <v>Central</v>
      </c>
      <c r="H629" s="11" t="n">
        <f aca="false">IF(Raw_Data!H629="",ROUND(AVERAGEIFS(Raw_Data!$H$2:$H$839,Raw_Data!$C$2:$C$839,Raw_Data!C629),2),Raw_Data!H629)</f>
        <v>1252.43</v>
      </c>
      <c r="I629" s="11" t="n">
        <f aca="false">Raw_Data!I629</f>
        <v>26277</v>
      </c>
      <c r="J629" s="11" t="n">
        <f aca="false">IF(Raw_Data!J629&lt;0,ABS(Raw_Data!J629),Raw_Data!J629)</f>
        <v>131</v>
      </c>
      <c r="K629" s="11" t="n">
        <f aca="false">Raw_Data!K629</f>
        <v>2</v>
      </c>
      <c r="L629" s="11" t="n">
        <f aca="false">IF(Raw_Data!L629="",ROUND(AVERAGEIFS(Raw_Data!$L$2:$L$839,Raw_Data!$C$2:$C$839,Raw_Data!C629),2),Raw_Data!L629)</f>
        <v>3590.77</v>
      </c>
      <c r="M629" s="13" t="n">
        <f aca="false">IFERROR(J629/I629,0)</f>
        <v>0.00498534840354683</v>
      </c>
      <c r="N629" s="14" t="n">
        <f aca="false">IFERROR(H629/J629,0)</f>
        <v>9.56053435114504</v>
      </c>
      <c r="O629" s="14" t="n">
        <f aca="false">IFERROR(H629/K629,0)</f>
        <v>626.215</v>
      </c>
      <c r="P629" s="15" t="n">
        <f aca="false">IFERROR(L629/H629,0)</f>
        <v>2.86704246943941</v>
      </c>
      <c r="Q629" s="13" t="n">
        <f aca="false">IFERROR(K629/J629,0)</f>
        <v>0.0152671755725191</v>
      </c>
      <c r="R629" s="11" t="str">
        <f aca="false">IF(COUNTIF($A$2:A629,A629)&gt;1,"Duplicate - Remove","Unique")</f>
        <v>Unique</v>
      </c>
      <c r="S629" s="11" t="str">
        <f aca="false">TRIM(IF(Raw_Data!G629="","Region missing; ","")&amp;IF(Raw_Data!H629="","Spend imputed; ","")&amp;IF(Raw_Data!L629="","Revenue imputed; ","")&amp;IF(Raw_Data!J629&lt;0,"Clicks corrected; ",""))</f>
        <v/>
      </c>
    </row>
    <row r="630" customFormat="false" ht="15" hidden="false" customHeight="true" outlineLevel="0" collapsed="false">
      <c r="A630" s="11" t="n">
        <f aca="false">Raw_Data!A630</f>
        <v>1600</v>
      </c>
      <c r="B630" s="11" t="str">
        <f aca="false">PROPER(TRIM(Raw_Data!B630))</f>
        <v>Festive Gift Bundle</v>
      </c>
      <c r="C630" s="11" t="str">
        <f aca="false">IFERROR(INDEX(Lookup_Tables!$B$2:$B$26,MATCH(UPPER(TRIM(Raw_Data!C630)),Lookup_Tables!$C$2:$C$26,0)),"Unknown")</f>
        <v>Google Ads</v>
      </c>
      <c r="D630" s="12" t="n">
        <f aca="false">IFERROR(IF(ISNUMBER(SEARCH("/",Raw_Data!D630)),DATE(VALUE(RIGHT(Raw_Data!D630,4)),VALUE(MID(Raw_Data!D630,FIND("/",Raw_Data!D630)+1,FIND("/",Raw_Data!D630,FIND("/",Raw_Data!D630)+1)-FIND("/",Raw_Data!D630)-1)),VALUE(LEFT(Raw_Data!D630,FIND("/",Raw_Data!D630)-1))),IF(ISNUMBER(VALUE(LEFT(Raw_Data!D630,4))),DATE(VALUE(LEFT(Raw_Data!D630,4)),VALUE(MID(Raw_Data!D630,6,2)),VALUE(MID(Raw_Data!D630,9,2))),DATEVALUE(Raw_Data!D630))),"")</f>
        <v>45532</v>
      </c>
      <c r="E630" s="12" t="n">
        <f aca="false">IFERROR(IF(ISNUMBER(SEARCH("/",Raw_Data!E630)),DATE(VALUE(RIGHT(Raw_Data!E630,4)),VALUE(MID(Raw_Data!E630,FIND("/",Raw_Data!E630)+1,FIND("/",Raw_Data!E630,FIND("/",Raw_Data!E630)+1)-FIND("/",Raw_Data!E630)-1)),VALUE(LEFT(Raw_Data!E630,FIND("/",Raw_Data!E630)-1))),IF(ISNUMBER(VALUE(LEFT(Raw_Data!E630,4))),DATE(VALUE(LEFT(Raw_Data!E630,4)),VALUE(MID(Raw_Data!E630,6,2)),VALUE(MID(Raw_Data!E630,9,2))),DATEVALUE(Raw_Data!E630))),"")</f>
        <v>45539</v>
      </c>
      <c r="F630" s="11" t="str">
        <f aca="false">Raw_Data!F630</f>
        <v>Female 35-44</v>
      </c>
      <c r="G630" s="11" t="str">
        <f aca="false">IF(TRIM(Raw_Data!G630)="","Unspecified",IFERROR(INDEX(Lookup_Tables!$F$2:$F$24,MATCH(UPPER(TRIM(Raw_Data!G630)),Lookup_Tables!$G$2:$G$24,0)),"Unknown"))</f>
        <v>North</v>
      </c>
      <c r="H630" s="11" t="n">
        <f aca="false">IF(Raw_Data!H630="",ROUND(AVERAGEIFS(Raw_Data!$H$2:$H$839,Raw_Data!$C$2:$C$839,Raw_Data!C630),2),Raw_Data!H630)</f>
        <v>31828.84</v>
      </c>
      <c r="I630" s="11" t="n">
        <f aca="false">Raw_Data!I630</f>
        <v>626769</v>
      </c>
      <c r="J630" s="11" t="n">
        <f aca="false">IF(Raw_Data!J630&lt;0,ABS(Raw_Data!J630),Raw_Data!J630)</f>
        <v>16184</v>
      </c>
      <c r="K630" s="11" t="n">
        <f aca="false">Raw_Data!K630</f>
        <v>771</v>
      </c>
      <c r="L630" s="11" t="n">
        <f aca="false">IF(Raw_Data!L630="",ROUND(AVERAGEIFS(Raw_Data!$L$2:$L$839,Raw_Data!$C$2:$C$839,Raw_Data!C630),2),Raw_Data!L630)</f>
        <v>639930.72</v>
      </c>
      <c r="M630" s="13" t="n">
        <f aca="false">IFERROR(J630/I630,0)</f>
        <v>0.0258213153490361</v>
      </c>
      <c r="N630" s="14" t="n">
        <f aca="false">IFERROR(H630/J630,0)</f>
        <v>1.96668561542264</v>
      </c>
      <c r="O630" s="14" t="n">
        <f aca="false">IFERROR(H630/K630,0)</f>
        <v>41.282542153048</v>
      </c>
      <c r="P630" s="15" t="n">
        <f aca="false">IFERROR(L630/H630,0)</f>
        <v>20.1053736171347</v>
      </c>
      <c r="Q630" s="13" t="n">
        <f aca="false">IFERROR(K630/J630,0)</f>
        <v>0.0476396440929313</v>
      </c>
      <c r="R630" s="11" t="str">
        <f aca="false">IF(COUNTIF($A$2:A630,A630)&gt;1,"Duplicate - Remove","Unique")</f>
        <v>Duplicate - Remove</v>
      </c>
      <c r="S630" s="11" t="str">
        <f aca="false">TRIM(IF(Raw_Data!G630="","Region missing; ","")&amp;IF(Raw_Data!H630="","Spend imputed; ","")&amp;IF(Raw_Data!L630="","Revenue imputed; ","")&amp;IF(Raw_Data!J630&lt;0,"Clicks corrected; ",""))</f>
        <v/>
      </c>
    </row>
    <row r="631" customFormat="false" ht="15" hidden="false" customHeight="true" outlineLevel="0" collapsed="false">
      <c r="A631" s="11" t="n">
        <f aca="false">Raw_Data!A631</f>
        <v>1518</v>
      </c>
      <c r="B631" s="11" t="str">
        <f aca="false">PROPER(TRIM(Raw_Data!B631))</f>
        <v>Monsoon Skincare Push</v>
      </c>
      <c r="C631" s="11" t="str">
        <f aca="false">IFERROR(INDEX(Lookup_Tables!$B$2:$B$26,MATCH(UPPER(TRIM(Raw_Data!C631)),Lookup_Tables!$C$2:$C$26,0)),"Unknown")</f>
        <v>Instagram</v>
      </c>
      <c r="D631" s="12" t="n">
        <f aca="false">IFERROR(IF(ISNUMBER(SEARCH("/",Raw_Data!D631)),DATE(VALUE(RIGHT(Raw_Data!D631,4)),VALUE(MID(Raw_Data!D631,FIND("/",Raw_Data!D631)+1,FIND("/",Raw_Data!D631,FIND("/",Raw_Data!D631)+1)-FIND("/",Raw_Data!D631)-1)),VALUE(LEFT(Raw_Data!D631,FIND("/",Raw_Data!D631)-1))),IF(ISNUMBER(VALUE(LEFT(Raw_Data!D631,4))),DATE(VALUE(LEFT(Raw_Data!D631,4)),VALUE(MID(Raw_Data!D631,6,2)),VALUE(MID(Raw_Data!D631,9,2))),DATEVALUE(Raw_Data!D631))),"")</f>
        <v>45616</v>
      </c>
      <c r="E631" s="12" t="n">
        <f aca="false">IFERROR(IF(ISNUMBER(SEARCH("/",Raw_Data!E631)),DATE(VALUE(RIGHT(Raw_Data!E631,4)),VALUE(MID(Raw_Data!E631,FIND("/",Raw_Data!E631)+1,FIND("/",Raw_Data!E631,FIND("/",Raw_Data!E631)+1)-FIND("/",Raw_Data!E631)-1)),VALUE(LEFT(Raw_Data!E631,FIND("/",Raw_Data!E631)-1))),IF(ISNUMBER(VALUE(LEFT(Raw_Data!E631,4))),DATE(VALUE(LEFT(Raw_Data!E631,4)),VALUE(MID(Raw_Data!E631,6,2)),VALUE(MID(Raw_Data!E631,9,2))),DATEVALUE(Raw_Data!E631))),"")</f>
        <v>45635</v>
      </c>
      <c r="F631" s="11" t="str">
        <f aca="false">Raw_Data!F631</f>
        <v>Female 25-34</v>
      </c>
      <c r="G631" s="11" t="str">
        <f aca="false">IF(TRIM(Raw_Data!G631)="","Unspecified",IFERROR(INDEX(Lookup_Tables!$F$2:$F$24,MATCH(UPPER(TRIM(Raw_Data!G631)),Lookup_Tables!$G$2:$G$24,0)),"Unknown"))</f>
        <v>West</v>
      </c>
      <c r="H631" s="11" t="n">
        <f aca="false">IF(Raw_Data!H631="",ROUND(AVERAGEIFS(Raw_Data!$H$2:$H$839,Raw_Data!$C$2:$C$839,Raw_Data!C631),2),Raw_Data!H631)</f>
        <v>38224.15</v>
      </c>
      <c r="I631" s="11" t="n">
        <f aca="false">Raw_Data!I631</f>
        <v>604548</v>
      </c>
      <c r="J631" s="11" t="n">
        <f aca="false">IF(Raw_Data!J631&lt;0,ABS(Raw_Data!J631),Raw_Data!J631)</f>
        <v>8280</v>
      </c>
      <c r="K631" s="11" t="n">
        <f aca="false">Raw_Data!K631</f>
        <v>326</v>
      </c>
      <c r="L631" s="11" t="n">
        <f aca="false">IF(Raw_Data!L631="",ROUND(AVERAGEIFS(Raw_Data!$L$2:$L$839,Raw_Data!$C$2:$C$839,Raw_Data!C631),2),Raw_Data!L631)</f>
        <v>219455.08</v>
      </c>
      <c r="M631" s="13" t="n">
        <f aca="false">IFERROR(J631/I631,0)</f>
        <v>0.0136961829333651</v>
      </c>
      <c r="N631" s="14" t="n">
        <f aca="false">IFERROR(H631/J631,0)</f>
        <v>4.61644323671498</v>
      </c>
      <c r="O631" s="14" t="n">
        <f aca="false">IFERROR(H631/K631,0)</f>
        <v>117.251993865031</v>
      </c>
      <c r="P631" s="15" t="n">
        <f aca="false">IFERROR(L631/H631,0)</f>
        <v>5.74126775873368</v>
      </c>
      <c r="Q631" s="13" t="n">
        <f aca="false">IFERROR(K631/J631,0)</f>
        <v>0.0393719806763285</v>
      </c>
      <c r="R631" s="11" t="str">
        <f aca="false">IF(COUNTIF($A$2:A631,A631)&gt;1,"Duplicate - Remove","Unique")</f>
        <v>Unique</v>
      </c>
      <c r="S631" s="11" t="str">
        <f aca="false">TRIM(IF(Raw_Data!G631="","Region missing; ","")&amp;IF(Raw_Data!H631="","Spend imputed; ","")&amp;IF(Raw_Data!L631="","Revenue imputed; ","")&amp;IF(Raw_Data!J631&lt;0,"Clicks corrected; ",""))</f>
        <v/>
      </c>
    </row>
    <row r="632" customFormat="false" ht="15" hidden="false" customHeight="true" outlineLevel="0" collapsed="false">
      <c r="A632" s="11" t="n">
        <f aca="false">Raw_Data!A632</f>
        <v>1544</v>
      </c>
      <c r="B632" s="11" t="str">
        <f aca="false">PROPER(TRIM(Raw_Data!B632))</f>
        <v>Wedding Season Special</v>
      </c>
      <c r="C632" s="11" t="str">
        <f aca="false">IFERROR(INDEX(Lookup_Tables!$B$2:$B$26,MATCH(UPPER(TRIM(Raw_Data!C632)),Lookup_Tables!$C$2:$C$26,0)),"Unknown")</f>
        <v>Instagram</v>
      </c>
      <c r="D632" s="12" t="n">
        <f aca="false">IFERROR(IF(ISNUMBER(SEARCH("/",Raw_Data!D632)),DATE(VALUE(RIGHT(Raw_Data!D632,4)),VALUE(MID(Raw_Data!D632,FIND("/",Raw_Data!D632)+1,FIND("/",Raw_Data!D632,FIND("/",Raw_Data!D632)+1)-FIND("/",Raw_Data!D632)-1)),VALUE(LEFT(Raw_Data!D632,FIND("/",Raw_Data!D632)-1))),IF(ISNUMBER(VALUE(LEFT(Raw_Data!D632,4))),DATE(VALUE(LEFT(Raw_Data!D632,4)),VALUE(MID(Raw_Data!D632,6,2)),VALUE(MID(Raw_Data!D632,9,2))),DATEVALUE(Raw_Data!D632))),"")</f>
        <v>45461</v>
      </c>
      <c r="E632" s="12" t="n">
        <f aca="false">IFERROR(IF(ISNUMBER(SEARCH("/",Raw_Data!E632)),DATE(VALUE(RIGHT(Raw_Data!E632,4)),VALUE(MID(Raw_Data!E632,FIND("/",Raw_Data!E632)+1,FIND("/",Raw_Data!E632,FIND("/",Raw_Data!E632)+1)-FIND("/",Raw_Data!E632)-1)),VALUE(LEFT(Raw_Data!E632,FIND("/",Raw_Data!E632)-1))),IF(ISNUMBER(VALUE(LEFT(Raw_Data!E632,4))),DATE(VALUE(LEFT(Raw_Data!E632,4)),VALUE(MID(Raw_Data!E632,6,2)),VALUE(MID(Raw_Data!E632,9,2))),DATEVALUE(Raw_Data!E632))),"")</f>
        <v>45478</v>
      </c>
      <c r="F632" s="11" t="str">
        <f aca="false">Raw_Data!F632</f>
        <v>Male 35-44</v>
      </c>
      <c r="G632" s="11" t="str">
        <f aca="false">IF(TRIM(Raw_Data!G632)="","Unspecified",IFERROR(INDEX(Lookup_Tables!$F$2:$F$24,MATCH(UPPER(TRIM(Raw_Data!G632)),Lookup_Tables!$G$2:$G$24,0)),"Unknown"))</f>
        <v>West</v>
      </c>
      <c r="H632" s="11" t="n">
        <f aca="false">IF(Raw_Data!H632="",ROUND(AVERAGEIFS(Raw_Data!$H$2:$H$839,Raw_Data!$C$2:$C$839,Raw_Data!C632),2),Raw_Data!H632)</f>
        <v>29699.3</v>
      </c>
      <c r="I632" s="11" t="n">
        <f aca="false">Raw_Data!I632</f>
        <v>1183475</v>
      </c>
      <c r="J632" s="11" t="n">
        <f aca="false">IF(Raw_Data!J632&lt;0,ABS(Raw_Data!J632),Raw_Data!J632)</f>
        <v>16899</v>
      </c>
      <c r="K632" s="11" t="n">
        <f aca="false">Raw_Data!K632</f>
        <v>217</v>
      </c>
      <c r="L632" s="11" t="n">
        <f aca="false">IF(Raw_Data!L632="",ROUND(AVERAGEIFS(Raw_Data!$L$2:$L$839,Raw_Data!$C$2:$C$839,Raw_Data!C632),2),Raw_Data!L632)</f>
        <v>239592.46</v>
      </c>
      <c r="M632" s="13" t="n">
        <f aca="false">IFERROR(J632/I632,0)</f>
        <v>0.0142791355964427</v>
      </c>
      <c r="N632" s="14" t="n">
        <f aca="false">IFERROR(H632/J632,0)</f>
        <v>1.75745902124386</v>
      </c>
      <c r="O632" s="14" t="n">
        <f aca="false">IFERROR(H632/K632,0)</f>
        <v>136.863133640553</v>
      </c>
      <c r="P632" s="15" t="n">
        <f aca="false">IFERROR(L632/H632,0)</f>
        <v>8.06727633311223</v>
      </c>
      <c r="Q632" s="13" t="n">
        <f aca="false">IFERROR(K632/J632,0)</f>
        <v>0.0128409965086692</v>
      </c>
      <c r="R632" s="11" t="str">
        <f aca="false">IF(COUNTIF($A$2:A632,A632)&gt;1,"Duplicate - Remove","Unique")</f>
        <v>Unique</v>
      </c>
      <c r="S632" s="11" t="str">
        <f aca="false">TRIM(IF(Raw_Data!G632="","Region missing; ","")&amp;IF(Raw_Data!H632="","Spend imputed; ","")&amp;IF(Raw_Data!L632="","Revenue imputed; ","")&amp;IF(Raw_Data!J632&lt;0,"Clicks corrected; ",""))</f>
        <v/>
      </c>
    </row>
    <row r="633" customFormat="false" ht="15" hidden="false" customHeight="true" outlineLevel="0" collapsed="false">
      <c r="A633" s="11" t="n">
        <f aca="false">Raw_Data!A633</f>
        <v>1590</v>
      </c>
      <c r="B633" s="11" t="str">
        <f aca="false">PROPER(TRIM(Raw_Data!B633))</f>
        <v>Anti-Ageing Serum Push</v>
      </c>
      <c r="C633" s="11" t="str">
        <f aca="false">IFERROR(INDEX(Lookup_Tables!$B$2:$B$26,MATCH(UPPER(TRIM(Raw_Data!C633)),Lookup_Tables!$C$2:$C$26,0)),"Unknown")</f>
        <v>Email</v>
      </c>
      <c r="D633" s="12" t="n">
        <f aca="false">IFERROR(IF(ISNUMBER(SEARCH("/",Raw_Data!D633)),DATE(VALUE(RIGHT(Raw_Data!D633,4)),VALUE(MID(Raw_Data!D633,FIND("/",Raw_Data!D633)+1,FIND("/",Raw_Data!D633,FIND("/",Raw_Data!D633)+1)-FIND("/",Raw_Data!D633)-1)),VALUE(LEFT(Raw_Data!D633,FIND("/",Raw_Data!D633)-1))),IF(ISNUMBER(VALUE(LEFT(Raw_Data!D633,4))),DATE(VALUE(LEFT(Raw_Data!D633,4)),VALUE(MID(Raw_Data!D633,6,2)),VALUE(MID(Raw_Data!D633,9,2))),DATEVALUE(Raw_Data!D633))),"")</f>
        <v>45323</v>
      </c>
      <c r="E633" s="12" t="n">
        <f aca="false">IFERROR(IF(ISNUMBER(SEARCH("/",Raw_Data!E633)),DATE(VALUE(RIGHT(Raw_Data!E633,4)),VALUE(MID(Raw_Data!E633,FIND("/",Raw_Data!E633)+1,FIND("/",Raw_Data!E633,FIND("/",Raw_Data!E633)+1)-FIND("/",Raw_Data!E633)-1)),VALUE(LEFT(Raw_Data!E633,FIND("/",Raw_Data!E633)-1))),IF(ISNUMBER(VALUE(LEFT(Raw_Data!E633,4))),DATE(VALUE(LEFT(Raw_Data!E633,4)),VALUE(MID(Raw_Data!E633,6,2)),VALUE(MID(Raw_Data!E633,9,2))),DATEVALUE(Raw_Data!E633))),"")</f>
        <v>45345</v>
      </c>
      <c r="F633" s="11" t="str">
        <f aca="false">Raw_Data!F633</f>
        <v>Female 45+</v>
      </c>
      <c r="G633" s="11" t="str">
        <f aca="false">IF(TRIM(Raw_Data!G633)="","Unspecified",IFERROR(INDEX(Lookup_Tables!$F$2:$F$24,MATCH(UPPER(TRIM(Raw_Data!G633)),Lookup_Tables!$G$2:$G$24,0)),"Unknown"))</f>
        <v>East</v>
      </c>
      <c r="H633" s="11" t="n">
        <f aca="false">IF(Raw_Data!H633="",ROUND(AVERAGEIFS(Raw_Data!$H$2:$H$839,Raw_Data!$C$2:$C$839,Raw_Data!C633),2),Raw_Data!H633)</f>
        <v>2831.24</v>
      </c>
      <c r="I633" s="11" t="n">
        <f aca="false">Raw_Data!I633</f>
        <v>64949</v>
      </c>
      <c r="J633" s="11" t="n">
        <f aca="false">IF(Raw_Data!J633&lt;0,ABS(Raw_Data!J633),Raw_Data!J633)</f>
        <v>1087</v>
      </c>
      <c r="K633" s="11" t="n">
        <f aca="false">Raw_Data!K633</f>
        <v>44</v>
      </c>
      <c r="L633" s="11" t="n">
        <f aca="false">IF(Raw_Data!L633="",ROUND(AVERAGEIFS(Raw_Data!$L$2:$L$839,Raw_Data!$C$2:$C$839,Raw_Data!C633),2),Raw_Data!L633)</f>
        <v>40835.75</v>
      </c>
      <c r="M633" s="13" t="n">
        <f aca="false">IFERROR(J633/I633,0)</f>
        <v>0.0167362084096753</v>
      </c>
      <c r="N633" s="14" t="n">
        <f aca="false">IFERROR(H633/J633,0)</f>
        <v>2.60463661453542</v>
      </c>
      <c r="O633" s="14" t="n">
        <f aca="false">IFERROR(H633/K633,0)</f>
        <v>64.3463636363636</v>
      </c>
      <c r="P633" s="15" t="n">
        <f aca="false">IFERROR(L633/H633,0)</f>
        <v>14.4232739011882</v>
      </c>
      <c r="Q633" s="13" t="n">
        <f aca="false">IFERROR(K633/J633,0)</f>
        <v>0.0404783808647654</v>
      </c>
      <c r="R633" s="11" t="str">
        <f aca="false">IF(COUNTIF($A$2:A633,A633)&gt;1,"Duplicate - Remove","Unique")</f>
        <v>Unique</v>
      </c>
      <c r="S633" s="11" t="str">
        <f aca="false">TRIM(IF(Raw_Data!G633="","Region missing; ","")&amp;IF(Raw_Data!H633="","Spend imputed; ","")&amp;IF(Raw_Data!L633="","Revenue imputed; ","")&amp;IF(Raw_Data!J633&lt;0,"Clicks corrected; ",""))</f>
        <v/>
      </c>
    </row>
    <row r="634" customFormat="false" ht="15" hidden="false" customHeight="true" outlineLevel="0" collapsed="false">
      <c r="A634" s="11" t="n">
        <f aca="false">Raw_Data!A634</f>
        <v>1526</v>
      </c>
      <c r="B634" s="11" t="str">
        <f aca="false">PROPER(TRIM(Raw_Data!B634))</f>
        <v>Back To College Offer</v>
      </c>
      <c r="C634" s="11" t="str">
        <f aca="false">IFERROR(INDEX(Lookup_Tables!$B$2:$B$26,MATCH(UPPER(TRIM(Raw_Data!C634)),Lookup_Tables!$C$2:$C$26,0)),"Unknown")</f>
        <v>Facebook</v>
      </c>
      <c r="D634" s="12" t="n">
        <f aca="false">IFERROR(IF(ISNUMBER(SEARCH("/",Raw_Data!D634)),DATE(VALUE(RIGHT(Raw_Data!D634,4)),VALUE(MID(Raw_Data!D634,FIND("/",Raw_Data!D634)+1,FIND("/",Raw_Data!D634,FIND("/",Raw_Data!D634)+1)-FIND("/",Raw_Data!D634)-1)),VALUE(LEFT(Raw_Data!D634,FIND("/",Raw_Data!D634)-1))),IF(ISNUMBER(VALUE(LEFT(Raw_Data!D634,4))),DATE(VALUE(LEFT(Raw_Data!D634,4)),VALUE(MID(Raw_Data!D634,6,2)),VALUE(MID(Raw_Data!D634,9,2))),DATEVALUE(Raw_Data!D634))),"")</f>
        <v>45356</v>
      </c>
      <c r="E634" s="12" t="n">
        <f aca="false">IFERROR(IF(ISNUMBER(SEARCH("/",Raw_Data!E634)),DATE(VALUE(RIGHT(Raw_Data!E634,4)),VALUE(MID(Raw_Data!E634,FIND("/",Raw_Data!E634)+1,FIND("/",Raw_Data!E634,FIND("/",Raw_Data!E634)+1)-FIND("/",Raw_Data!E634)-1)),VALUE(LEFT(Raw_Data!E634,FIND("/",Raw_Data!E634)-1))),IF(ISNUMBER(VALUE(LEFT(Raw_Data!E634,4))),DATE(VALUE(LEFT(Raw_Data!E634,4)),VALUE(MID(Raw_Data!E634,6,2)),VALUE(MID(Raw_Data!E634,9,2))),DATEVALUE(Raw_Data!E634))),"")</f>
        <v>45369</v>
      </c>
      <c r="F634" s="11" t="str">
        <f aca="false">Raw_Data!F634</f>
        <v>Female 25-34</v>
      </c>
      <c r="G634" s="11" t="str">
        <f aca="false">IF(TRIM(Raw_Data!G634)="","Unspecified",IFERROR(INDEX(Lookup_Tables!$F$2:$F$24,MATCH(UPPER(TRIM(Raw_Data!G634)),Lookup_Tables!$G$2:$G$24,0)),"Unknown"))</f>
        <v>North</v>
      </c>
      <c r="H634" s="11" t="n">
        <f aca="false">IF(Raw_Data!H634="",ROUND(AVERAGEIFS(Raw_Data!$H$2:$H$839,Raw_Data!$C$2:$C$839,Raw_Data!C634),2),Raw_Data!H634)</f>
        <v>27189.29</v>
      </c>
      <c r="I634" s="11" t="n">
        <f aca="false">Raw_Data!I634</f>
        <v>1055780</v>
      </c>
      <c r="J634" s="11" t="n">
        <f aca="false">IF(Raw_Data!J634&lt;0,ABS(Raw_Data!J634),Raw_Data!J634)</f>
        <v>16318</v>
      </c>
      <c r="K634" s="11" t="n">
        <f aca="false">Raw_Data!K634</f>
        <v>793</v>
      </c>
      <c r="L634" s="11" t="n">
        <f aca="false">IF(Raw_Data!L634="",ROUND(AVERAGEIFS(Raw_Data!$L$2:$L$839,Raw_Data!$C$2:$C$839,Raw_Data!C634),2),Raw_Data!L634)</f>
        <v>615974.86</v>
      </c>
      <c r="M634" s="13" t="n">
        <f aca="false">IFERROR(J634/I634,0)</f>
        <v>0.0154558714883783</v>
      </c>
      <c r="N634" s="14" t="n">
        <f aca="false">IFERROR(H634/J634,0)</f>
        <v>1.66621460963353</v>
      </c>
      <c r="O634" s="14" t="n">
        <f aca="false">IFERROR(H634/K634,0)</f>
        <v>34.2866204287516</v>
      </c>
      <c r="P634" s="15" t="n">
        <f aca="false">IFERROR(L634/H634,0)</f>
        <v>22.6550549867246</v>
      </c>
      <c r="Q634" s="13" t="n">
        <f aca="false">IFERROR(K634/J634,0)</f>
        <v>0.0485966417453119</v>
      </c>
      <c r="R634" s="11" t="str">
        <f aca="false">IF(COUNTIF($A$2:A634,A634)&gt;1,"Duplicate - Remove","Unique")</f>
        <v>Unique</v>
      </c>
      <c r="S634" s="11" t="str">
        <f aca="false">TRIM(IF(Raw_Data!G634="","Region missing; ","")&amp;IF(Raw_Data!H634="","Spend imputed; ","")&amp;IF(Raw_Data!L634="","Revenue imputed; ","")&amp;IF(Raw_Data!J634&lt;0,"Clicks corrected; ",""))</f>
        <v/>
      </c>
    </row>
    <row r="635" customFormat="false" ht="15" hidden="false" customHeight="true" outlineLevel="0" collapsed="false">
      <c r="A635" s="11" t="n">
        <f aca="false">Raw_Data!A635</f>
        <v>1722</v>
      </c>
      <c r="B635" s="11" t="str">
        <f aca="false">PROPER(TRIM(Raw_Data!B635))</f>
        <v>Herbal Range Awareness</v>
      </c>
      <c r="C635" s="11" t="str">
        <f aca="false">IFERROR(INDEX(Lookup_Tables!$B$2:$B$26,MATCH(UPPER(TRIM(Raw_Data!C635)),Lookup_Tables!$C$2:$C$26,0)),"Unknown")</f>
        <v>Google Ads</v>
      </c>
      <c r="D635" s="12" t="n">
        <f aca="false">IFERROR(IF(ISNUMBER(SEARCH("/",Raw_Data!D635)),DATE(VALUE(RIGHT(Raw_Data!D635,4)),VALUE(MID(Raw_Data!D635,FIND("/",Raw_Data!D635)+1,FIND("/",Raw_Data!D635,FIND("/",Raw_Data!D635)+1)-FIND("/",Raw_Data!D635)-1)),VALUE(LEFT(Raw_Data!D635,FIND("/",Raw_Data!D635)-1))),IF(ISNUMBER(VALUE(LEFT(Raw_Data!D635,4))),DATE(VALUE(LEFT(Raw_Data!D635,4)),VALUE(MID(Raw_Data!D635,6,2)),VALUE(MID(Raw_Data!D635,9,2))),DATEVALUE(Raw_Data!D635))),"")</f>
        <v>45563</v>
      </c>
      <c r="E635" s="12" t="n">
        <f aca="false">IFERROR(IF(ISNUMBER(SEARCH("/",Raw_Data!E635)),DATE(VALUE(RIGHT(Raw_Data!E635,4)),VALUE(MID(Raw_Data!E635,FIND("/",Raw_Data!E635)+1,FIND("/",Raw_Data!E635,FIND("/",Raw_Data!E635)+1)-FIND("/",Raw_Data!E635)-1)),VALUE(LEFT(Raw_Data!E635,FIND("/",Raw_Data!E635)-1))),IF(ISNUMBER(VALUE(LEFT(Raw_Data!E635,4))),DATE(VALUE(LEFT(Raw_Data!E635,4)),VALUE(MID(Raw_Data!E635,6,2)),VALUE(MID(Raw_Data!E635,9,2))),DATEVALUE(Raw_Data!E635))),"")</f>
        <v>45577</v>
      </c>
      <c r="F635" s="11" t="str">
        <f aca="false">Raw_Data!F635</f>
        <v>Female 35-44</v>
      </c>
      <c r="G635" s="11" t="str">
        <f aca="false">IF(TRIM(Raw_Data!G635)="","Unspecified",IFERROR(INDEX(Lookup_Tables!$F$2:$F$24,MATCH(UPPER(TRIM(Raw_Data!G635)),Lookup_Tables!$G$2:$G$24,0)),"Unknown"))</f>
        <v>West</v>
      </c>
      <c r="H635" s="11" t="n">
        <f aca="false">IF(Raw_Data!H635="",ROUND(AVERAGEIFS(Raw_Data!$H$2:$H$839,Raw_Data!$C$2:$C$839,Raw_Data!C635),2),Raw_Data!H635)</f>
        <v>60732.97</v>
      </c>
      <c r="I635" s="11" t="n">
        <f aca="false">Raw_Data!I635</f>
        <v>2136470</v>
      </c>
      <c r="J635" s="11" t="n">
        <f aca="false">IF(Raw_Data!J635&lt;0,ABS(Raw_Data!J635),Raw_Data!J635)</f>
        <v>66065</v>
      </c>
      <c r="K635" s="11" t="n">
        <f aca="false">Raw_Data!K635</f>
        <v>2369</v>
      </c>
      <c r="L635" s="11" t="n">
        <f aca="false">IF(Raw_Data!L635="",ROUND(AVERAGEIFS(Raw_Data!$L$2:$L$839,Raw_Data!$C$2:$C$839,Raw_Data!C635),2),Raw_Data!L635)</f>
        <v>4162627.99</v>
      </c>
      <c r="M635" s="13" t="n">
        <f aca="false">IFERROR(J635/I635,0)</f>
        <v>0.0309225030072971</v>
      </c>
      <c r="N635" s="14" t="n">
        <f aca="false">IFERROR(H635/J635,0)</f>
        <v>0.919291152652691</v>
      </c>
      <c r="O635" s="14" t="n">
        <f aca="false">IFERROR(H635/K635,0)</f>
        <v>25.6365428450823</v>
      </c>
      <c r="P635" s="15" t="n">
        <f aca="false">IFERROR(L635/H635,0)</f>
        <v>68.5398390692897</v>
      </c>
      <c r="Q635" s="13" t="n">
        <f aca="false">IFERROR(K635/J635,0)</f>
        <v>0.0358586240823431</v>
      </c>
      <c r="R635" s="11" t="str">
        <f aca="false">IF(COUNTIF($A$2:A635,A635)&gt;1,"Duplicate - Remove","Unique")</f>
        <v>Unique</v>
      </c>
      <c r="S635" s="11" t="str">
        <f aca="false">TRIM(IF(Raw_Data!G635="","Region missing; ","")&amp;IF(Raw_Data!H635="","Spend imputed; ","")&amp;IF(Raw_Data!L635="","Revenue imputed; ","")&amp;IF(Raw_Data!J635&lt;0,"Clicks corrected; ",""))</f>
        <v/>
      </c>
    </row>
    <row r="636" customFormat="false" ht="15" hidden="false" customHeight="true" outlineLevel="0" collapsed="false">
      <c r="A636" s="11" t="n">
        <f aca="false">Raw_Data!A636</f>
        <v>1287</v>
      </c>
      <c r="B636" s="11" t="str">
        <f aca="false">PROPER(TRIM(Raw_Data!B636))</f>
        <v>Men'S Grooming Drive</v>
      </c>
      <c r="C636" s="11" t="str">
        <f aca="false">IFERROR(INDEX(Lookup_Tables!$B$2:$B$26,MATCH(UPPER(TRIM(Raw_Data!C636)),Lookup_Tables!$C$2:$C$26,0)),"Unknown")</f>
        <v>Instagram</v>
      </c>
      <c r="D636" s="12" t="n">
        <f aca="false">IFERROR(IF(ISNUMBER(SEARCH("/",Raw_Data!D636)),DATE(VALUE(RIGHT(Raw_Data!D636,4)),VALUE(MID(Raw_Data!D636,FIND("/",Raw_Data!D636)+1,FIND("/",Raw_Data!D636,FIND("/",Raw_Data!D636)+1)-FIND("/",Raw_Data!D636)-1)),VALUE(LEFT(Raw_Data!D636,FIND("/",Raw_Data!D636)-1))),IF(ISNUMBER(VALUE(LEFT(Raw_Data!D636,4))),DATE(VALUE(LEFT(Raw_Data!D636,4)),VALUE(MID(Raw_Data!D636,6,2)),VALUE(MID(Raw_Data!D636,9,2))),DATEVALUE(Raw_Data!D636))),"")</f>
        <v>45387</v>
      </c>
      <c r="E636" s="12" t="n">
        <f aca="false">IFERROR(IF(ISNUMBER(SEARCH("/",Raw_Data!E636)),DATE(VALUE(RIGHT(Raw_Data!E636,4)),VALUE(MID(Raw_Data!E636,FIND("/",Raw_Data!E636)+1,FIND("/",Raw_Data!E636,FIND("/",Raw_Data!E636)+1)-FIND("/",Raw_Data!E636)-1)),VALUE(LEFT(Raw_Data!E636,FIND("/",Raw_Data!E636)-1))),IF(ISNUMBER(VALUE(LEFT(Raw_Data!E636,4))),DATE(VALUE(LEFT(Raw_Data!E636,4)),VALUE(MID(Raw_Data!E636,6,2)),VALUE(MID(Raw_Data!E636,9,2))),DATEVALUE(Raw_Data!E636))),"")</f>
        <v>45411</v>
      </c>
      <c r="F636" s="11" t="str">
        <f aca="false">Raw_Data!F636</f>
        <v>Female 45+</v>
      </c>
      <c r="G636" s="11" t="str">
        <f aca="false">IF(TRIM(Raw_Data!G636)="","Unspecified",IFERROR(INDEX(Lookup_Tables!$F$2:$F$24,MATCH(UPPER(TRIM(Raw_Data!G636)),Lookup_Tables!$G$2:$G$24,0)),"Unknown"))</f>
        <v>West</v>
      </c>
      <c r="H636" s="11" t="n">
        <f aca="false">IF(Raw_Data!H636="",ROUND(AVERAGEIFS(Raw_Data!$H$2:$H$839,Raw_Data!$C$2:$C$839,Raw_Data!C636),2),Raw_Data!H636)</f>
        <v>52958.87</v>
      </c>
      <c r="I636" s="11" t="n">
        <f aca="false">Raw_Data!I636</f>
        <v>1789401</v>
      </c>
      <c r="J636" s="11" t="n">
        <f aca="false">IF(Raw_Data!J636&lt;0,ABS(Raw_Data!J636),Raw_Data!J636)</f>
        <v>46807</v>
      </c>
      <c r="K636" s="11" t="n">
        <f aca="false">Raw_Data!K636</f>
        <v>1498</v>
      </c>
      <c r="L636" s="11" t="n">
        <f aca="false">IF(Raw_Data!L636="",ROUND(AVERAGEIFS(Raw_Data!$L$2:$L$839,Raw_Data!$C$2:$C$839,Raw_Data!C636),2),Raw_Data!L636)</f>
        <v>592999.65</v>
      </c>
      <c r="M636" s="13" t="n">
        <f aca="false">IFERROR(J636/I636,0)</f>
        <v>0.0261579154141526</v>
      </c>
      <c r="N636" s="14" t="n">
        <f aca="false">IFERROR(H636/J636,0)</f>
        <v>1.13143055525883</v>
      </c>
      <c r="O636" s="14" t="n">
        <f aca="false">IFERROR(H636/K636,0)</f>
        <v>35.3530507343124</v>
      </c>
      <c r="P636" s="15" t="n">
        <f aca="false">IFERROR(L636/H636,0)</f>
        <v>11.1973622171319</v>
      </c>
      <c r="Q636" s="13" t="n">
        <f aca="false">IFERROR(K636/J636,0)</f>
        <v>0.0320037601213494</v>
      </c>
      <c r="R636" s="11" t="str">
        <f aca="false">IF(COUNTIF($A$2:A636,A636)&gt;1,"Duplicate - Remove","Unique")</f>
        <v>Unique</v>
      </c>
      <c r="S636" s="11" t="str">
        <f aca="false">TRIM(IF(Raw_Data!G636="","Region missing; ","")&amp;IF(Raw_Data!H636="","Spend imputed; ","")&amp;IF(Raw_Data!L636="","Revenue imputed; ","")&amp;IF(Raw_Data!J636&lt;0,"Clicks corrected; ",""))</f>
        <v/>
      </c>
    </row>
    <row r="637" customFormat="false" ht="15" hidden="false" customHeight="true" outlineLevel="0" collapsed="false">
      <c r="A637" s="11" t="n">
        <f aca="false">Raw_Data!A637</f>
        <v>1422</v>
      </c>
      <c r="B637" s="11" t="str">
        <f aca="false">PROPER(TRIM(Raw_Data!B637))</f>
        <v>Baby Care Trust Campaign</v>
      </c>
      <c r="C637" s="11" t="str">
        <f aca="false">IFERROR(INDEX(Lookup_Tables!$B$2:$B$26,MATCH(UPPER(TRIM(Raw_Data!C637)),Lookup_Tables!$C$2:$C$26,0)),"Unknown")</f>
        <v>Instagram</v>
      </c>
      <c r="D637" s="12" t="n">
        <f aca="false">IFERROR(IF(ISNUMBER(SEARCH("/",Raw_Data!D637)),DATE(VALUE(RIGHT(Raw_Data!D637,4)),VALUE(MID(Raw_Data!D637,FIND("/",Raw_Data!D637)+1,FIND("/",Raw_Data!D637,FIND("/",Raw_Data!D637)+1)-FIND("/",Raw_Data!D637)-1)),VALUE(LEFT(Raw_Data!D637,FIND("/",Raw_Data!D637)-1))),IF(ISNUMBER(VALUE(LEFT(Raw_Data!D637,4))),DATE(VALUE(LEFT(Raw_Data!D637,4)),VALUE(MID(Raw_Data!D637,6,2)),VALUE(MID(Raw_Data!D637,9,2))),DATEVALUE(Raw_Data!D637))),"")</f>
        <v>45356</v>
      </c>
      <c r="E637" s="12" t="n">
        <f aca="false">IFERROR(IF(ISNUMBER(SEARCH("/",Raw_Data!E637)),DATE(VALUE(RIGHT(Raw_Data!E637,4)),VALUE(MID(Raw_Data!E637,FIND("/",Raw_Data!E637)+1,FIND("/",Raw_Data!E637,FIND("/",Raw_Data!E637)+1)-FIND("/",Raw_Data!E637)-1)),VALUE(LEFT(Raw_Data!E637,FIND("/",Raw_Data!E637)-1))),IF(ISNUMBER(VALUE(LEFT(Raw_Data!E637,4))),DATE(VALUE(LEFT(Raw_Data!E637,4)),VALUE(MID(Raw_Data!E637,6,2)),VALUE(MID(Raw_Data!E637,9,2))),DATEVALUE(Raw_Data!E637))),"")</f>
        <v>45377</v>
      </c>
      <c r="F637" s="11" t="str">
        <f aca="false">Raw_Data!F637</f>
        <v>Male 25-34</v>
      </c>
      <c r="G637" s="11" t="str">
        <f aca="false">IF(TRIM(Raw_Data!G637)="","Unspecified",IFERROR(INDEX(Lookup_Tables!$F$2:$F$24,MATCH(UPPER(TRIM(Raw_Data!G637)),Lookup_Tables!$G$2:$G$24,0)),"Unknown"))</f>
        <v>South</v>
      </c>
      <c r="H637" s="11" t="n">
        <f aca="false">IF(Raw_Data!H637="",ROUND(AVERAGEIFS(Raw_Data!$H$2:$H$839,Raw_Data!$C$2:$C$839,Raw_Data!C637),2),Raw_Data!H637)</f>
        <v>54063.38</v>
      </c>
      <c r="I637" s="11" t="n">
        <f aca="false">Raw_Data!I637</f>
        <v>1093752</v>
      </c>
      <c r="J637" s="11" t="n">
        <f aca="false">IF(Raw_Data!J637&lt;0,ABS(Raw_Data!J637),Raw_Data!J637)</f>
        <v>8139</v>
      </c>
      <c r="K637" s="11" t="n">
        <f aca="false">Raw_Data!K637</f>
        <v>349</v>
      </c>
      <c r="L637" s="11" t="n">
        <f aca="false">IF(Raw_Data!L637="",ROUND(AVERAGEIFS(Raw_Data!$L$2:$L$839,Raw_Data!$C$2:$C$839,Raw_Data!C637),2),Raw_Data!L637)</f>
        <v>457915.29</v>
      </c>
      <c r="M637" s="13" t="n">
        <f aca="false">IFERROR(J637/I637,0)</f>
        <v>0.00744135782151713</v>
      </c>
      <c r="N637" s="14" t="n">
        <f aca="false">IFERROR(H637/J637,0)</f>
        <v>6.64250890772822</v>
      </c>
      <c r="O637" s="14" t="n">
        <f aca="false">IFERROR(H637/K637,0)</f>
        <v>154.909398280802</v>
      </c>
      <c r="P637" s="15" t="n">
        <f aca="false">IFERROR(L637/H637,0)</f>
        <v>8.46997154081006</v>
      </c>
      <c r="Q637" s="13" t="n">
        <f aca="false">IFERROR(K637/J637,0)</f>
        <v>0.0428799606831306</v>
      </c>
      <c r="R637" s="11" t="str">
        <f aca="false">IF(COUNTIF($A$2:A637,A637)&gt;1,"Duplicate - Remove","Unique")</f>
        <v>Unique</v>
      </c>
      <c r="S637" s="11" t="str">
        <f aca="false">TRIM(IF(Raw_Data!G637="","Region missing; ","")&amp;IF(Raw_Data!H637="","Spend imputed; ","")&amp;IF(Raw_Data!L637="","Revenue imputed; ","")&amp;IF(Raw_Data!J637&lt;0,"Clicks corrected; ",""))</f>
        <v/>
      </c>
    </row>
    <row r="638" customFormat="false" ht="15" hidden="false" customHeight="true" outlineLevel="0" collapsed="false">
      <c r="A638" s="11" t="n">
        <f aca="false">Raw_Data!A638</f>
        <v>1316</v>
      </c>
      <c r="B638" s="11" t="str">
        <f aca="false">PROPER(TRIM(Raw_Data!B638))</f>
        <v>Festive Gift Bundle</v>
      </c>
      <c r="C638" s="11" t="str">
        <f aca="false">IFERROR(INDEX(Lookup_Tables!$B$2:$B$26,MATCH(UPPER(TRIM(Raw_Data!C638)),Lookup_Tables!$C$2:$C$26,0)),"Unknown")</f>
        <v>YouTube</v>
      </c>
      <c r="D638" s="12" t="n">
        <f aca="false">IFERROR(IF(ISNUMBER(SEARCH("/",Raw_Data!D638)),DATE(VALUE(RIGHT(Raw_Data!D638,4)),VALUE(MID(Raw_Data!D638,FIND("/",Raw_Data!D638)+1,FIND("/",Raw_Data!D638,FIND("/",Raw_Data!D638)+1)-FIND("/",Raw_Data!D638)-1)),VALUE(LEFT(Raw_Data!D638,FIND("/",Raw_Data!D638)-1))),IF(ISNUMBER(VALUE(LEFT(Raw_Data!D638,4))),DATE(VALUE(LEFT(Raw_Data!D638,4)),VALUE(MID(Raw_Data!D638,6,2)),VALUE(MID(Raw_Data!D638,9,2))),DATEVALUE(Raw_Data!D638))),"")</f>
        <v>45324</v>
      </c>
      <c r="E638" s="12" t="n">
        <f aca="false">IFERROR(IF(ISNUMBER(SEARCH("/",Raw_Data!E638)),DATE(VALUE(RIGHT(Raw_Data!E638,4)),VALUE(MID(Raw_Data!E638,FIND("/",Raw_Data!E638)+1,FIND("/",Raw_Data!E638,FIND("/",Raw_Data!E638)+1)-FIND("/",Raw_Data!E638)-1)),VALUE(LEFT(Raw_Data!E638,FIND("/",Raw_Data!E638)-1))),IF(ISNUMBER(VALUE(LEFT(Raw_Data!E638,4))),DATE(VALUE(LEFT(Raw_Data!E638,4)),VALUE(MID(Raw_Data!E638,6,2)),VALUE(MID(Raw_Data!E638,9,2))),DATEVALUE(Raw_Data!E638))),"")</f>
        <v>45332</v>
      </c>
      <c r="F638" s="11" t="str">
        <f aca="false">Raw_Data!F638</f>
        <v>Male 35-44</v>
      </c>
      <c r="G638" s="11" t="str">
        <f aca="false">IF(TRIM(Raw_Data!G638)="","Unspecified",IFERROR(INDEX(Lookup_Tables!$F$2:$F$24,MATCH(UPPER(TRIM(Raw_Data!G638)),Lookup_Tables!$G$2:$G$24,0)),"Unknown"))</f>
        <v>South</v>
      </c>
      <c r="H638" s="11" t="n">
        <f aca="false">IF(Raw_Data!H638="",ROUND(AVERAGEIFS(Raw_Data!$H$2:$H$839,Raw_Data!$C$2:$C$839,Raw_Data!C638),2),Raw_Data!H638)</f>
        <v>25592.76</v>
      </c>
      <c r="I638" s="11" t="n">
        <f aca="false">Raw_Data!I638</f>
        <v>649515</v>
      </c>
      <c r="J638" s="11" t="n">
        <f aca="false">IF(Raw_Data!J638&lt;0,ABS(Raw_Data!J638),Raw_Data!J638)</f>
        <v>16815</v>
      </c>
      <c r="K638" s="11" t="n">
        <f aca="false">Raw_Data!K638</f>
        <v>819</v>
      </c>
      <c r="L638" s="11" t="n">
        <f aca="false">IF(Raw_Data!L638="",ROUND(AVERAGEIFS(Raw_Data!$L$2:$L$839,Raw_Data!$C$2:$C$839,Raw_Data!C638),2),Raw_Data!L638)</f>
        <v>807582.12</v>
      </c>
      <c r="M638" s="13" t="n">
        <f aca="false">IFERROR(J638/I638,0)</f>
        <v>0.0258885476086003</v>
      </c>
      <c r="N638" s="14" t="n">
        <f aca="false">IFERROR(H638/J638,0)</f>
        <v>1.52201962533452</v>
      </c>
      <c r="O638" s="14" t="n">
        <f aca="false">IFERROR(H638/K638,0)</f>
        <v>31.2487912087912</v>
      </c>
      <c r="P638" s="15" t="n">
        <f aca="false">IFERROR(L638/H638,0)</f>
        <v>31.5551007394279</v>
      </c>
      <c r="Q638" s="13" t="n">
        <f aca="false">IFERROR(K638/J638,0)</f>
        <v>0.0487065120428189</v>
      </c>
      <c r="R638" s="11" t="str">
        <f aca="false">IF(COUNTIF($A$2:A638,A638)&gt;1,"Duplicate - Remove","Unique")</f>
        <v>Unique</v>
      </c>
      <c r="S638" s="11" t="str">
        <f aca="false">TRIM(IF(Raw_Data!G638="","Region missing; ","")&amp;IF(Raw_Data!H638="","Spend imputed; ","")&amp;IF(Raw_Data!L638="","Revenue imputed; ","")&amp;IF(Raw_Data!J638&lt;0,"Clicks corrected; ",""))</f>
        <v/>
      </c>
    </row>
    <row r="639" customFormat="false" ht="15" hidden="false" customHeight="true" outlineLevel="0" collapsed="false">
      <c r="A639" s="11" t="n">
        <f aca="false">Raw_Data!A639</f>
        <v>1759</v>
      </c>
      <c r="B639" s="11" t="str">
        <f aca="false">PROPER(TRIM(Raw_Data!B639))</f>
        <v>Wedding Season Special</v>
      </c>
      <c r="C639" s="11" t="str">
        <f aca="false">IFERROR(INDEX(Lookup_Tables!$B$2:$B$26,MATCH(UPPER(TRIM(Raw_Data!C639)),Lookup_Tables!$C$2:$C$26,0)),"Unknown")</f>
        <v>Google Ads</v>
      </c>
      <c r="D639" s="12" t="n">
        <f aca="false">IFERROR(IF(ISNUMBER(SEARCH("/",Raw_Data!D639)),DATE(VALUE(RIGHT(Raw_Data!D639,4)),VALUE(MID(Raw_Data!D639,FIND("/",Raw_Data!D639)+1,FIND("/",Raw_Data!D639,FIND("/",Raw_Data!D639)+1)-FIND("/",Raw_Data!D639)-1)),VALUE(LEFT(Raw_Data!D639,FIND("/",Raw_Data!D639)-1))),IF(ISNUMBER(VALUE(LEFT(Raw_Data!D639,4))),DATE(VALUE(LEFT(Raw_Data!D639,4)),VALUE(MID(Raw_Data!D639,6,2)),VALUE(MID(Raw_Data!D639,9,2))),DATEVALUE(Raw_Data!D639))),"")</f>
        <v>45582</v>
      </c>
      <c r="E639" s="12" t="n">
        <f aca="false">IFERROR(IF(ISNUMBER(SEARCH("/",Raw_Data!E639)),DATE(VALUE(RIGHT(Raw_Data!E639,4)),VALUE(MID(Raw_Data!E639,FIND("/",Raw_Data!E639)+1,FIND("/",Raw_Data!E639,FIND("/",Raw_Data!E639)+1)-FIND("/",Raw_Data!E639)-1)),VALUE(LEFT(Raw_Data!E639,FIND("/",Raw_Data!E639)-1))),IF(ISNUMBER(VALUE(LEFT(Raw_Data!E639,4))),DATE(VALUE(LEFT(Raw_Data!E639,4)),VALUE(MID(Raw_Data!E639,6,2)),VALUE(MID(Raw_Data!E639,9,2))),DATEVALUE(Raw_Data!E639))),"")</f>
        <v>45601</v>
      </c>
      <c r="F639" s="11" t="str">
        <f aca="false">Raw_Data!F639</f>
        <v>Male 25-34</v>
      </c>
      <c r="G639" s="11" t="str">
        <f aca="false">IF(TRIM(Raw_Data!G639)="","Unspecified",IFERROR(INDEX(Lookup_Tables!$F$2:$F$24,MATCH(UPPER(TRIM(Raw_Data!G639)),Lookup_Tables!$G$2:$G$24,0)),"Unknown"))</f>
        <v>South</v>
      </c>
      <c r="H639" s="11" t="n">
        <f aca="false">IF(Raw_Data!H639="",ROUND(AVERAGEIFS(Raw_Data!$H$2:$H$839,Raw_Data!$C$2:$C$839,Raw_Data!C639),2),Raw_Data!H639)</f>
        <v>33897.96</v>
      </c>
      <c r="I639" s="11" t="n">
        <f aca="false">Raw_Data!I639</f>
        <v>724336</v>
      </c>
      <c r="J639" s="11" t="n">
        <f aca="false">IF(Raw_Data!J639&lt;0,ABS(Raw_Data!J639),Raw_Data!J639)</f>
        <v>5187</v>
      </c>
      <c r="K639" s="11" t="n">
        <f aca="false">Raw_Data!K639</f>
        <v>97</v>
      </c>
      <c r="L639" s="11" t="n">
        <f aca="false">IF(Raw_Data!L639="",ROUND(AVERAGEIFS(Raw_Data!$L$2:$L$839,Raw_Data!$C$2:$C$839,Raw_Data!C639),2),Raw_Data!L639)</f>
        <v>86913.45</v>
      </c>
      <c r="M639" s="13" t="n">
        <f aca="false">IFERROR(J639/I639,0)</f>
        <v>0.00716104128470765</v>
      </c>
      <c r="N639" s="14" t="n">
        <f aca="false">IFERROR(H639/J639,0)</f>
        <v>6.53517640254482</v>
      </c>
      <c r="O639" s="14" t="n">
        <f aca="false">IFERROR(H639/K639,0)</f>
        <v>349.463505154639</v>
      </c>
      <c r="P639" s="15" t="n">
        <f aca="false">IFERROR(L639/H639,0)</f>
        <v>2.56397287624388</v>
      </c>
      <c r="Q639" s="13" t="n">
        <f aca="false">IFERROR(K639/J639,0)</f>
        <v>0.0187005976479661</v>
      </c>
      <c r="R639" s="11" t="str">
        <f aca="false">IF(COUNTIF($A$2:A639,A639)&gt;1,"Duplicate - Remove","Unique")</f>
        <v>Unique</v>
      </c>
      <c r="S639" s="11" t="str">
        <f aca="false">TRIM(IF(Raw_Data!G639="","Region missing; ","")&amp;IF(Raw_Data!H639="","Spend imputed; ","")&amp;IF(Raw_Data!L639="","Revenue imputed; ","")&amp;IF(Raw_Data!J639&lt;0,"Clicks corrected; ",""))</f>
        <v/>
      </c>
    </row>
    <row r="640" customFormat="false" ht="15" hidden="false" customHeight="true" outlineLevel="0" collapsed="false">
      <c r="A640" s="11" t="n">
        <f aca="false">Raw_Data!A640</f>
        <v>1736</v>
      </c>
      <c r="B640" s="11" t="str">
        <f aca="false">PROPER(TRIM(Raw_Data!B640))</f>
        <v>Monsoon Skincare Push</v>
      </c>
      <c r="C640" s="11" t="str">
        <f aca="false">IFERROR(INDEX(Lookup_Tables!$B$2:$B$26,MATCH(UPPER(TRIM(Raw_Data!C640)),Lookup_Tables!$C$2:$C$26,0)),"Unknown")</f>
        <v>YouTube</v>
      </c>
      <c r="D640" s="12" t="n">
        <f aca="false">IFERROR(IF(ISNUMBER(SEARCH("/",Raw_Data!D640)),DATE(VALUE(RIGHT(Raw_Data!D640,4)),VALUE(MID(Raw_Data!D640,FIND("/",Raw_Data!D640)+1,FIND("/",Raw_Data!D640,FIND("/",Raw_Data!D640)+1)-FIND("/",Raw_Data!D640)-1)),VALUE(LEFT(Raw_Data!D640,FIND("/",Raw_Data!D640)-1))),IF(ISNUMBER(VALUE(LEFT(Raw_Data!D640,4))),DATE(VALUE(LEFT(Raw_Data!D640,4)),VALUE(MID(Raw_Data!D640,6,2)),VALUE(MID(Raw_Data!D640,9,2))),DATEVALUE(Raw_Data!D640))),"")</f>
        <v>45330</v>
      </c>
      <c r="E640" s="12" t="n">
        <f aca="false">IFERROR(IF(ISNUMBER(SEARCH("/",Raw_Data!E640)),DATE(VALUE(RIGHT(Raw_Data!E640,4)),VALUE(MID(Raw_Data!E640,FIND("/",Raw_Data!E640)+1,FIND("/",Raw_Data!E640,FIND("/",Raw_Data!E640)+1)-FIND("/",Raw_Data!E640)-1)),VALUE(LEFT(Raw_Data!E640,FIND("/",Raw_Data!E640)-1))),IF(ISNUMBER(VALUE(LEFT(Raw_Data!E640,4))),DATE(VALUE(LEFT(Raw_Data!E640,4)),VALUE(MID(Raw_Data!E640,6,2)),VALUE(MID(Raw_Data!E640,9,2))),DATEVALUE(Raw_Data!E640))),"")</f>
        <v>45343</v>
      </c>
      <c r="F640" s="11" t="str">
        <f aca="false">Raw_Data!F640</f>
        <v>Male 35-44</v>
      </c>
      <c r="G640" s="11" t="str">
        <f aca="false">IF(TRIM(Raw_Data!G640)="","Unspecified",IFERROR(INDEX(Lookup_Tables!$F$2:$F$24,MATCH(UPPER(TRIM(Raw_Data!G640)),Lookup_Tables!$G$2:$G$24,0)),"Unknown"))</f>
        <v>South</v>
      </c>
      <c r="H640" s="11" t="n">
        <f aca="false">IF(Raw_Data!H640="",ROUND(AVERAGEIFS(Raw_Data!$H$2:$H$839,Raw_Data!$C$2:$C$839,Raw_Data!C640),2),Raw_Data!H640)</f>
        <v>64021.95</v>
      </c>
      <c r="I640" s="11" t="n">
        <f aca="false">Raw_Data!I640</f>
        <v>1436444</v>
      </c>
      <c r="J640" s="11" t="n">
        <f aca="false">IF(Raw_Data!J640&lt;0,ABS(Raw_Data!J640),Raw_Data!J640)</f>
        <v>8690</v>
      </c>
      <c r="K640" s="11" t="n">
        <f aca="false">Raw_Data!K640</f>
        <v>159</v>
      </c>
      <c r="L640" s="11" t="n">
        <f aca="false">IF(Raw_Data!L640="",ROUND(AVERAGEIFS(Raw_Data!$L$2:$L$839,Raw_Data!$C$2:$C$839,Raw_Data!C640),2),Raw_Data!L640)</f>
        <v>88350.77</v>
      </c>
      <c r="M640" s="13" t="n">
        <f aca="false">IFERROR(J640/I640,0)</f>
        <v>0.00604966152526656</v>
      </c>
      <c r="N640" s="14" t="n">
        <f aca="false">IFERROR(H640/J640,0)</f>
        <v>7.36731300345224</v>
      </c>
      <c r="O640" s="14" t="n">
        <f aca="false">IFERROR(H640/K640,0)</f>
        <v>402.653773584906</v>
      </c>
      <c r="P640" s="15" t="n">
        <f aca="false">IFERROR(L640/H640,0)</f>
        <v>1.38000748180897</v>
      </c>
      <c r="Q640" s="13" t="n">
        <f aca="false">IFERROR(K640/J640,0)</f>
        <v>0.0182968929804373</v>
      </c>
      <c r="R640" s="11" t="str">
        <f aca="false">IF(COUNTIF($A$2:A640,A640)&gt;1,"Duplicate - Remove","Unique")</f>
        <v>Unique</v>
      </c>
      <c r="S640" s="11" t="str">
        <f aca="false">TRIM(IF(Raw_Data!G640="","Region missing; ","")&amp;IF(Raw_Data!H640="","Spend imputed; ","")&amp;IF(Raw_Data!L640="","Revenue imputed; ","")&amp;IF(Raw_Data!J640&lt;0,"Clicks corrected; ",""))</f>
        <v/>
      </c>
    </row>
    <row r="641" customFormat="false" ht="15" hidden="false" customHeight="true" outlineLevel="0" collapsed="false">
      <c r="A641" s="11" t="n">
        <f aca="false">Raw_Data!A641</f>
        <v>1087</v>
      </c>
      <c r="B641" s="11" t="str">
        <f aca="false">PROPER(TRIM(Raw_Data!B641))</f>
        <v>Monsoon Skincare Push</v>
      </c>
      <c r="C641" s="11" t="str">
        <f aca="false">IFERROR(INDEX(Lookup_Tables!$B$2:$B$26,MATCH(UPPER(TRIM(Raw_Data!C641)),Lookup_Tables!$C$2:$C$26,0)),"Unknown")</f>
        <v>Email</v>
      </c>
      <c r="D641" s="12" t="n">
        <f aca="false">IFERROR(IF(ISNUMBER(SEARCH("/",Raw_Data!D641)),DATE(VALUE(RIGHT(Raw_Data!D641,4)),VALUE(MID(Raw_Data!D641,FIND("/",Raw_Data!D641)+1,FIND("/",Raw_Data!D641,FIND("/",Raw_Data!D641)+1)-FIND("/",Raw_Data!D641)-1)),VALUE(LEFT(Raw_Data!D641,FIND("/",Raw_Data!D641)-1))),IF(ISNUMBER(VALUE(LEFT(Raw_Data!D641,4))),DATE(VALUE(LEFT(Raw_Data!D641,4)),VALUE(MID(Raw_Data!D641,6,2)),VALUE(MID(Raw_Data!D641,9,2))),DATEVALUE(Raw_Data!D641))),"")</f>
        <v>45543</v>
      </c>
      <c r="E641" s="12" t="n">
        <f aca="false">IFERROR(IF(ISNUMBER(SEARCH("/",Raw_Data!E641)),DATE(VALUE(RIGHT(Raw_Data!E641,4)),VALUE(MID(Raw_Data!E641,FIND("/",Raw_Data!E641)+1,FIND("/",Raw_Data!E641,FIND("/",Raw_Data!E641)+1)-FIND("/",Raw_Data!E641)-1)),VALUE(LEFT(Raw_Data!E641,FIND("/",Raw_Data!E641)-1))),IF(ISNUMBER(VALUE(LEFT(Raw_Data!E641,4))),DATE(VALUE(LEFT(Raw_Data!E641,4)),VALUE(MID(Raw_Data!E641,6,2)),VALUE(MID(Raw_Data!E641,9,2))),DATEVALUE(Raw_Data!E641))),"")</f>
        <v>45554</v>
      </c>
      <c r="F641" s="11" t="str">
        <f aca="false">Raw_Data!F641</f>
        <v>Male 25-34</v>
      </c>
      <c r="G641" s="11" t="str">
        <f aca="false">IF(TRIM(Raw_Data!G641)="","Unspecified",IFERROR(INDEX(Lookup_Tables!$F$2:$F$24,MATCH(UPPER(TRIM(Raw_Data!G641)),Lookup_Tables!$G$2:$G$24,0)),"Unknown"))</f>
        <v>West</v>
      </c>
      <c r="H641" s="11" t="n">
        <f aca="false">IF(Raw_Data!H641="",ROUND(AVERAGEIFS(Raw_Data!$H$2:$H$839,Raw_Data!$C$2:$C$839,Raw_Data!C641),2),Raw_Data!H641)</f>
        <v>1950.1</v>
      </c>
      <c r="I641" s="11" t="n">
        <f aca="false">Raw_Data!I641</f>
        <v>32861</v>
      </c>
      <c r="J641" s="11" t="n">
        <f aca="false">IF(Raw_Data!J641&lt;0,ABS(Raw_Data!J641),Raw_Data!J641)</f>
        <v>334</v>
      </c>
      <c r="K641" s="11" t="n">
        <f aca="false">Raw_Data!K641</f>
        <v>20</v>
      </c>
      <c r="L641" s="11" t="n">
        <f aca="false">IF(Raw_Data!L641="",ROUND(AVERAGEIFS(Raw_Data!$L$2:$L$839,Raw_Data!$C$2:$C$839,Raw_Data!C641),2),Raw_Data!L641)</f>
        <v>35920.61</v>
      </c>
      <c r="M641" s="13" t="n">
        <f aca="false">IFERROR(J641/I641,0)</f>
        <v>0.0101640242232434</v>
      </c>
      <c r="N641" s="14" t="n">
        <f aca="false">IFERROR(H641/J641,0)</f>
        <v>5.83862275449102</v>
      </c>
      <c r="O641" s="14" t="n">
        <f aca="false">IFERROR(H641/K641,0)</f>
        <v>97.505</v>
      </c>
      <c r="P641" s="15" t="n">
        <f aca="false">IFERROR(L641/H641,0)</f>
        <v>18.419881031742</v>
      </c>
      <c r="Q641" s="13" t="n">
        <f aca="false">IFERROR(K641/J641,0)</f>
        <v>0.0598802395209581</v>
      </c>
      <c r="R641" s="11" t="str">
        <f aca="false">IF(COUNTIF($A$2:A641,A641)&gt;1,"Duplicate - Remove","Unique")</f>
        <v>Unique</v>
      </c>
      <c r="S641" s="11" t="str">
        <f aca="false">TRIM(IF(Raw_Data!G641="","Region missing; ","")&amp;IF(Raw_Data!H641="","Spend imputed; ","")&amp;IF(Raw_Data!L641="","Revenue imputed; ","")&amp;IF(Raw_Data!J641&lt;0,"Clicks corrected; ",""))</f>
        <v/>
      </c>
    </row>
    <row r="642" customFormat="false" ht="15" hidden="false" customHeight="true" outlineLevel="0" collapsed="false">
      <c r="A642" s="11" t="n">
        <f aca="false">Raw_Data!A642</f>
        <v>1024</v>
      </c>
      <c r="B642" s="11" t="str">
        <f aca="false">PROPER(TRIM(Raw_Data!B642))</f>
        <v>Ayurvedic Range Launch</v>
      </c>
      <c r="C642" s="11" t="str">
        <f aca="false">IFERROR(INDEX(Lookup_Tables!$B$2:$B$26,MATCH(UPPER(TRIM(Raw_Data!C642)),Lookup_Tables!$C$2:$C$26,0)),"Unknown")</f>
        <v>Google Ads</v>
      </c>
      <c r="D642" s="12" t="n">
        <f aca="false">IFERROR(IF(ISNUMBER(SEARCH("/",Raw_Data!D642)),DATE(VALUE(RIGHT(Raw_Data!D642,4)),VALUE(MID(Raw_Data!D642,FIND("/",Raw_Data!D642)+1,FIND("/",Raw_Data!D642,FIND("/",Raw_Data!D642)+1)-FIND("/",Raw_Data!D642)-1)),VALUE(LEFT(Raw_Data!D642,FIND("/",Raw_Data!D642)-1))),IF(ISNUMBER(VALUE(LEFT(Raw_Data!D642,4))),DATE(VALUE(LEFT(Raw_Data!D642,4)),VALUE(MID(Raw_Data!D642,6,2)),VALUE(MID(Raw_Data!D642,9,2))),DATEVALUE(Raw_Data!D642))),"")</f>
        <v>45367</v>
      </c>
      <c r="E642" s="12" t="n">
        <f aca="false">IFERROR(IF(ISNUMBER(SEARCH("/",Raw_Data!E642)),DATE(VALUE(RIGHT(Raw_Data!E642,4)),VALUE(MID(Raw_Data!E642,FIND("/",Raw_Data!E642)+1,FIND("/",Raw_Data!E642,FIND("/",Raw_Data!E642)+1)-FIND("/",Raw_Data!E642)-1)),VALUE(LEFT(Raw_Data!E642,FIND("/",Raw_Data!E642)-1))),IF(ISNUMBER(VALUE(LEFT(Raw_Data!E642,4))),DATE(VALUE(LEFT(Raw_Data!E642,4)),VALUE(MID(Raw_Data!E642,6,2)),VALUE(MID(Raw_Data!E642,9,2))),DATEVALUE(Raw_Data!E642))),"")</f>
        <v>45372</v>
      </c>
      <c r="F642" s="11" t="str">
        <f aca="false">Raw_Data!F642</f>
        <v>Male 18-24</v>
      </c>
      <c r="G642" s="11" t="str">
        <f aca="false">IF(TRIM(Raw_Data!G642)="","Unspecified",IFERROR(INDEX(Lookup_Tables!$F$2:$F$24,MATCH(UPPER(TRIM(Raw_Data!G642)),Lookup_Tables!$G$2:$G$24,0)),"Unknown"))</f>
        <v>South</v>
      </c>
      <c r="H642" s="11" t="n">
        <f aca="false">IF(Raw_Data!H642="",ROUND(AVERAGEIFS(Raw_Data!$H$2:$H$839,Raw_Data!$C$2:$C$839,Raw_Data!C642),2),Raw_Data!H642)</f>
        <v>27138.98</v>
      </c>
      <c r="I642" s="11" t="n">
        <f aca="false">Raw_Data!I642</f>
        <v>729452</v>
      </c>
      <c r="J642" s="11" t="n">
        <f aca="false">IF(Raw_Data!J642&lt;0,ABS(Raw_Data!J642),Raw_Data!J642)</f>
        <v>22242</v>
      </c>
      <c r="K642" s="11" t="n">
        <f aca="false">Raw_Data!K642</f>
        <v>335</v>
      </c>
      <c r="L642" s="11" t="n">
        <f aca="false">IF(Raw_Data!L642="",ROUND(AVERAGEIFS(Raw_Data!$L$2:$L$839,Raw_Data!$C$2:$C$839,Raw_Data!C642),2),Raw_Data!L642)</f>
        <v>318564.72</v>
      </c>
      <c r="M642" s="13" t="n">
        <f aca="false">IFERROR(J642/I642,0)</f>
        <v>0.0304913825721226</v>
      </c>
      <c r="N642" s="14" t="n">
        <f aca="false">IFERROR(H642/J642,0)</f>
        <v>1.22016815034619</v>
      </c>
      <c r="O642" s="14" t="n">
        <f aca="false">IFERROR(H642/K642,0)</f>
        <v>81.0118805970149</v>
      </c>
      <c r="P642" s="15" t="n">
        <f aca="false">IFERROR(L642/H642,0)</f>
        <v>11.7382716668055</v>
      </c>
      <c r="Q642" s="13" t="n">
        <f aca="false">IFERROR(K642/J642,0)</f>
        <v>0.0150615951802895</v>
      </c>
      <c r="R642" s="11" t="str">
        <f aca="false">IF(COUNTIF($A$2:A642,A642)&gt;1,"Duplicate - Remove","Unique")</f>
        <v>Unique</v>
      </c>
      <c r="S642" s="11" t="str">
        <f aca="false">TRIM(IF(Raw_Data!G642="","Region missing; ","")&amp;IF(Raw_Data!H642="","Spend imputed; ","")&amp;IF(Raw_Data!L642="","Revenue imputed; ","")&amp;IF(Raw_Data!J642&lt;0,"Clicks corrected; ",""))</f>
        <v/>
      </c>
    </row>
    <row r="643" customFormat="false" ht="15" hidden="false" customHeight="true" outlineLevel="0" collapsed="false">
      <c r="A643" s="11" t="n">
        <f aca="false">Raw_Data!A643</f>
        <v>1197</v>
      </c>
      <c r="B643" s="11" t="str">
        <f aca="false">PROPER(TRIM(Raw_Data!B643))</f>
        <v>Ayurvedic Range Launch</v>
      </c>
      <c r="C643" s="11" t="str">
        <f aca="false">IFERROR(INDEX(Lookup_Tables!$B$2:$B$26,MATCH(UPPER(TRIM(Raw_Data!C643)),Lookup_Tables!$C$2:$C$26,0)),"Unknown")</f>
        <v>Instagram</v>
      </c>
      <c r="D643" s="12" t="n">
        <f aca="false">IFERROR(IF(ISNUMBER(SEARCH("/",Raw_Data!D643)),DATE(VALUE(RIGHT(Raw_Data!D643,4)),VALUE(MID(Raw_Data!D643,FIND("/",Raw_Data!D643)+1,FIND("/",Raw_Data!D643,FIND("/",Raw_Data!D643)+1)-FIND("/",Raw_Data!D643)-1)),VALUE(LEFT(Raw_Data!D643,FIND("/",Raw_Data!D643)-1))),IF(ISNUMBER(VALUE(LEFT(Raw_Data!D643,4))),DATE(VALUE(LEFT(Raw_Data!D643,4)),VALUE(MID(Raw_Data!D643,6,2)),VALUE(MID(Raw_Data!D643,9,2))),DATEVALUE(Raw_Data!D643))),"")</f>
        <v>45465</v>
      </c>
      <c r="E643" s="12" t="n">
        <f aca="false">IFERROR(IF(ISNUMBER(SEARCH("/",Raw_Data!E643)),DATE(VALUE(RIGHT(Raw_Data!E643,4)),VALUE(MID(Raw_Data!E643,FIND("/",Raw_Data!E643)+1,FIND("/",Raw_Data!E643,FIND("/",Raw_Data!E643)+1)-FIND("/",Raw_Data!E643)-1)),VALUE(LEFT(Raw_Data!E643,FIND("/",Raw_Data!E643)-1))),IF(ISNUMBER(VALUE(LEFT(Raw_Data!E643,4))),DATE(VALUE(LEFT(Raw_Data!E643,4)),VALUE(MID(Raw_Data!E643,6,2)),VALUE(MID(Raw_Data!E643,9,2))),DATEVALUE(Raw_Data!E643))),"")</f>
        <v>45486</v>
      </c>
      <c r="F643" s="11" t="str">
        <f aca="false">Raw_Data!F643</f>
        <v>Male 18-24</v>
      </c>
      <c r="G643" s="11" t="str">
        <f aca="false">IF(TRIM(Raw_Data!G643)="","Unspecified",IFERROR(INDEX(Lookup_Tables!$F$2:$F$24,MATCH(UPPER(TRIM(Raw_Data!G643)),Lookup_Tables!$G$2:$G$24,0)),"Unknown"))</f>
        <v>Central</v>
      </c>
      <c r="H643" s="11" t="n">
        <f aca="false">IF(Raw_Data!H643="",ROUND(AVERAGEIFS(Raw_Data!$H$2:$H$839,Raw_Data!$C$2:$C$839,Raw_Data!C643),2),Raw_Data!H643)</f>
        <v>43788.57</v>
      </c>
      <c r="I643" s="11" t="n">
        <f aca="false">Raw_Data!I643</f>
        <v>1333623</v>
      </c>
      <c r="J643" s="11" t="n">
        <f aca="false">IF(Raw_Data!J643&lt;0,ABS(Raw_Data!J643),Raw_Data!J643)</f>
        <v>23985</v>
      </c>
      <c r="K643" s="11" t="n">
        <f aca="false">Raw_Data!K643</f>
        <v>1459</v>
      </c>
      <c r="L643" s="11" t="n">
        <f aca="false">IF(Raw_Data!L643="",ROUND(AVERAGEIFS(Raw_Data!$L$2:$L$839,Raw_Data!$C$2:$C$839,Raw_Data!C643),2),Raw_Data!L643)</f>
        <v>1530196.33</v>
      </c>
      <c r="M643" s="13" t="n">
        <f aca="false">IFERROR(J643/I643,0)</f>
        <v>0.0179848427929032</v>
      </c>
      <c r="N643" s="14" t="n">
        <f aca="false">IFERROR(H643/J643,0)</f>
        <v>1.82566479049406</v>
      </c>
      <c r="O643" s="14" t="n">
        <f aca="false">IFERROR(H643/K643,0)</f>
        <v>30.0127278958191</v>
      </c>
      <c r="P643" s="15" t="n">
        <f aca="false">IFERROR(L643/H643,0)</f>
        <v>34.9451085066263</v>
      </c>
      <c r="Q643" s="13" t="n">
        <f aca="false">IFERROR(K643/J643,0)</f>
        <v>0.0608296852199291</v>
      </c>
      <c r="R643" s="11" t="str">
        <f aca="false">IF(COUNTIF($A$2:A643,A643)&gt;1,"Duplicate - Remove","Unique")</f>
        <v>Unique</v>
      </c>
      <c r="S643" s="11" t="str">
        <f aca="false">TRIM(IF(Raw_Data!G643="","Region missing; ","")&amp;IF(Raw_Data!H643="","Spend imputed; ","")&amp;IF(Raw_Data!L643="","Revenue imputed; ","")&amp;IF(Raw_Data!J643&lt;0,"Clicks corrected; ",""))</f>
        <v/>
      </c>
    </row>
    <row r="644" customFormat="false" ht="15" hidden="false" customHeight="true" outlineLevel="0" collapsed="false">
      <c r="A644" s="11" t="n">
        <f aca="false">Raw_Data!A644</f>
        <v>1301</v>
      </c>
      <c r="B644" s="11" t="str">
        <f aca="false">PROPER(TRIM(Raw_Data!B644))</f>
        <v>Hair Care Revamp</v>
      </c>
      <c r="C644" s="11" t="str">
        <f aca="false">IFERROR(INDEX(Lookup_Tables!$B$2:$B$26,MATCH(UPPER(TRIM(Raw_Data!C644)),Lookup_Tables!$C$2:$C$26,0)),"Unknown")</f>
        <v>Google Ads</v>
      </c>
      <c r="D644" s="12" t="n">
        <f aca="false">IFERROR(IF(ISNUMBER(SEARCH("/",Raw_Data!D644)),DATE(VALUE(RIGHT(Raw_Data!D644,4)),VALUE(MID(Raw_Data!D644,FIND("/",Raw_Data!D644)+1,FIND("/",Raw_Data!D644,FIND("/",Raw_Data!D644)+1)-FIND("/",Raw_Data!D644)-1)),VALUE(LEFT(Raw_Data!D644,FIND("/",Raw_Data!D644)-1))),IF(ISNUMBER(VALUE(LEFT(Raw_Data!D644,4))),DATE(VALUE(LEFT(Raw_Data!D644,4)),VALUE(MID(Raw_Data!D644,6,2)),VALUE(MID(Raw_Data!D644,9,2))),DATEVALUE(Raw_Data!D644))),"")</f>
        <v>45616</v>
      </c>
      <c r="E644" s="12" t="n">
        <f aca="false">IFERROR(IF(ISNUMBER(SEARCH("/",Raw_Data!E644)),DATE(VALUE(RIGHT(Raw_Data!E644,4)),VALUE(MID(Raw_Data!E644,FIND("/",Raw_Data!E644)+1,FIND("/",Raw_Data!E644,FIND("/",Raw_Data!E644)+1)-FIND("/",Raw_Data!E644)-1)),VALUE(LEFT(Raw_Data!E644,FIND("/",Raw_Data!E644)-1))),IF(ISNUMBER(VALUE(LEFT(Raw_Data!E644,4))),DATE(VALUE(LEFT(Raw_Data!E644,4)),VALUE(MID(Raw_Data!E644,6,2)),VALUE(MID(Raw_Data!E644,9,2))),DATEVALUE(Raw_Data!E644))),"")</f>
        <v>45638</v>
      </c>
      <c r="F644" s="11" t="str">
        <f aca="false">Raw_Data!F644</f>
        <v>Female 25-34</v>
      </c>
      <c r="G644" s="11" t="str">
        <f aca="false">IF(TRIM(Raw_Data!G644)="","Unspecified",IFERROR(INDEX(Lookup_Tables!$F$2:$F$24,MATCH(UPPER(TRIM(Raw_Data!G644)),Lookup_Tables!$G$2:$G$24,0)),"Unknown"))</f>
        <v>North</v>
      </c>
      <c r="H644" s="11" t="n">
        <f aca="false">IF(Raw_Data!H644="",ROUND(AVERAGEIFS(Raw_Data!$H$2:$H$839,Raw_Data!$C$2:$C$839,Raw_Data!C644),2),Raw_Data!H644)</f>
        <v>31874.98</v>
      </c>
      <c r="I644" s="11" t="n">
        <f aca="false">Raw_Data!I644</f>
        <v>520179</v>
      </c>
      <c r="J644" s="11" t="n">
        <f aca="false">IF(Raw_Data!J644&lt;0,ABS(Raw_Data!J644),Raw_Data!J644)</f>
        <v>7962</v>
      </c>
      <c r="K644" s="11" t="n">
        <f aca="false">Raw_Data!K644</f>
        <v>513</v>
      </c>
      <c r="L644" s="11" t="n">
        <f aca="false">IF(Raw_Data!L644="",ROUND(AVERAGEIFS(Raw_Data!$L$2:$L$839,Raw_Data!$C$2:$C$839,Raw_Data!C644),2),Raw_Data!L644)</f>
        <v>528318.06</v>
      </c>
      <c r="M644" s="13" t="n">
        <f aca="false">IFERROR(J644/I644,0)</f>
        <v>0.0153062695725894</v>
      </c>
      <c r="N644" s="14" t="n">
        <f aca="false">IFERROR(H644/J644,0)</f>
        <v>4.00338859583019</v>
      </c>
      <c r="O644" s="14" t="n">
        <f aca="false">IFERROR(H644/K644,0)</f>
        <v>62.1344639376218</v>
      </c>
      <c r="P644" s="15" t="n">
        <f aca="false">IFERROR(L644/H644,0)</f>
        <v>16.5746946351025</v>
      </c>
      <c r="Q644" s="13" t="n">
        <f aca="false">IFERROR(K644/J644,0)</f>
        <v>0.0644310474755087</v>
      </c>
      <c r="R644" s="11" t="str">
        <f aca="false">IF(COUNTIF($A$2:A644,A644)&gt;1,"Duplicate - Remove","Unique")</f>
        <v>Unique</v>
      </c>
      <c r="S644" s="11" t="str">
        <f aca="false">TRIM(IF(Raw_Data!G644="","Region missing; ","")&amp;IF(Raw_Data!H644="","Spend imputed; ","")&amp;IF(Raw_Data!L644="","Revenue imputed; ","")&amp;IF(Raw_Data!J644&lt;0,"Clicks corrected; ",""))</f>
        <v/>
      </c>
    </row>
    <row r="645" customFormat="false" ht="15" hidden="false" customHeight="true" outlineLevel="0" collapsed="false">
      <c r="A645" s="11" t="n">
        <f aca="false">Raw_Data!A645</f>
        <v>1650</v>
      </c>
      <c r="B645" s="11" t="str">
        <f aca="false">PROPER(TRIM(Raw_Data!B645))</f>
        <v>Men'S Grooming Drive</v>
      </c>
      <c r="C645" s="11" t="str">
        <f aca="false">IFERROR(INDEX(Lookup_Tables!$B$2:$B$26,MATCH(UPPER(TRIM(Raw_Data!C645)),Lookup_Tables!$C$2:$C$26,0)),"Unknown")</f>
        <v>Instagram</v>
      </c>
      <c r="D645" s="12" t="n">
        <f aca="false">IFERROR(IF(ISNUMBER(SEARCH("/",Raw_Data!D645)),DATE(VALUE(RIGHT(Raw_Data!D645,4)),VALUE(MID(Raw_Data!D645,FIND("/",Raw_Data!D645)+1,FIND("/",Raw_Data!D645,FIND("/",Raw_Data!D645)+1)-FIND("/",Raw_Data!D645)-1)),VALUE(LEFT(Raw_Data!D645,FIND("/",Raw_Data!D645)-1))),IF(ISNUMBER(VALUE(LEFT(Raw_Data!D645,4))),DATE(VALUE(LEFT(Raw_Data!D645,4)),VALUE(MID(Raw_Data!D645,6,2)),VALUE(MID(Raw_Data!D645,9,2))),DATEVALUE(Raw_Data!D645))),"")</f>
        <v>45458</v>
      </c>
      <c r="E645" s="12" t="n">
        <f aca="false">IFERROR(IF(ISNUMBER(SEARCH("/",Raw_Data!E645)),DATE(VALUE(RIGHT(Raw_Data!E645,4)),VALUE(MID(Raw_Data!E645,FIND("/",Raw_Data!E645)+1,FIND("/",Raw_Data!E645,FIND("/",Raw_Data!E645)+1)-FIND("/",Raw_Data!E645)-1)),VALUE(LEFT(Raw_Data!E645,FIND("/",Raw_Data!E645)-1))),IF(ISNUMBER(VALUE(LEFT(Raw_Data!E645,4))),DATE(VALUE(LEFT(Raw_Data!E645,4)),VALUE(MID(Raw_Data!E645,6,2)),VALUE(MID(Raw_Data!E645,9,2))),DATEVALUE(Raw_Data!E645))),"")</f>
        <v>45487</v>
      </c>
      <c r="F645" s="11" t="str">
        <f aca="false">Raw_Data!F645</f>
        <v>Female 25-34</v>
      </c>
      <c r="G645" s="11" t="str">
        <f aca="false">IF(TRIM(Raw_Data!G645)="","Unspecified",IFERROR(INDEX(Lookup_Tables!$F$2:$F$24,MATCH(UPPER(TRIM(Raw_Data!G645)),Lookup_Tables!$G$2:$G$24,0)),"Unknown"))</f>
        <v>East</v>
      </c>
      <c r="H645" s="11" t="n">
        <f aca="false">IF(Raw_Data!H645="",ROUND(AVERAGEIFS(Raw_Data!$H$2:$H$839,Raw_Data!$C$2:$C$839,Raw_Data!C645),2),Raw_Data!H645)</f>
        <v>29516.42</v>
      </c>
      <c r="I645" s="11" t="n">
        <f aca="false">Raw_Data!I645</f>
        <v>554740</v>
      </c>
      <c r="J645" s="11" t="n">
        <f aca="false">IF(Raw_Data!J645&lt;0,ABS(Raw_Data!J645),Raw_Data!J645)</f>
        <v>5277</v>
      </c>
      <c r="K645" s="11" t="n">
        <f aca="false">Raw_Data!K645</f>
        <v>163</v>
      </c>
      <c r="L645" s="11" t="n">
        <f aca="false">IF(Raw_Data!L645="",ROUND(AVERAGEIFS(Raw_Data!$L$2:$L$839,Raw_Data!$C$2:$C$839,Raw_Data!C645),2),Raw_Data!L645)</f>
        <v>104318.65</v>
      </c>
      <c r="M645" s="13" t="n">
        <f aca="false">IFERROR(J645/I645,0)</f>
        <v>0.00951256444460468</v>
      </c>
      <c r="N645" s="14" t="n">
        <f aca="false">IFERROR(H645/J645,0)</f>
        <v>5.59340913397764</v>
      </c>
      <c r="O645" s="14" t="n">
        <f aca="false">IFERROR(H645/K645,0)</f>
        <v>181.082331288344</v>
      </c>
      <c r="P645" s="15" t="n">
        <f aca="false">IFERROR(L645/H645,0)</f>
        <v>3.53425821966214</v>
      </c>
      <c r="Q645" s="13" t="n">
        <f aca="false">IFERROR(K645/J645,0)</f>
        <v>0.0308887625544817</v>
      </c>
      <c r="R645" s="11" t="str">
        <f aca="false">IF(COUNTIF($A$2:A645,A645)&gt;1,"Duplicate - Remove","Unique")</f>
        <v>Unique</v>
      </c>
      <c r="S645" s="11" t="str">
        <f aca="false">TRIM(IF(Raw_Data!G645="","Region missing; ","")&amp;IF(Raw_Data!H645="","Spend imputed; ","")&amp;IF(Raw_Data!L645="","Revenue imputed; ","")&amp;IF(Raw_Data!J645&lt;0,"Clicks corrected; ",""))</f>
        <v/>
      </c>
    </row>
    <row r="646" customFormat="false" ht="15" hidden="false" customHeight="true" outlineLevel="0" collapsed="false">
      <c r="A646" s="11" t="n">
        <f aca="false">Raw_Data!A646</f>
        <v>1557</v>
      </c>
      <c r="B646" s="11" t="str">
        <f aca="false">PROPER(TRIM(Raw_Data!B646))</f>
        <v>Wedding Season Special</v>
      </c>
      <c r="C646" s="11" t="str">
        <f aca="false">IFERROR(INDEX(Lookup_Tables!$B$2:$B$26,MATCH(UPPER(TRIM(Raw_Data!C646)),Lookup_Tables!$C$2:$C$26,0)),"Unknown")</f>
        <v>Instagram</v>
      </c>
      <c r="D646" s="12" t="n">
        <f aca="false">IFERROR(IF(ISNUMBER(SEARCH("/",Raw_Data!D646)),DATE(VALUE(RIGHT(Raw_Data!D646,4)),VALUE(MID(Raw_Data!D646,FIND("/",Raw_Data!D646)+1,FIND("/",Raw_Data!D646,FIND("/",Raw_Data!D646)+1)-FIND("/",Raw_Data!D646)-1)),VALUE(LEFT(Raw_Data!D646,FIND("/",Raw_Data!D646)-1))),IF(ISNUMBER(VALUE(LEFT(Raw_Data!D646,4))),DATE(VALUE(LEFT(Raw_Data!D646,4)),VALUE(MID(Raw_Data!D646,6,2)),VALUE(MID(Raw_Data!D646,9,2))),DATEVALUE(Raw_Data!D646))),"")</f>
        <v>45488</v>
      </c>
      <c r="E646" s="12" t="n">
        <f aca="false">IFERROR(IF(ISNUMBER(SEARCH("/",Raw_Data!E646)),DATE(VALUE(RIGHT(Raw_Data!E646,4)),VALUE(MID(Raw_Data!E646,FIND("/",Raw_Data!E646)+1,FIND("/",Raw_Data!E646,FIND("/",Raw_Data!E646)+1)-FIND("/",Raw_Data!E646)-1)),VALUE(LEFT(Raw_Data!E646,FIND("/",Raw_Data!E646)-1))),IF(ISNUMBER(VALUE(LEFT(Raw_Data!E646,4))),DATE(VALUE(LEFT(Raw_Data!E646,4)),VALUE(MID(Raw_Data!E646,6,2)),VALUE(MID(Raw_Data!E646,9,2))),DATEVALUE(Raw_Data!E646))),"")</f>
        <v>45517</v>
      </c>
      <c r="F646" s="11" t="str">
        <f aca="false">Raw_Data!F646</f>
        <v>Female 35-44</v>
      </c>
      <c r="G646" s="11" t="str">
        <f aca="false">IF(TRIM(Raw_Data!G646)="","Unspecified",IFERROR(INDEX(Lookup_Tables!$F$2:$F$24,MATCH(UPPER(TRIM(Raw_Data!G646)),Lookup_Tables!$G$2:$G$24,0)),"Unknown"))</f>
        <v>South</v>
      </c>
      <c r="H646" s="11" t="n">
        <f aca="false">IF(Raw_Data!H646="",ROUND(AVERAGEIFS(Raw_Data!$H$2:$H$839,Raw_Data!$C$2:$C$839,Raw_Data!C646),2),Raw_Data!H646)</f>
        <v>55963.54</v>
      </c>
      <c r="I646" s="11" t="n">
        <f aca="false">Raw_Data!I646</f>
        <v>926093</v>
      </c>
      <c r="J646" s="11" t="n">
        <f aca="false">IF(Raw_Data!J646&lt;0,ABS(Raw_Data!J646),Raw_Data!J646)</f>
        <v>11589</v>
      </c>
      <c r="K646" s="11" t="n">
        <f aca="false">Raw_Data!K646</f>
        <v>146</v>
      </c>
      <c r="L646" s="11" t="n">
        <f aca="false">IF(Raw_Data!L646="",ROUND(AVERAGEIFS(Raw_Data!$L$2:$L$839,Raw_Data!$C$2:$C$839,Raw_Data!C646),2),Raw_Data!L646)</f>
        <v>209861.23</v>
      </c>
      <c r="M646" s="13" t="n">
        <f aca="false">IFERROR(J646/I646,0)</f>
        <v>0.0125138619987409</v>
      </c>
      <c r="N646" s="14" t="n">
        <f aca="false">IFERROR(H646/J646,0)</f>
        <v>4.82902234877902</v>
      </c>
      <c r="O646" s="14" t="n">
        <f aca="false">IFERROR(H646/K646,0)</f>
        <v>383.311917808219</v>
      </c>
      <c r="P646" s="15" t="n">
        <f aca="false">IFERROR(L646/H646,0)</f>
        <v>3.74996345835163</v>
      </c>
      <c r="Q646" s="13" t="n">
        <f aca="false">IFERROR(K646/J646,0)</f>
        <v>0.0125981534213478</v>
      </c>
      <c r="R646" s="11" t="str">
        <f aca="false">IF(COUNTIF($A$2:A646,A646)&gt;1,"Duplicate - Remove","Unique")</f>
        <v>Unique</v>
      </c>
      <c r="S646" s="11" t="str">
        <f aca="false">TRIM(IF(Raw_Data!G646="","Region missing; ","")&amp;IF(Raw_Data!H646="","Spend imputed; ","")&amp;IF(Raw_Data!L646="","Revenue imputed; ","")&amp;IF(Raw_Data!J646&lt;0,"Clicks corrected; ",""))</f>
        <v/>
      </c>
    </row>
    <row r="647" customFormat="false" ht="15" hidden="false" customHeight="true" outlineLevel="0" collapsed="false">
      <c r="A647" s="11" t="n">
        <f aca="false">Raw_Data!A647</f>
        <v>1349</v>
      </c>
      <c r="B647" s="11" t="str">
        <f aca="false">PROPER(TRIM(Raw_Data!B647))</f>
        <v>Ayurvedic Range Launch</v>
      </c>
      <c r="C647" s="11" t="str">
        <f aca="false">IFERROR(INDEX(Lookup_Tables!$B$2:$B$26,MATCH(UPPER(TRIM(Raw_Data!C647)),Lookup_Tables!$C$2:$C$26,0)),"Unknown")</f>
        <v>Email</v>
      </c>
      <c r="D647" s="12" t="n">
        <f aca="false">IFERROR(IF(ISNUMBER(SEARCH("/",Raw_Data!D647)),DATE(VALUE(RIGHT(Raw_Data!D647,4)),VALUE(MID(Raw_Data!D647,FIND("/",Raw_Data!D647)+1,FIND("/",Raw_Data!D647,FIND("/",Raw_Data!D647)+1)-FIND("/",Raw_Data!D647)-1)),VALUE(LEFT(Raw_Data!D647,FIND("/",Raw_Data!D647)-1))),IF(ISNUMBER(VALUE(LEFT(Raw_Data!D647,4))),DATE(VALUE(LEFT(Raw_Data!D647,4)),VALUE(MID(Raw_Data!D647,6,2)),VALUE(MID(Raw_Data!D647,9,2))),DATEVALUE(Raw_Data!D647))),"")</f>
        <v>45383</v>
      </c>
      <c r="E647" s="12" t="n">
        <f aca="false">IFERROR(IF(ISNUMBER(SEARCH("/",Raw_Data!E647)),DATE(VALUE(RIGHT(Raw_Data!E647,4)),VALUE(MID(Raw_Data!E647,FIND("/",Raw_Data!E647)+1,FIND("/",Raw_Data!E647,FIND("/",Raw_Data!E647)+1)-FIND("/",Raw_Data!E647)-1)),VALUE(LEFT(Raw_Data!E647,FIND("/",Raw_Data!E647)-1))),IF(ISNUMBER(VALUE(LEFT(Raw_Data!E647,4))),DATE(VALUE(LEFT(Raw_Data!E647,4)),VALUE(MID(Raw_Data!E647,6,2)),VALUE(MID(Raw_Data!E647,9,2))),DATEVALUE(Raw_Data!E647))),"")</f>
        <v>45400</v>
      </c>
      <c r="F647" s="11" t="str">
        <f aca="false">Raw_Data!F647</f>
        <v>Female 18-24</v>
      </c>
      <c r="G647" s="11" t="str">
        <f aca="false">IF(TRIM(Raw_Data!G647)="","Unspecified",IFERROR(INDEX(Lookup_Tables!$F$2:$F$24,MATCH(UPPER(TRIM(Raw_Data!G647)),Lookup_Tables!$G$2:$G$24,0)),"Unknown"))</f>
        <v>North</v>
      </c>
      <c r="H647" s="11" t="n">
        <f aca="false">IF(Raw_Data!H647="",ROUND(AVERAGEIFS(Raw_Data!$H$2:$H$839,Raw_Data!$C$2:$C$839,Raw_Data!C647),2),Raw_Data!H647)</f>
        <v>5754.43</v>
      </c>
      <c r="I647" s="11" t="n">
        <f aca="false">Raw_Data!I647</f>
        <v>108289</v>
      </c>
      <c r="J647" s="11" t="n">
        <f aca="false">IF(Raw_Data!J647&lt;0,ABS(Raw_Data!J647),Raw_Data!J647)</f>
        <v>2562</v>
      </c>
      <c r="K647" s="11" t="n">
        <f aca="false">Raw_Data!K647</f>
        <v>42</v>
      </c>
      <c r="L647" s="11" t="n">
        <f aca="false">IF(Raw_Data!L647="",ROUND(AVERAGEIFS(Raw_Data!$L$2:$L$839,Raw_Data!$C$2:$C$839,Raw_Data!C647),2),Raw_Data!L647)</f>
        <v>19359.9</v>
      </c>
      <c r="M647" s="13" t="n">
        <f aca="false">IFERROR(J647/I647,0)</f>
        <v>0.0236589127242841</v>
      </c>
      <c r="N647" s="14" t="n">
        <f aca="false">IFERROR(H647/J647,0)</f>
        <v>2.24606947697112</v>
      </c>
      <c r="O647" s="14" t="n">
        <f aca="false">IFERROR(H647/K647,0)</f>
        <v>137.010238095238</v>
      </c>
      <c r="P647" s="15" t="n">
        <f aca="false">IFERROR(L647/H647,0)</f>
        <v>3.36434712039246</v>
      </c>
      <c r="Q647" s="13" t="n">
        <f aca="false">IFERROR(K647/J647,0)</f>
        <v>0.0163934426229508</v>
      </c>
      <c r="R647" s="11" t="str">
        <f aca="false">IF(COUNTIF($A$2:A647,A647)&gt;1,"Duplicate - Remove","Unique")</f>
        <v>Unique</v>
      </c>
      <c r="S647" s="11" t="str">
        <f aca="false">TRIM(IF(Raw_Data!G647="","Region missing; ","")&amp;IF(Raw_Data!H647="","Spend imputed; ","")&amp;IF(Raw_Data!L647="","Revenue imputed; ","")&amp;IF(Raw_Data!J647&lt;0,"Clicks corrected; ",""))</f>
        <v/>
      </c>
    </row>
    <row r="648" customFormat="false" ht="15" hidden="false" customHeight="true" outlineLevel="0" collapsed="false">
      <c r="A648" s="11" t="n">
        <f aca="false">Raw_Data!A648</f>
        <v>1669</v>
      </c>
      <c r="B648" s="11" t="str">
        <f aca="false">PROPER(TRIM(Raw_Data!B648))</f>
        <v>Men'S Grooming Drive</v>
      </c>
      <c r="C648" s="11" t="str">
        <f aca="false">IFERROR(INDEX(Lookup_Tables!$B$2:$B$26,MATCH(UPPER(TRIM(Raw_Data!C648)),Lookup_Tables!$C$2:$C$26,0)),"Unknown")</f>
        <v>Instagram</v>
      </c>
      <c r="D648" s="12" t="n">
        <f aca="false">IFERROR(IF(ISNUMBER(SEARCH("/",Raw_Data!D648)),DATE(VALUE(RIGHT(Raw_Data!D648,4)),VALUE(MID(Raw_Data!D648,FIND("/",Raw_Data!D648)+1,FIND("/",Raw_Data!D648,FIND("/",Raw_Data!D648)+1)-FIND("/",Raw_Data!D648)-1)),VALUE(LEFT(Raw_Data!D648,FIND("/",Raw_Data!D648)-1))),IF(ISNUMBER(VALUE(LEFT(Raw_Data!D648,4))),DATE(VALUE(LEFT(Raw_Data!D648,4)),VALUE(MID(Raw_Data!D648,6,2)),VALUE(MID(Raw_Data!D648,9,2))),DATEVALUE(Raw_Data!D648))),"")</f>
        <v>45445</v>
      </c>
      <c r="E648" s="12" t="n">
        <f aca="false">IFERROR(IF(ISNUMBER(SEARCH("/",Raw_Data!E648)),DATE(VALUE(RIGHT(Raw_Data!E648,4)),VALUE(MID(Raw_Data!E648,FIND("/",Raw_Data!E648)+1,FIND("/",Raw_Data!E648,FIND("/",Raw_Data!E648)+1)-FIND("/",Raw_Data!E648)-1)),VALUE(LEFT(Raw_Data!E648,FIND("/",Raw_Data!E648)-1))),IF(ISNUMBER(VALUE(LEFT(Raw_Data!E648,4))),DATE(VALUE(LEFT(Raw_Data!E648,4)),VALUE(MID(Raw_Data!E648,6,2)),VALUE(MID(Raw_Data!E648,9,2))),DATEVALUE(Raw_Data!E648))),"")</f>
        <v>45450</v>
      </c>
      <c r="F648" s="11" t="str">
        <f aca="false">Raw_Data!F648</f>
        <v>Female 35-44</v>
      </c>
      <c r="G648" s="11" t="str">
        <f aca="false">IF(TRIM(Raw_Data!G648)="","Unspecified",IFERROR(INDEX(Lookup_Tables!$F$2:$F$24,MATCH(UPPER(TRIM(Raw_Data!G648)),Lookup_Tables!$G$2:$G$24,0)),"Unknown"))</f>
        <v>West</v>
      </c>
      <c r="H648" s="11" t="n">
        <f aca="false">IF(Raw_Data!H648="",ROUND(AVERAGEIFS(Raw_Data!$H$2:$H$839,Raw_Data!$C$2:$C$839,Raw_Data!C648),2),Raw_Data!H648)</f>
        <v>21069.12</v>
      </c>
      <c r="I648" s="11" t="n">
        <f aca="false">Raw_Data!I648</f>
        <v>608769</v>
      </c>
      <c r="J648" s="11" t="n">
        <f aca="false">IF(Raw_Data!J648&lt;0,ABS(Raw_Data!J648),Raw_Data!J648)</f>
        <v>8734</v>
      </c>
      <c r="K648" s="11" t="n">
        <f aca="false">Raw_Data!K648</f>
        <v>651</v>
      </c>
      <c r="L648" s="11" t="n">
        <f aca="false">IF(Raw_Data!L648="",ROUND(AVERAGEIFS(Raw_Data!$L$2:$L$839,Raw_Data!$C$2:$C$839,Raw_Data!C648),2),Raw_Data!L648)</f>
        <v>806602.04</v>
      </c>
      <c r="M648" s="13" t="n">
        <f aca="false">IFERROR(J648/I648,0)</f>
        <v>0.0143469854739647</v>
      </c>
      <c r="N648" s="14" t="n">
        <f aca="false">IFERROR(H648/J648,0)</f>
        <v>2.41231051064804</v>
      </c>
      <c r="O648" s="14" t="n">
        <f aca="false">IFERROR(H648/K648,0)</f>
        <v>32.3642396313364</v>
      </c>
      <c r="P648" s="15" t="n">
        <f aca="false">IFERROR(L648/H648,0)</f>
        <v>38.283613174162</v>
      </c>
      <c r="Q648" s="13" t="n">
        <f aca="false">IFERROR(K648/J648,0)</f>
        <v>0.0745362949393176</v>
      </c>
      <c r="R648" s="11" t="str">
        <f aca="false">IF(COUNTIF($A$2:A648,A648)&gt;1,"Duplicate - Remove","Unique")</f>
        <v>Unique</v>
      </c>
      <c r="S648" s="11" t="str">
        <f aca="false">TRIM(IF(Raw_Data!G648="","Region missing; ","")&amp;IF(Raw_Data!H648="","Spend imputed; ","")&amp;IF(Raw_Data!L648="","Revenue imputed; ","")&amp;IF(Raw_Data!J648&lt;0,"Clicks corrected; ",""))</f>
        <v/>
      </c>
    </row>
    <row r="649" customFormat="false" ht="15" hidden="false" customHeight="true" outlineLevel="0" collapsed="false">
      <c r="A649" s="11" t="n">
        <f aca="false">Raw_Data!A649</f>
        <v>1235</v>
      </c>
      <c r="B649" s="11" t="str">
        <f aca="false">PROPER(TRIM(Raw_Data!B649))</f>
        <v>Ayurvedic Range Launch</v>
      </c>
      <c r="C649" s="11" t="str">
        <f aca="false">IFERROR(INDEX(Lookup_Tables!$B$2:$B$26,MATCH(UPPER(TRIM(Raw_Data!C649)),Lookup_Tables!$C$2:$C$26,0)),"Unknown")</f>
        <v>Instagram</v>
      </c>
      <c r="D649" s="12" t="n">
        <f aca="false">IFERROR(IF(ISNUMBER(SEARCH("/",Raw_Data!D649)),DATE(VALUE(RIGHT(Raw_Data!D649,4)),VALUE(MID(Raw_Data!D649,FIND("/",Raw_Data!D649)+1,FIND("/",Raw_Data!D649,FIND("/",Raw_Data!D649)+1)-FIND("/",Raw_Data!D649)-1)),VALUE(LEFT(Raw_Data!D649,FIND("/",Raw_Data!D649)-1))),IF(ISNUMBER(VALUE(LEFT(Raw_Data!D649,4))),DATE(VALUE(LEFT(Raw_Data!D649,4)),VALUE(MID(Raw_Data!D649,6,2)),VALUE(MID(Raw_Data!D649,9,2))),DATEVALUE(Raw_Data!D649))),"")</f>
        <v>45556</v>
      </c>
      <c r="E649" s="12" t="n">
        <f aca="false">IFERROR(IF(ISNUMBER(SEARCH("/",Raw_Data!E649)),DATE(VALUE(RIGHT(Raw_Data!E649,4)),VALUE(MID(Raw_Data!E649,FIND("/",Raw_Data!E649)+1,FIND("/",Raw_Data!E649,FIND("/",Raw_Data!E649)+1)-FIND("/",Raw_Data!E649)-1)),VALUE(LEFT(Raw_Data!E649,FIND("/",Raw_Data!E649)-1))),IF(ISNUMBER(VALUE(LEFT(Raw_Data!E649,4))),DATE(VALUE(LEFT(Raw_Data!E649,4)),VALUE(MID(Raw_Data!E649,6,2)),VALUE(MID(Raw_Data!E649,9,2))),DATEVALUE(Raw_Data!E649))),"")</f>
        <v>45578</v>
      </c>
      <c r="F649" s="11" t="str">
        <f aca="false">Raw_Data!F649</f>
        <v>Male 35-44</v>
      </c>
      <c r="G649" s="11" t="str">
        <f aca="false">IF(TRIM(Raw_Data!G649)="","Unspecified",IFERROR(INDEX(Lookup_Tables!$F$2:$F$24,MATCH(UPPER(TRIM(Raw_Data!G649)),Lookup_Tables!$G$2:$G$24,0)),"Unknown"))</f>
        <v>South</v>
      </c>
      <c r="H649" s="11" t="n">
        <f aca="false">IF(Raw_Data!H649="",ROUND(AVERAGEIFS(Raw_Data!$H$2:$H$839,Raw_Data!$C$2:$C$839,Raw_Data!C649),2),Raw_Data!H649)</f>
        <v>44442.56</v>
      </c>
      <c r="I649" s="11" t="n">
        <f aca="false">Raw_Data!I649</f>
        <v>959236</v>
      </c>
      <c r="J649" s="11" t="n">
        <f aca="false">IF(Raw_Data!J649&lt;0,ABS(Raw_Data!J649),Raw_Data!J649)</f>
        <v>13063</v>
      </c>
      <c r="K649" s="11" t="n">
        <f aca="false">Raw_Data!K649</f>
        <v>495</v>
      </c>
      <c r="L649" s="11" t="n">
        <f aca="false">IF(Raw_Data!L649="",ROUND(AVERAGEIFS(Raw_Data!$L$2:$L$839,Raw_Data!$C$2:$C$839,Raw_Data!C649),2),Raw_Data!L649)</f>
        <v>710692.68</v>
      </c>
      <c r="M649" s="13" t="n">
        <f aca="false">IFERROR(J649/I649,0)</f>
        <v>0.0136181294280031</v>
      </c>
      <c r="N649" s="14" t="n">
        <f aca="false">IFERROR(H649/J649,0)</f>
        <v>3.40217101737733</v>
      </c>
      <c r="O649" s="14" t="n">
        <f aca="false">IFERROR(H649/K649,0)</f>
        <v>89.7829494949495</v>
      </c>
      <c r="P649" s="15" t="n">
        <f aca="false">IFERROR(L649/H649,0)</f>
        <v>15.9912633295652</v>
      </c>
      <c r="Q649" s="13" t="n">
        <f aca="false">IFERROR(K649/J649,0)</f>
        <v>0.0378932863813825</v>
      </c>
      <c r="R649" s="11" t="str">
        <f aca="false">IF(COUNTIF($A$2:A649,A649)&gt;1,"Duplicate - Remove","Unique")</f>
        <v>Unique</v>
      </c>
      <c r="S649" s="11" t="str">
        <f aca="false">TRIM(IF(Raw_Data!G649="","Region missing; ","")&amp;IF(Raw_Data!H649="","Spend imputed; ","")&amp;IF(Raw_Data!L649="","Revenue imputed; ","")&amp;IF(Raw_Data!J649&lt;0,"Clicks corrected; ",""))</f>
        <v/>
      </c>
    </row>
    <row r="650" customFormat="false" ht="15" hidden="false" customHeight="true" outlineLevel="0" collapsed="false">
      <c r="A650" s="11" t="n">
        <f aca="false">Raw_Data!A650</f>
        <v>1413</v>
      </c>
      <c r="B650" s="11" t="str">
        <f aca="false">PROPER(TRIM(Raw_Data!B650))</f>
        <v>Influencer Collab - Skincare</v>
      </c>
      <c r="C650" s="11" t="str">
        <f aca="false">IFERROR(INDEX(Lookup_Tables!$B$2:$B$26,MATCH(UPPER(TRIM(Raw_Data!C650)),Lookup_Tables!$C$2:$C$26,0)),"Unknown")</f>
        <v>Instagram</v>
      </c>
      <c r="D650" s="12" t="n">
        <f aca="false">IFERROR(IF(ISNUMBER(SEARCH("/",Raw_Data!D650)),DATE(VALUE(RIGHT(Raw_Data!D650,4)),VALUE(MID(Raw_Data!D650,FIND("/",Raw_Data!D650)+1,FIND("/",Raw_Data!D650,FIND("/",Raw_Data!D650)+1)-FIND("/",Raw_Data!D650)-1)),VALUE(LEFT(Raw_Data!D650,FIND("/",Raw_Data!D650)-1))),IF(ISNUMBER(VALUE(LEFT(Raw_Data!D650,4))),DATE(VALUE(LEFT(Raw_Data!D650,4)),VALUE(MID(Raw_Data!D650,6,2)),VALUE(MID(Raw_Data!D650,9,2))),DATEVALUE(Raw_Data!D650))),"")</f>
        <v>45466</v>
      </c>
      <c r="E650" s="12" t="n">
        <f aca="false">IFERROR(IF(ISNUMBER(SEARCH("/",Raw_Data!E650)),DATE(VALUE(RIGHT(Raw_Data!E650,4)),VALUE(MID(Raw_Data!E650,FIND("/",Raw_Data!E650)+1,FIND("/",Raw_Data!E650,FIND("/",Raw_Data!E650)+1)-FIND("/",Raw_Data!E650)-1)),VALUE(LEFT(Raw_Data!E650,FIND("/",Raw_Data!E650)-1))),IF(ISNUMBER(VALUE(LEFT(Raw_Data!E650,4))),DATE(VALUE(LEFT(Raw_Data!E650,4)),VALUE(MID(Raw_Data!E650,6,2)),VALUE(MID(Raw_Data!E650,9,2))),DATEVALUE(Raw_Data!E650))),"")</f>
        <v>45472</v>
      </c>
      <c r="F650" s="11" t="str">
        <f aca="false">Raw_Data!F650</f>
        <v>Male 18-24</v>
      </c>
      <c r="G650" s="11" t="str">
        <f aca="false">IF(TRIM(Raw_Data!G650)="","Unspecified",IFERROR(INDEX(Lookup_Tables!$F$2:$F$24,MATCH(UPPER(TRIM(Raw_Data!G650)),Lookup_Tables!$G$2:$G$24,0)),"Unknown"))</f>
        <v>East</v>
      </c>
      <c r="H650" s="11" t="n">
        <f aca="false">IF(Raw_Data!H650="",ROUND(AVERAGEIFS(Raw_Data!$H$2:$H$839,Raw_Data!$C$2:$C$839,Raw_Data!C650),2),Raw_Data!H650)</f>
        <v>35023.1</v>
      </c>
      <c r="I650" s="11" t="n">
        <f aca="false">Raw_Data!I650</f>
        <v>732633</v>
      </c>
      <c r="J650" s="11" t="n">
        <f aca="false">IF(Raw_Data!J650&lt;0,ABS(Raw_Data!J650),Raw_Data!J650)</f>
        <v>5265</v>
      </c>
      <c r="K650" s="11" t="n">
        <f aca="false">Raw_Data!K650</f>
        <v>273</v>
      </c>
      <c r="L650" s="11" t="n">
        <f aca="false">IF(Raw_Data!L650="",ROUND(AVERAGEIFS(Raw_Data!$L$2:$L$839,Raw_Data!$C$2:$C$839,Raw_Data!C650),2),Raw_Data!L650)</f>
        <v>269141.9</v>
      </c>
      <c r="M650" s="13" t="n">
        <f aca="false">IFERROR(J650/I650,0)</f>
        <v>0.00718640847463874</v>
      </c>
      <c r="N650" s="14" t="n">
        <f aca="false">IFERROR(H650/J650,0)</f>
        <v>6.65206077872745</v>
      </c>
      <c r="O650" s="14" t="n">
        <f aca="false">IFERROR(H650/K650,0)</f>
        <v>128.289743589744</v>
      </c>
      <c r="P650" s="15" t="n">
        <f aca="false">IFERROR(L650/H650,0)</f>
        <v>7.6846966716253</v>
      </c>
      <c r="Q650" s="13" t="n">
        <f aca="false">IFERROR(K650/J650,0)</f>
        <v>0.0518518518518519</v>
      </c>
      <c r="R650" s="11" t="str">
        <f aca="false">IF(COUNTIF($A$2:A650,A650)&gt;1,"Duplicate - Remove","Unique")</f>
        <v>Unique</v>
      </c>
      <c r="S650" s="11" t="str">
        <f aca="false">TRIM(IF(Raw_Data!G650="","Region missing; ","")&amp;IF(Raw_Data!H650="","Spend imputed; ","")&amp;IF(Raw_Data!L650="","Revenue imputed; ","")&amp;IF(Raw_Data!J650&lt;0,"Clicks corrected; ",""))</f>
        <v/>
      </c>
    </row>
    <row r="651" customFormat="false" ht="15" hidden="false" customHeight="true" outlineLevel="0" collapsed="false">
      <c r="A651" s="11" t="n">
        <f aca="false">Raw_Data!A651</f>
        <v>1192</v>
      </c>
      <c r="B651" s="11" t="str">
        <f aca="false">PROPER(TRIM(Raw_Data!B651))</f>
        <v>Baby Care Trust Campaign</v>
      </c>
      <c r="C651" s="11" t="str">
        <f aca="false">IFERROR(INDEX(Lookup_Tables!$B$2:$B$26,MATCH(UPPER(TRIM(Raw_Data!C651)),Lookup_Tables!$C$2:$C$26,0)),"Unknown")</f>
        <v>Google Ads</v>
      </c>
      <c r="D651" s="12" t="n">
        <f aca="false">IFERROR(IF(ISNUMBER(SEARCH("/",Raw_Data!D651)),DATE(VALUE(RIGHT(Raw_Data!D651,4)),VALUE(MID(Raw_Data!D651,FIND("/",Raw_Data!D651)+1,FIND("/",Raw_Data!D651,FIND("/",Raw_Data!D651)+1)-FIND("/",Raw_Data!D651)-1)),VALUE(LEFT(Raw_Data!D651,FIND("/",Raw_Data!D651)-1))),IF(ISNUMBER(VALUE(LEFT(Raw_Data!D651,4))),DATE(VALUE(LEFT(Raw_Data!D651,4)),VALUE(MID(Raw_Data!D651,6,2)),VALUE(MID(Raw_Data!D651,9,2))),DATEVALUE(Raw_Data!D651))),"")</f>
        <v>45436</v>
      </c>
      <c r="E651" s="12" t="n">
        <f aca="false">IFERROR(IF(ISNUMBER(SEARCH("/",Raw_Data!E651)),DATE(VALUE(RIGHT(Raw_Data!E651,4)),VALUE(MID(Raw_Data!E651,FIND("/",Raw_Data!E651)+1,FIND("/",Raw_Data!E651,FIND("/",Raw_Data!E651)+1)-FIND("/",Raw_Data!E651)-1)),VALUE(LEFT(Raw_Data!E651,FIND("/",Raw_Data!E651)-1))),IF(ISNUMBER(VALUE(LEFT(Raw_Data!E651,4))),DATE(VALUE(LEFT(Raw_Data!E651,4)),VALUE(MID(Raw_Data!E651,6,2)),VALUE(MID(Raw_Data!E651,9,2))),DATEVALUE(Raw_Data!E651))),"")</f>
        <v>45444</v>
      </c>
      <c r="F651" s="11" t="str">
        <f aca="false">Raw_Data!F651</f>
        <v>Female 25-34</v>
      </c>
      <c r="G651" s="11" t="str">
        <f aca="false">IF(TRIM(Raw_Data!G651)="","Unspecified",IFERROR(INDEX(Lookup_Tables!$F$2:$F$24,MATCH(UPPER(TRIM(Raw_Data!G651)),Lookup_Tables!$G$2:$G$24,0)),"Unknown"))</f>
        <v>North</v>
      </c>
      <c r="H651" s="11" t="n">
        <f aca="false">IF(Raw_Data!H651="",ROUND(AVERAGEIFS(Raw_Data!$H$2:$H$839,Raw_Data!$C$2:$C$839,Raw_Data!C651),2),Raw_Data!H651)</f>
        <v>44841.73</v>
      </c>
      <c r="I651" s="11" t="n">
        <f aca="false">Raw_Data!I651</f>
        <v>1355343</v>
      </c>
      <c r="J651" s="11" t="n">
        <f aca="false">IF(Raw_Data!J651&lt;0,ABS(Raw_Data!J651),Raw_Data!J651)</f>
        <v>38408</v>
      </c>
      <c r="K651" s="11" t="n">
        <f aca="false">Raw_Data!K651</f>
        <v>2619</v>
      </c>
      <c r="L651" s="11" t="n">
        <f aca="false">IF(Raw_Data!L651="",ROUND(AVERAGEIFS(Raw_Data!$L$2:$L$839,Raw_Data!$C$2:$C$839,Raw_Data!C651),2),Raw_Data!L651)</f>
        <v>4612120.8</v>
      </c>
      <c r="M651" s="13" t="n">
        <f aca="false">IFERROR(J651/I651,0)</f>
        <v>0.0283382140166733</v>
      </c>
      <c r="N651" s="14" t="n">
        <f aca="false">IFERROR(H651/J651,0)</f>
        <v>1.16751015413456</v>
      </c>
      <c r="O651" s="14" t="n">
        <f aca="false">IFERROR(H651/K651,0)</f>
        <v>17.1216991218022</v>
      </c>
      <c r="P651" s="15" t="n">
        <f aca="false">IFERROR(L651/H651,0)</f>
        <v>102.853319887524</v>
      </c>
      <c r="Q651" s="13" t="n">
        <f aca="false">IFERROR(K651/J651,0)</f>
        <v>0.0681889189752135</v>
      </c>
      <c r="R651" s="11" t="str">
        <f aca="false">IF(COUNTIF($A$2:A651,A651)&gt;1,"Duplicate - Remove","Unique")</f>
        <v>Unique</v>
      </c>
      <c r="S651" s="11" t="str">
        <f aca="false">TRIM(IF(Raw_Data!G651="","Region missing; ","")&amp;IF(Raw_Data!H651="","Spend imputed; ","")&amp;IF(Raw_Data!L651="","Revenue imputed; ","")&amp;IF(Raw_Data!J651&lt;0,"Clicks corrected; ",""))</f>
        <v/>
      </c>
    </row>
    <row r="652" customFormat="false" ht="15" hidden="false" customHeight="true" outlineLevel="0" collapsed="false">
      <c r="A652" s="11" t="n">
        <f aca="false">Raw_Data!A652</f>
        <v>1795</v>
      </c>
      <c r="B652" s="11" t="str">
        <f aca="false">PROPER(TRIM(Raw_Data!B652))</f>
        <v>Sunscreen Season Campaign</v>
      </c>
      <c r="C652" s="11" t="str">
        <f aca="false">IFERROR(INDEX(Lookup_Tables!$B$2:$B$26,MATCH(UPPER(TRIM(Raw_Data!C652)),Lookup_Tables!$C$2:$C$26,0)),"Unknown")</f>
        <v>YouTube</v>
      </c>
      <c r="D652" s="12" t="n">
        <f aca="false">IFERROR(IF(ISNUMBER(SEARCH("/",Raw_Data!D652)),DATE(VALUE(RIGHT(Raw_Data!D652,4)),VALUE(MID(Raw_Data!D652,FIND("/",Raw_Data!D652)+1,FIND("/",Raw_Data!D652,FIND("/",Raw_Data!D652)+1)-FIND("/",Raw_Data!D652)-1)),VALUE(LEFT(Raw_Data!D652,FIND("/",Raw_Data!D652)-1))),IF(ISNUMBER(VALUE(LEFT(Raw_Data!D652,4))),DATE(VALUE(LEFT(Raw_Data!D652,4)),VALUE(MID(Raw_Data!D652,6,2)),VALUE(MID(Raw_Data!D652,9,2))),DATEVALUE(Raw_Data!D652))),"")</f>
        <v>45339</v>
      </c>
      <c r="E652" s="12" t="n">
        <f aca="false">IFERROR(IF(ISNUMBER(SEARCH("/",Raw_Data!E652)),DATE(VALUE(RIGHT(Raw_Data!E652,4)),VALUE(MID(Raw_Data!E652,FIND("/",Raw_Data!E652)+1,FIND("/",Raw_Data!E652,FIND("/",Raw_Data!E652)+1)-FIND("/",Raw_Data!E652)-1)),VALUE(LEFT(Raw_Data!E652,FIND("/",Raw_Data!E652)-1))),IF(ISNUMBER(VALUE(LEFT(Raw_Data!E652,4))),DATE(VALUE(LEFT(Raw_Data!E652,4)),VALUE(MID(Raw_Data!E652,6,2)),VALUE(MID(Raw_Data!E652,9,2))),DATEVALUE(Raw_Data!E652))),"")</f>
        <v>45355</v>
      </c>
      <c r="F652" s="11" t="str">
        <f aca="false">Raw_Data!F652</f>
        <v>Male 35-44</v>
      </c>
      <c r="G652" s="11" t="str">
        <f aca="false">IF(TRIM(Raw_Data!G652)="","Unspecified",IFERROR(INDEX(Lookup_Tables!$F$2:$F$24,MATCH(UPPER(TRIM(Raw_Data!G652)),Lookup_Tables!$G$2:$G$24,0)),"Unknown"))</f>
        <v>Central</v>
      </c>
      <c r="H652" s="11" t="n">
        <f aca="false">IF(Raw_Data!H652="",ROUND(AVERAGEIFS(Raw_Data!$H$2:$H$839,Raw_Data!$C$2:$C$839,Raw_Data!C652),2),Raw_Data!H652)</f>
        <v>44091.05</v>
      </c>
      <c r="I652" s="11" t="n">
        <f aca="false">Raw_Data!I652</f>
        <v>870026</v>
      </c>
      <c r="J652" s="11" t="n">
        <f aca="false">IF(Raw_Data!J652&lt;0,ABS(Raw_Data!J652),Raw_Data!J652)</f>
        <v>29013</v>
      </c>
      <c r="K652" s="11" t="n">
        <f aca="false">Raw_Data!K652</f>
        <v>1763</v>
      </c>
      <c r="L652" s="11" t="n">
        <f aca="false">IF(Raw_Data!L652="",ROUND(AVERAGEIFS(Raw_Data!$L$2:$L$839,Raw_Data!$C$2:$C$839,Raw_Data!C652),2),Raw_Data!L652)</f>
        <v>2945680.17</v>
      </c>
      <c r="M652" s="13" t="n">
        <f aca="false">IFERROR(J652/I652,0)</f>
        <v>0.0333472792767113</v>
      </c>
      <c r="N652" s="14" t="n">
        <f aca="false">IFERROR(H652/J652,0)</f>
        <v>1.51969978974942</v>
      </c>
      <c r="O652" s="14" t="n">
        <f aca="false">IFERROR(H652/K652,0)</f>
        <v>25.0091038003403</v>
      </c>
      <c r="P652" s="15" t="n">
        <f aca="false">IFERROR(L652/H652,0)</f>
        <v>66.8090274556854</v>
      </c>
      <c r="Q652" s="13" t="n">
        <f aca="false">IFERROR(K652/J652,0)</f>
        <v>0.0607658635783959</v>
      </c>
      <c r="R652" s="11" t="str">
        <f aca="false">IF(COUNTIF($A$2:A652,A652)&gt;1,"Duplicate - Remove","Unique")</f>
        <v>Unique</v>
      </c>
      <c r="S652" s="11" t="str">
        <f aca="false">TRIM(IF(Raw_Data!G652="","Region missing; ","")&amp;IF(Raw_Data!H652="","Spend imputed; ","")&amp;IF(Raw_Data!L652="","Revenue imputed; ","")&amp;IF(Raw_Data!J652&lt;0,"Clicks corrected; ",""))</f>
        <v/>
      </c>
    </row>
    <row r="653" customFormat="false" ht="15" hidden="false" customHeight="true" outlineLevel="0" collapsed="false">
      <c r="A653" s="11" t="n">
        <f aca="false">Raw_Data!A653</f>
        <v>1298</v>
      </c>
      <c r="B653" s="11" t="str">
        <f aca="false">PROPER(TRIM(Raw_Data!B653))</f>
        <v>Clearance Sale Push</v>
      </c>
      <c r="C653" s="11" t="str">
        <f aca="false">IFERROR(INDEX(Lookup_Tables!$B$2:$B$26,MATCH(UPPER(TRIM(Raw_Data!C653)),Lookup_Tables!$C$2:$C$26,0)),"Unknown")</f>
        <v>Facebook</v>
      </c>
      <c r="D653" s="12" t="n">
        <f aca="false">IFERROR(IF(ISNUMBER(SEARCH("/",Raw_Data!D653)),DATE(VALUE(RIGHT(Raw_Data!D653,4)),VALUE(MID(Raw_Data!D653,FIND("/",Raw_Data!D653)+1,FIND("/",Raw_Data!D653,FIND("/",Raw_Data!D653)+1)-FIND("/",Raw_Data!D653)-1)),VALUE(LEFT(Raw_Data!D653,FIND("/",Raw_Data!D653)-1))),IF(ISNUMBER(VALUE(LEFT(Raw_Data!D653,4))),DATE(VALUE(LEFT(Raw_Data!D653,4)),VALUE(MID(Raw_Data!D653,6,2)),VALUE(MID(Raw_Data!D653,9,2))),DATEVALUE(Raw_Data!D653))),"")</f>
        <v>45380</v>
      </c>
      <c r="E653" s="12" t="n">
        <f aca="false">IFERROR(IF(ISNUMBER(SEARCH("/",Raw_Data!E653)),DATE(VALUE(RIGHT(Raw_Data!E653,4)),VALUE(MID(Raw_Data!E653,FIND("/",Raw_Data!E653)+1,FIND("/",Raw_Data!E653,FIND("/",Raw_Data!E653)+1)-FIND("/",Raw_Data!E653)-1)),VALUE(LEFT(Raw_Data!E653,FIND("/",Raw_Data!E653)-1))),IF(ISNUMBER(VALUE(LEFT(Raw_Data!E653,4))),DATE(VALUE(LEFT(Raw_Data!E653,4)),VALUE(MID(Raw_Data!E653,6,2)),VALUE(MID(Raw_Data!E653,9,2))),DATEVALUE(Raw_Data!E653))),"")</f>
        <v>45400</v>
      </c>
      <c r="F653" s="11" t="str">
        <f aca="false">Raw_Data!F653</f>
        <v>Male 18-24</v>
      </c>
      <c r="G653" s="11" t="str">
        <f aca="false">IF(TRIM(Raw_Data!G653)="","Unspecified",IFERROR(INDEX(Lookup_Tables!$F$2:$F$24,MATCH(UPPER(TRIM(Raw_Data!G653)),Lookup_Tables!$G$2:$G$24,0)),"Unknown"))</f>
        <v>West</v>
      </c>
      <c r="H653" s="11" t="n">
        <f aca="false">IF(Raw_Data!H653="",ROUND(AVERAGEIFS(Raw_Data!$H$2:$H$839,Raw_Data!$C$2:$C$839,Raw_Data!C653),2),Raw_Data!H653)</f>
        <v>14281.98</v>
      </c>
      <c r="I653" s="11" t="n">
        <f aca="false">Raw_Data!I653</f>
        <v>351549</v>
      </c>
      <c r="J653" s="11" t="n">
        <f aca="false">IF(Raw_Data!J653&lt;0,ABS(Raw_Data!J653),Raw_Data!J653)</f>
        <v>11507</v>
      </c>
      <c r="K653" s="11" t="n">
        <f aca="false">Raw_Data!K653</f>
        <v>791</v>
      </c>
      <c r="L653" s="11" t="n">
        <f aca="false">IF(Raw_Data!L653="",ROUND(AVERAGEIFS(Raw_Data!$L$2:$L$839,Raw_Data!$C$2:$C$839,Raw_Data!C653),2),Raw_Data!L653)</f>
        <v>453786.87</v>
      </c>
      <c r="M653" s="13" t="n">
        <f aca="false">IFERROR(J653/I653,0)</f>
        <v>0.0327322791417413</v>
      </c>
      <c r="N653" s="14" t="n">
        <f aca="false">IFERROR(H653/J653,0)</f>
        <v>1.24115581819762</v>
      </c>
      <c r="O653" s="14" t="n">
        <f aca="false">IFERROR(H653/K653,0)</f>
        <v>18.055600505689</v>
      </c>
      <c r="P653" s="15" t="n">
        <f aca="false">IFERROR(L653/H653,0)</f>
        <v>31.7733864632215</v>
      </c>
      <c r="Q653" s="13" t="n">
        <f aca="false">IFERROR(K653/J653,0)</f>
        <v>0.0687407664899626</v>
      </c>
      <c r="R653" s="11" t="str">
        <f aca="false">IF(COUNTIF($A$2:A653,A653)&gt;1,"Duplicate - Remove","Unique")</f>
        <v>Unique</v>
      </c>
      <c r="S653" s="11" t="str">
        <f aca="false">TRIM(IF(Raw_Data!G653="","Region missing; ","")&amp;IF(Raw_Data!H653="","Spend imputed; ","")&amp;IF(Raw_Data!L653="","Revenue imputed; ","")&amp;IF(Raw_Data!J653&lt;0,"Clicks corrected; ",""))</f>
        <v/>
      </c>
    </row>
    <row r="654" customFormat="false" ht="15" hidden="false" customHeight="true" outlineLevel="0" collapsed="false">
      <c r="A654" s="11" t="n">
        <f aca="false">Raw_Data!A654</f>
        <v>1383</v>
      </c>
      <c r="B654" s="11" t="str">
        <f aca="false">PROPER(TRIM(Raw_Data!B654))</f>
        <v>Baby Care Trust Campaign</v>
      </c>
      <c r="C654" s="11" t="str">
        <f aca="false">IFERROR(INDEX(Lookup_Tables!$B$2:$B$26,MATCH(UPPER(TRIM(Raw_Data!C654)),Lookup_Tables!$C$2:$C$26,0)),"Unknown")</f>
        <v>Email</v>
      </c>
      <c r="D654" s="12" t="n">
        <f aca="false">IFERROR(IF(ISNUMBER(SEARCH("/",Raw_Data!D654)),DATE(VALUE(RIGHT(Raw_Data!D654,4)),VALUE(MID(Raw_Data!D654,FIND("/",Raw_Data!D654)+1,FIND("/",Raw_Data!D654,FIND("/",Raw_Data!D654)+1)-FIND("/",Raw_Data!D654)-1)),VALUE(LEFT(Raw_Data!D654,FIND("/",Raw_Data!D654)-1))),IF(ISNUMBER(VALUE(LEFT(Raw_Data!D654,4))),DATE(VALUE(LEFT(Raw_Data!D654,4)),VALUE(MID(Raw_Data!D654,6,2)),VALUE(MID(Raw_Data!D654,9,2))),DATEVALUE(Raw_Data!D654))),"")</f>
        <v>45410</v>
      </c>
      <c r="E654" s="12" t="n">
        <f aca="false">IFERROR(IF(ISNUMBER(SEARCH("/",Raw_Data!E654)),DATE(VALUE(RIGHT(Raw_Data!E654,4)),VALUE(MID(Raw_Data!E654,FIND("/",Raw_Data!E654)+1,FIND("/",Raw_Data!E654,FIND("/",Raw_Data!E654)+1)-FIND("/",Raw_Data!E654)-1)),VALUE(LEFT(Raw_Data!E654,FIND("/",Raw_Data!E654)-1))),IF(ISNUMBER(VALUE(LEFT(Raw_Data!E654,4))),DATE(VALUE(LEFT(Raw_Data!E654,4)),VALUE(MID(Raw_Data!E654,6,2)),VALUE(MID(Raw_Data!E654,9,2))),DATEVALUE(Raw_Data!E654))),"")</f>
        <v>45437</v>
      </c>
      <c r="F654" s="11" t="str">
        <f aca="false">Raw_Data!F654</f>
        <v>Male 45+</v>
      </c>
      <c r="G654" s="11" t="str">
        <f aca="false">IF(TRIM(Raw_Data!G654)="","Unspecified",IFERROR(INDEX(Lookup_Tables!$F$2:$F$24,MATCH(UPPER(TRIM(Raw_Data!G654)),Lookup_Tables!$G$2:$G$24,0)),"Unknown"))</f>
        <v>North</v>
      </c>
      <c r="H654" s="11" t="n">
        <f aca="false">IF(Raw_Data!H654="",ROUND(AVERAGEIFS(Raw_Data!$H$2:$H$839,Raw_Data!$C$2:$C$839,Raw_Data!C654),2),Raw_Data!H654)</f>
        <v>4698.16</v>
      </c>
      <c r="I654" s="11" t="n">
        <f aca="false">Raw_Data!I654</f>
        <v>120038</v>
      </c>
      <c r="J654" s="11" t="n">
        <f aca="false">IF(Raw_Data!J654&lt;0,ABS(Raw_Data!J654),Raw_Data!J654)</f>
        <v>1737</v>
      </c>
      <c r="K654" s="11" t="n">
        <f aca="false">Raw_Data!K654</f>
        <v>25</v>
      </c>
      <c r="L654" s="11" t="n">
        <f aca="false">IF(Raw_Data!L654="",ROUND(AVERAGEIFS(Raw_Data!$L$2:$L$839,Raw_Data!$C$2:$C$839,Raw_Data!C654),2),Raw_Data!L654)</f>
        <v>41116.8</v>
      </c>
      <c r="M654" s="13" t="n">
        <f aca="false">IFERROR(J654/I654,0)</f>
        <v>0.0144704177010613</v>
      </c>
      <c r="N654" s="14" t="n">
        <f aca="false">IFERROR(H654/J654,0)</f>
        <v>2.70475532527346</v>
      </c>
      <c r="O654" s="14" t="n">
        <f aca="false">IFERROR(H654/K654,0)</f>
        <v>187.9264</v>
      </c>
      <c r="P654" s="15" t="n">
        <f aca="false">IFERROR(L654/H654,0)</f>
        <v>8.75168150935686</v>
      </c>
      <c r="Q654" s="13" t="n">
        <f aca="false">IFERROR(K654/J654,0)</f>
        <v>0.0143926309729419</v>
      </c>
      <c r="R654" s="11" t="str">
        <f aca="false">IF(COUNTIF($A$2:A654,A654)&gt;1,"Duplicate - Remove","Unique")</f>
        <v>Unique</v>
      </c>
      <c r="S654" s="11" t="str">
        <f aca="false">TRIM(IF(Raw_Data!G654="","Region missing; ","")&amp;IF(Raw_Data!H654="","Spend imputed; ","")&amp;IF(Raw_Data!L654="","Revenue imputed; ","")&amp;IF(Raw_Data!J654&lt;0,"Clicks corrected; ",""))</f>
        <v/>
      </c>
    </row>
    <row r="655" customFormat="false" ht="15" hidden="false" customHeight="true" outlineLevel="0" collapsed="false">
      <c r="A655" s="11" t="n">
        <f aca="false">Raw_Data!A655</f>
        <v>1725</v>
      </c>
      <c r="B655" s="11" t="str">
        <f aca="false">PROPER(TRIM(Raw_Data!B655))</f>
        <v>Herbal Range Awareness</v>
      </c>
      <c r="C655" s="11" t="str">
        <f aca="false">IFERROR(INDEX(Lookup_Tables!$B$2:$B$26,MATCH(UPPER(TRIM(Raw_Data!C655)),Lookup_Tables!$C$2:$C$26,0)),"Unknown")</f>
        <v>Google Ads</v>
      </c>
      <c r="D655" s="12" t="n">
        <f aca="false">IFERROR(IF(ISNUMBER(SEARCH("/",Raw_Data!D655)),DATE(VALUE(RIGHT(Raw_Data!D655,4)),VALUE(MID(Raw_Data!D655,FIND("/",Raw_Data!D655)+1,FIND("/",Raw_Data!D655,FIND("/",Raw_Data!D655)+1)-FIND("/",Raw_Data!D655)-1)),VALUE(LEFT(Raw_Data!D655,FIND("/",Raw_Data!D655)-1))),IF(ISNUMBER(VALUE(LEFT(Raw_Data!D655,4))),DATE(VALUE(LEFT(Raw_Data!D655,4)),VALUE(MID(Raw_Data!D655,6,2)),VALUE(MID(Raw_Data!D655,9,2))),DATEVALUE(Raw_Data!D655))),"")</f>
        <v>45474</v>
      </c>
      <c r="E655" s="12" t="n">
        <f aca="false">IFERROR(IF(ISNUMBER(SEARCH("/",Raw_Data!E655)),DATE(VALUE(RIGHT(Raw_Data!E655,4)),VALUE(MID(Raw_Data!E655,FIND("/",Raw_Data!E655)+1,FIND("/",Raw_Data!E655,FIND("/",Raw_Data!E655)+1)-FIND("/",Raw_Data!E655)-1)),VALUE(LEFT(Raw_Data!E655,FIND("/",Raw_Data!E655)-1))),IF(ISNUMBER(VALUE(LEFT(Raw_Data!E655,4))),DATE(VALUE(LEFT(Raw_Data!E655,4)),VALUE(MID(Raw_Data!E655,6,2)),VALUE(MID(Raw_Data!E655,9,2))),DATEVALUE(Raw_Data!E655))),"")</f>
        <v>45498</v>
      </c>
      <c r="F655" s="11" t="str">
        <f aca="false">Raw_Data!F655</f>
        <v>Male 35-44</v>
      </c>
      <c r="G655" s="11" t="str">
        <f aca="false">IF(TRIM(Raw_Data!G655)="","Unspecified",IFERROR(INDEX(Lookup_Tables!$F$2:$F$24,MATCH(UPPER(TRIM(Raw_Data!G655)),Lookup_Tables!$G$2:$G$24,0)),"Unknown"))</f>
        <v>South</v>
      </c>
      <c r="H655" s="11" t="n">
        <f aca="false">IF(Raw_Data!H655="",ROUND(AVERAGEIFS(Raw_Data!$H$2:$H$839,Raw_Data!$C$2:$C$839,Raw_Data!C655),2),Raw_Data!H655)</f>
        <v>49331.45</v>
      </c>
      <c r="I655" s="11" t="n">
        <f aca="false">Raw_Data!I655</f>
        <v>1706478</v>
      </c>
      <c r="J655" s="11" t="n">
        <f aca="false">IF(Raw_Data!J655&lt;0,ABS(Raw_Data!J655),Raw_Data!J655)</f>
        <v>57508</v>
      </c>
      <c r="K655" s="11" t="n">
        <f aca="false">Raw_Data!K655</f>
        <v>2526</v>
      </c>
      <c r="L655" s="11" t="n">
        <f aca="false">IF(Raw_Data!L655="",ROUND(AVERAGEIFS(Raw_Data!$L$2:$L$839,Raw_Data!$C$2:$C$839,Raw_Data!C655),2),Raw_Data!L655)</f>
        <v>2034804.16</v>
      </c>
      <c r="M655" s="13" t="n">
        <f aca="false">IFERROR(J655/I655,0)</f>
        <v>0.0336998191596962</v>
      </c>
      <c r="N655" s="14" t="n">
        <f aca="false">IFERROR(H655/J655,0)</f>
        <v>0.857818912151353</v>
      </c>
      <c r="O655" s="14" t="n">
        <f aca="false">IFERROR(H655/K655,0)</f>
        <v>19.5294734758511</v>
      </c>
      <c r="P655" s="15" t="n">
        <f aca="false">IFERROR(L655/H655,0)</f>
        <v>41.2476049254583</v>
      </c>
      <c r="Q655" s="13" t="n">
        <f aca="false">IFERROR(K655/J655,0)</f>
        <v>0.0439243235723725</v>
      </c>
      <c r="R655" s="11" t="str">
        <f aca="false">IF(COUNTIF($A$2:A655,A655)&gt;1,"Duplicate - Remove","Unique")</f>
        <v>Unique</v>
      </c>
      <c r="S655" s="11" t="str">
        <f aca="false">TRIM(IF(Raw_Data!G655="","Region missing; ","")&amp;IF(Raw_Data!H655="","Spend imputed; ","")&amp;IF(Raw_Data!L655="","Revenue imputed; ","")&amp;IF(Raw_Data!J655&lt;0,"Clicks corrected; ",""))</f>
        <v/>
      </c>
    </row>
    <row r="656" customFormat="false" ht="15" hidden="false" customHeight="true" outlineLevel="0" collapsed="false">
      <c r="A656" s="11" t="n">
        <f aca="false">Raw_Data!A656</f>
        <v>1161</v>
      </c>
      <c r="B656" s="11" t="str">
        <f aca="false">PROPER(TRIM(Raw_Data!B656))</f>
        <v>Anti-Ageing Serum Push</v>
      </c>
      <c r="C656" s="11" t="str">
        <f aca="false">IFERROR(INDEX(Lookup_Tables!$B$2:$B$26,MATCH(UPPER(TRIM(Raw_Data!C656)),Lookup_Tables!$C$2:$C$26,0)),"Unknown")</f>
        <v>Facebook</v>
      </c>
      <c r="D656" s="12" t="n">
        <f aca="false">IFERROR(IF(ISNUMBER(SEARCH("/",Raw_Data!D656)),DATE(VALUE(RIGHT(Raw_Data!D656,4)),VALUE(MID(Raw_Data!D656,FIND("/",Raw_Data!D656)+1,FIND("/",Raw_Data!D656,FIND("/",Raw_Data!D656)+1)-FIND("/",Raw_Data!D656)-1)),VALUE(LEFT(Raw_Data!D656,FIND("/",Raw_Data!D656)-1))),IF(ISNUMBER(VALUE(LEFT(Raw_Data!D656,4))),DATE(VALUE(LEFT(Raw_Data!D656,4)),VALUE(MID(Raw_Data!D656,6,2)),VALUE(MID(Raw_Data!D656,9,2))),DATEVALUE(Raw_Data!D656))),"")</f>
        <v>45473</v>
      </c>
      <c r="E656" s="12" t="n">
        <f aca="false">IFERROR(IF(ISNUMBER(SEARCH("/",Raw_Data!E656)),DATE(VALUE(RIGHT(Raw_Data!E656,4)),VALUE(MID(Raw_Data!E656,FIND("/",Raw_Data!E656)+1,FIND("/",Raw_Data!E656,FIND("/",Raw_Data!E656)+1)-FIND("/",Raw_Data!E656)-1)),VALUE(LEFT(Raw_Data!E656,FIND("/",Raw_Data!E656)-1))),IF(ISNUMBER(VALUE(LEFT(Raw_Data!E656,4))),DATE(VALUE(LEFT(Raw_Data!E656,4)),VALUE(MID(Raw_Data!E656,6,2)),VALUE(MID(Raw_Data!E656,9,2))),DATEVALUE(Raw_Data!E656))),"")</f>
        <v>45484</v>
      </c>
      <c r="F656" s="11" t="str">
        <f aca="false">Raw_Data!F656</f>
        <v>Female 35-44</v>
      </c>
      <c r="G656" s="11" t="str">
        <f aca="false">IF(TRIM(Raw_Data!G656)="","Unspecified",IFERROR(INDEX(Lookup_Tables!$F$2:$F$24,MATCH(UPPER(TRIM(Raw_Data!G656)),Lookup_Tables!$G$2:$G$24,0)),"Unknown"))</f>
        <v>North</v>
      </c>
      <c r="H656" s="11" t="n">
        <f aca="false">IF(Raw_Data!H656="",ROUND(AVERAGEIFS(Raw_Data!$H$2:$H$839,Raw_Data!$C$2:$C$839,Raw_Data!C656),2),Raw_Data!H656)</f>
        <v>18099.2</v>
      </c>
      <c r="I656" s="11" t="n">
        <f aca="false">Raw_Data!I656</f>
        <v>473299</v>
      </c>
      <c r="J656" s="11" t="n">
        <f aca="false">IF(Raw_Data!J656&lt;0,ABS(Raw_Data!J656),Raw_Data!J656)</f>
        <v>4476</v>
      </c>
      <c r="K656" s="11" t="n">
        <f aca="false">Raw_Data!K656</f>
        <v>237</v>
      </c>
      <c r="L656" s="11" t="n">
        <f aca="false">IF(Raw_Data!L656="",ROUND(AVERAGEIFS(Raw_Data!$L$2:$L$839,Raw_Data!$C$2:$C$839,Raw_Data!C656),2),Raw_Data!L656)</f>
        <v>294974.2</v>
      </c>
      <c r="M656" s="13" t="n">
        <f aca="false">IFERROR(J656/I656,0)</f>
        <v>0.00945702399540248</v>
      </c>
      <c r="N656" s="14" t="n">
        <f aca="false">IFERROR(H656/J656,0)</f>
        <v>4.04361036639857</v>
      </c>
      <c r="O656" s="14" t="n">
        <f aca="false">IFERROR(H656/K656,0)</f>
        <v>76.3679324894515</v>
      </c>
      <c r="P656" s="15" t="n">
        <f aca="false">IFERROR(L656/H656,0)</f>
        <v>16.2976374646393</v>
      </c>
      <c r="Q656" s="13" t="n">
        <f aca="false">IFERROR(K656/J656,0)</f>
        <v>0.0529490616621984</v>
      </c>
      <c r="R656" s="11" t="str">
        <f aca="false">IF(COUNTIF($A$2:A656,A656)&gt;1,"Duplicate - Remove","Unique")</f>
        <v>Unique</v>
      </c>
      <c r="S656" s="11" t="str">
        <f aca="false">TRIM(IF(Raw_Data!G656="","Region missing; ","")&amp;IF(Raw_Data!H656="","Spend imputed; ","")&amp;IF(Raw_Data!L656="","Revenue imputed; ","")&amp;IF(Raw_Data!J656&lt;0,"Clicks corrected; ",""))</f>
        <v/>
      </c>
    </row>
    <row r="657" customFormat="false" ht="15" hidden="false" customHeight="true" outlineLevel="0" collapsed="false">
      <c r="A657" s="11" t="n">
        <f aca="false">Raw_Data!A657</f>
        <v>1659</v>
      </c>
      <c r="B657" s="11" t="str">
        <f aca="false">PROPER(TRIM(Raw_Data!B657))</f>
        <v>Clearance Sale Push</v>
      </c>
      <c r="C657" s="11" t="str">
        <f aca="false">IFERROR(INDEX(Lookup_Tables!$B$2:$B$26,MATCH(UPPER(TRIM(Raw_Data!C657)),Lookup_Tables!$C$2:$C$26,0)),"Unknown")</f>
        <v>Google Ads</v>
      </c>
      <c r="D657" s="12" t="n">
        <f aca="false">IFERROR(IF(ISNUMBER(SEARCH("/",Raw_Data!D657)),DATE(VALUE(RIGHT(Raw_Data!D657,4)),VALUE(MID(Raw_Data!D657,FIND("/",Raw_Data!D657)+1,FIND("/",Raw_Data!D657,FIND("/",Raw_Data!D657)+1)-FIND("/",Raw_Data!D657)-1)),VALUE(LEFT(Raw_Data!D657,FIND("/",Raw_Data!D657)-1))),IF(ISNUMBER(VALUE(LEFT(Raw_Data!D657,4))),DATE(VALUE(LEFT(Raw_Data!D657,4)),VALUE(MID(Raw_Data!D657,6,2)),VALUE(MID(Raw_Data!D657,9,2))),DATEVALUE(Raw_Data!D657))),"")</f>
        <v>45623</v>
      </c>
      <c r="E657" s="12" t="n">
        <f aca="false">IFERROR(IF(ISNUMBER(SEARCH("/",Raw_Data!E657)),DATE(VALUE(RIGHT(Raw_Data!E657,4)),VALUE(MID(Raw_Data!E657,FIND("/",Raw_Data!E657)+1,FIND("/",Raw_Data!E657,FIND("/",Raw_Data!E657)+1)-FIND("/",Raw_Data!E657)-1)),VALUE(LEFT(Raw_Data!E657,FIND("/",Raw_Data!E657)-1))),IF(ISNUMBER(VALUE(LEFT(Raw_Data!E657,4))),DATE(VALUE(LEFT(Raw_Data!E657,4)),VALUE(MID(Raw_Data!E657,6,2)),VALUE(MID(Raw_Data!E657,9,2))),DATEVALUE(Raw_Data!E657))),"")</f>
        <v>45638</v>
      </c>
      <c r="F657" s="11" t="str">
        <f aca="false">Raw_Data!F657</f>
        <v>Male 25-34</v>
      </c>
      <c r="G657" s="11" t="str">
        <f aca="false">IF(TRIM(Raw_Data!G657)="","Unspecified",IFERROR(INDEX(Lookup_Tables!$F$2:$F$24,MATCH(UPPER(TRIM(Raw_Data!G657)),Lookup_Tables!$G$2:$G$24,0)),"Unknown"))</f>
        <v>Unspecified</v>
      </c>
      <c r="H657" s="11" t="n">
        <f aca="false">IF(Raw_Data!H657="",ROUND(AVERAGEIFS(Raw_Data!$H$2:$H$839,Raw_Data!$C$2:$C$839,Raw_Data!C657),2),Raw_Data!H657)</f>
        <v>19851.51</v>
      </c>
      <c r="I657" s="11" t="n">
        <f aca="false">Raw_Data!I657</f>
        <v>421347</v>
      </c>
      <c r="J657" s="11" t="n">
        <f aca="false">IF(Raw_Data!J657&lt;0,ABS(Raw_Data!J657),Raw_Data!J657)</f>
        <v>9243</v>
      </c>
      <c r="K657" s="11" t="n">
        <f aca="false">Raw_Data!K657</f>
        <v>175</v>
      </c>
      <c r="L657" s="11" t="n">
        <f aca="false">IF(Raw_Data!L657="",ROUND(AVERAGEIFS(Raw_Data!$L$2:$L$839,Raw_Data!$C$2:$C$839,Raw_Data!C657),2),Raw_Data!L657)</f>
        <v>100773.67</v>
      </c>
      <c r="M657" s="13" t="n">
        <f aca="false">IFERROR(J657/I657,0)</f>
        <v>0.0219367884427799</v>
      </c>
      <c r="N657" s="14" t="n">
        <f aca="false">IFERROR(H657/J657,0)</f>
        <v>2.14773450178513</v>
      </c>
      <c r="O657" s="14" t="n">
        <f aca="false">IFERROR(H657/K657,0)</f>
        <v>113.4372</v>
      </c>
      <c r="P657" s="15" t="n">
        <f aca="false">IFERROR(L657/H657,0)</f>
        <v>5.07637303157291</v>
      </c>
      <c r="Q657" s="13" t="n">
        <f aca="false">IFERROR(K657/J657,0)</f>
        <v>0.018933246781348</v>
      </c>
      <c r="R657" s="11" t="str">
        <f aca="false">IF(COUNTIF($A$2:A657,A657)&gt;1,"Duplicate - Remove","Unique")</f>
        <v>Unique</v>
      </c>
      <c r="S657" s="11" t="str">
        <f aca="false">TRIM(IF(Raw_Data!G657="","Region missing; ","")&amp;IF(Raw_Data!H657="","Spend imputed; ","")&amp;IF(Raw_Data!L657="","Revenue imputed; ","")&amp;IF(Raw_Data!J657&lt;0,"Clicks corrected; ",""))</f>
        <v>Region missing;</v>
      </c>
    </row>
    <row r="658" customFormat="false" ht="15" hidden="false" customHeight="true" outlineLevel="0" collapsed="false">
      <c r="A658" s="11" t="n">
        <f aca="false">Raw_Data!A658</f>
        <v>1647</v>
      </c>
      <c r="B658" s="11" t="str">
        <f aca="false">PROPER(TRIM(Raw_Data!B658))</f>
        <v>Ayurvedic Range Launch</v>
      </c>
      <c r="C658" s="11" t="str">
        <f aca="false">IFERROR(INDEX(Lookup_Tables!$B$2:$B$26,MATCH(UPPER(TRIM(Raw_Data!C658)),Lookup_Tables!$C$2:$C$26,0)),"Unknown")</f>
        <v>YouTube</v>
      </c>
      <c r="D658" s="12" t="n">
        <f aca="false">IFERROR(IF(ISNUMBER(SEARCH("/",Raw_Data!D658)),DATE(VALUE(RIGHT(Raw_Data!D658,4)),VALUE(MID(Raw_Data!D658,FIND("/",Raw_Data!D658)+1,FIND("/",Raw_Data!D658,FIND("/",Raw_Data!D658)+1)-FIND("/",Raw_Data!D658)-1)),VALUE(LEFT(Raw_Data!D658,FIND("/",Raw_Data!D658)-1))),IF(ISNUMBER(VALUE(LEFT(Raw_Data!D658,4))),DATE(VALUE(LEFT(Raw_Data!D658,4)),VALUE(MID(Raw_Data!D658,6,2)),VALUE(MID(Raw_Data!D658,9,2))),DATEVALUE(Raw_Data!D658))),"")</f>
        <v>45447</v>
      </c>
      <c r="E658" s="12" t="n">
        <f aca="false">IFERROR(IF(ISNUMBER(SEARCH("/",Raw_Data!E658)),DATE(VALUE(RIGHT(Raw_Data!E658,4)),VALUE(MID(Raw_Data!E658,FIND("/",Raw_Data!E658)+1,FIND("/",Raw_Data!E658,FIND("/",Raw_Data!E658)+1)-FIND("/",Raw_Data!E658)-1)),VALUE(LEFT(Raw_Data!E658,FIND("/",Raw_Data!E658)-1))),IF(ISNUMBER(VALUE(LEFT(Raw_Data!E658,4))),DATE(VALUE(LEFT(Raw_Data!E658,4)),VALUE(MID(Raw_Data!E658,6,2)),VALUE(MID(Raw_Data!E658,9,2))),DATEVALUE(Raw_Data!E658))),"")</f>
        <v>45463</v>
      </c>
      <c r="F658" s="11" t="str">
        <f aca="false">Raw_Data!F658</f>
        <v>Male 45+</v>
      </c>
      <c r="G658" s="11" t="str">
        <f aca="false">IF(TRIM(Raw_Data!G658)="","Unspecified",IFERROR(INDEX(Lookup_Tables!$F$2:$F$24,MATCH(UPPER(TRIM(Raw_Data!G658)),Lookup_Tables!$G$2:$G$24,0)),"Unknown"))</f>
        <v>East</v>
      </c>
      <c r="H658" s="11" t="n">
        <f aca="false">IF(Raw_Data!H658="",ROUND(AVERAGEIFS(Raw_Data!$H$2:$H$839,Raw_Data!$C$2:$C$839,Raw_Data!C658),2),Raw_Data!H658)</f>
        <v>37967.43</v>
      </c>
      <c r="I658" s="11" t="n">
        <f aca="false">Raw_Data!I658</f>
        <v>1259293</v>
      </c>
      <c r="J658" s="11" t="n">
        <f aca="false">IF(Raw_Data!J658&lt;0,ABS(Raw_Data!J658),Raw_Data!J658)</f>
        <v>37623</v>
      </c>
      <c r="K658" s="11" t="n">
        <f aca="false">Raw_Data!K658</f>
        <v>1206</v>
      </c>
      <c r="L658" s="11" t="n">
        <f aca="false">IF(Raw_Data!L658="",ROUND(AVERAGEIFS(Raw_Data!$L$2:$L$839,Raw_Data!$C$2:$C$839,Raw_Data!C658),2),Raw_Data!L658)</f>
        <v>960729.13</v>
      </c>
      <c r="M658" s="13" t="n">
        <f aca="false">IFERROR(J658/I658,0)</f>
        <v>0.0298762877265259</v>
      </c>
      <c r="N658" s="14" t="n">
        <f aca="false">IFERROR(H658/J658,0)</f>
        <v>1.0091547723467</v>
      </c>
      <c r="O658" s="14" t="n">
        <f aca="false">IFERROR(H658/K658,0)</f>
        <v>31.4821144278607</v>
      </c>
      <c r="P658" s="15" t="n">
        <f aca="false">IFERROR(L658/H658,0)</f>
        <v>25.3040337468193</v>
      </c>
      <c r="Q658" s="13" t="n">
        <f aca="false">IFERROR(K658/J658,0)</f>
        <v>0.0320548600590065</v>
      </c>
      <c r="R658" s="11" t="str">
        <f aca="false">IF(COUNTIF($A$2:A658,A658)&gt;1,"Duplicate - Remove","Unique")</f>
        <v>Unique</v>
      </c>
      <c r="S658" s="11" t="str">
        <f aca="false">TRIM(IF(Raw_Data!G658="","Region missing; ","")&amp;IF(Raw_Data!H658="","Spend imputed; ","")&amp;IF(Raw_Data!L658="","Revenue imputed; ","")&amp;IF(Raw_Data!J658&lt;0,"Clicks corrected; ",""))</f>
        <v>Clicks corrected;</v>
      </c>
    </row>
    <row r="659" customFormat="false" ht="15" hidden="false" customHeight="true" outlineLevel="0" collapsed="false">
      <c r="A659" s="11" t="n">
        <f aca="false">Raw_Data!A659</f>
        <v>1299</v>
      </c>
      <c r="B659" s="11" t="str">
        <f aca="false">PROPER(TRIM(Raw_Data!B659))</f>
        <v>Festive Gift Bundle</v>
      </c>
      <c r="C659" s="11" t="str">
        <f aca="false">IFERROR(INDEX(Lookup_Tables!$B$2:$B$26,MATCH(UPPER(TRIM(Raw_Data!C659)),Lookup_Tables!$C$2:$C$26,0)),"Unknown")</f>
        <v>Instagram</v>
      </c>
      <c r="D659" s="12" t="n">
        <f aca="false">IFERROR(IF(ISNUMBER(SEARCH("/",Raw_Data!D659)),DATE(VALUE(RIGHT(Raw_Data!D659,4)),VALUE(MID(Raw_Data!D659,FIND("/",Raw_Data!D659)+1,FIND("/",Raw_Data!D659,FIND("/",Raw_Data!D659)+1)-FIND("/",Raw_Data!D659)-1)),VALUE(LEFT(Raw_Data!D659,FIND("/",Raw_Data!D659)-1))),IF(ISNUMBER(VALUE(LEFT(Raw_Data!D659,4))),DATE(VALUE(LEFT(Raw_Data!D659,4)),VALUE(MID(Raw_Data!D659,6,2)),VALUE(MID(Raw_Data!D659,9,2))),DATEVALUE(Raw_Data!D659))),"")</f>
        <v>45525</v>
      </c>
      <c r="E659" s="12" t="n">
        <f aca="false">IFERROR(IF(ISNUMBER(SEARCH("/",Raw_Data!E659)),DATE(VALUE(RIGHT(Raw_Data!E659,4)),VALUE(MID(Raw_Data!E659,FIND("/",Raw_Data!E659)+1,FIND("/",Raw_Data!E659,FIND("/",Raw_Data!E659)+1)-FIND("/",Raw_Data!E659)-1)),VALUE(LEFT(Raw_Data!E659,FIND("/",Raw_Data!E659)-1))),IF(ISNUMBER(VALUE(LEFT(Raw_Data!E659,4))),DATE(VALUE(LEFT(Raw_Data!E659,4)),VALUE(MID(Raw_Data!E659,6,2)),VALUE(MID(Raw_Data!E659,9,2))),DATEVALUE(Raw_Data!E659))),"")</f>
        <v>45555</v>
      </c>
      <c r="F659" s="11" t="str">
        <f aca="false">Raw_Data!F659</f>
        <v>Female 45+</v>
      </c>
      <c r="G659" s="11" t="str">
        <f aca="false">IF(TRIM(Raw_Data!G659)="","Unspecified",IFERROR(INDEX(Lookup_Tables!$F$2:$F$24,MATCH(UPPER(TRIM(Raw_Data!G659)),Lookup_Tables!$G$2:$G$24,0)),"Unknown"))</f>
        <v>West</v>
      </c>
      <c r="H659" s="11" t="n">
        <f aca="false">IF(Raw_Data!H659="",ROUND(AVERAGEIFS(Raw_Data!$H$2:$H$839,Raw_Data!$C$2:$C$839,Raw_Data!C659),2),Raw_Data!H659)</f>
        <v>39430.33</v>
      </c>
      <c r="I659" s="11" t="n">
        <f aca="false">Raw_Data!I659</f>
        <v>1011096</v>
      </c>
      <c r="J659" s="11" t="n">
        <f aca="false">IF(Raw_Data!J659&lt;0,ABS(Raw_Data!J659),Raw_Data!J659)</f>
        <v>10509</v>
      </c>
      <c r="K659" s="11" t="n">
        <f aca="false">Raw_Data!K659</f>
        <v>479</v>
      </c>
      <c r="L659" s="11" t="n">
        <f aca="false">IF(Raw_Data!L659="",ROUND(AVERAGEIFS(Raw_Data!$L$2:$L$839,Raw_Data!$C$2:$C$839,Raw_Data!C659),2),Raw_Data!L659)</f>
        <v>551076.35</v>
      </c>
      <c r="M659" s="13" t="n">
        <f aca="false">IFERROR(J659/I659,0)</f>
        <v>0.0103936718175129</v>
      </c>
      <c r="N659" s="14" t="n">
        <f aca="false">IFERROR(H659/J659,0)</f>
        <v>3.75205347797126</v>
      </c>
      <c r="O659" s="14" t="n">
        <f aca="false">IFERROR(H659/K659,0)</f>
        <v>82.3180167014614</v>
      </c>
      <c r="P659" s="15" t="n">
        <f aca="false">IFERROR(L659/H659,0)</f>
        <v>13.9759507465446</v>
      </c>
      <c r="Q659" s="13" t="n">
        <f aca="false">IFERROR(K659/J659,0)</f>
        <v>0.0455799790655629</v>
      </c>
      <c r="R659" s="11" t="str">
        <f aca="false">IF(COUNTIF($A$2:A659,A659)&gt;1,"Duplicate - Remove","Unique")</f>
        <v>Unique</v>
      </c>
      <c r="S659" s="11" t="str">
        <f aca="false">TRIM(IF(Raw_Data!G659="","Region missing; ","")&amp;IF(Raw_Data!H659="","Spend imputed; ","")&amp;IF(Raw_Data!L659="","Revenue imputed; ","")&amp;IF(Raw_Data!J659&lt;0,"Clicks corrected; ",""))</f>
        <v/>
      </c>
    </row>
    <row r="660" customFormat="false" ht="15" hidden="false" customHeight="true" outlineLevel="0" collapsed="false">
      <c r="A660" s="11" t="n">
        <f aca="false">Raw_Data!A660</f>
        <v>1400</v>
      </c>
      <c r="B660" s="11" t="str">
        <f aca="false">PROPER(TRIM(Raw_Data!B660))</f>
        <v>Ayurvedic Range Launch</v>
      </c>
      <c r="C660" s="11" t="str">
        <f aca="false">IFERROR(INDEX(Lookup_Tables!$B$2:$B$26,MATCH(UPPER(TRIM(Raw_Data!C660)),Lookup_Tables!$C$2:$C$26,0)),"Unknown")</f>
        <v>Google Ads</v>
      </c>
      <c r="D660" s="12" t="n">
        <f aca="false">IFERROR(IF(ISNUMBER(SEARCH("/",Raw_Data!D660)),DATE(VALUE(RIGHT(Raw_Data!D660,4)),VALUE(MID(Raw_Data!D660,FIND("/",Raw_Data!D660)+1,FIND("/",Raw_Data!D660,FIND("/",Raw_Data!D660)+1)-FIND("/",Raw_Data!D660)-1)),VALUE(LEFT(Raw_Data!D660,FIND("/",Raw_Data!D660)-1))),IF(ISNUMBER(VALUE(LEFT(Raw_Data!D660,4))),DATE(VALUE(LEFT(Raw_Data!D660,4)),VALUE(MID(Raw_Data!D660,6,2)),VALUE(MID(Raw_Data!D660,9,2))),DATEVALUE(Raw_Data!D660))),"")</f>
        <v>45583</v>
      </c>
      <c r="E660" s="12" t="n">
        <f aca="false">IFERROR(IF(ISNUMBER(SEARCH("/",Raw_Data!E660)),DATE(VALUE(RIGHT(Raw_Data!E660,4)),VALUE(MID(Raw_Data!E660,FIND("/",Raw_Data!E660)+1,FIND("/",Raw_Data!E660,FIND("/",Raw_Data!E660)+1)-FIND("/",Raw_Data!E660)-1)),VALUE(LEFT(Raw_Data!E660,FIND("/",Raw_Data!E660)-1))),IF(ISNUMBER(VALUE(LEFT(Raw_Data!E660,4))),DATE(VALUE(LEFT(Raw_Data!E660,4)),VALUE(MID(Raw_Data!E660,6,2)),VALUE(MID(Raw_Data!E660,9,2))),DATEVALUE(Raw_Data!E660))),"")</f>
        <v>45604</v>
      </c>
      <c r="F660" s="11" t="str">
        <f aca="false">Raw_Data!F660</f>
        <v>Female 18-24</v>
      </c>
      <c r="G660" s="11" t="str">
        <f aca="false">IF(TRIM(Raw_Data!G660)="","Unspecified",IFERROR(INDEX(Lookup_Tables!$F$2:$F$24,MATCH(UPPER(TRIM(Raw_Data!G660)),Lookup_Tables!$G$2:$G$24,0)),"Unknown"))</f>
        <v>South</v>
      </c>
      <c r="H660" s="11" t="n">
        <f aca="false">IF(Raw_Data!H660="",ROUND(AVERAGEIFS(Raw_Data!$H$2:$H$839,Raw_Data!$C$2:$C$839,Raw_Data!C660),2),Raw_Data!H660)</f>
        <v>62539.1</v>
      </c>
      <c r="I660" s="11" t="n">
        <f aca="false">Raw_Data!I660</f>
        <v>1723950</v>
      </c>
      <c r="J660" s="11" t="n">
        <f aca="false">IF(Raw_Data!J660&lt;0,ABS(Raw_Data!J660),Raw_Data!J660)</f>
        <v>9585</v>
      </c>
      <c r="K660" s="11" t="n">
        <f aca="false">Raw_Data!K660</f>
        <v>537</v>
      </c>
      <c r="L660" s="11" t="n">
        <f aca="false">IF(Raw_Data!L660="",ROUND(AVERAGEIFS(Raw_Data!$L$2:$L$839,Raw_Data!$C$2:$C$839,Raw_Data!C660),2),Raw_Data!L660)</f>
        <v>602082.35</v>
      </c>
      <c r="M660" s="13" t="n">
        <f aca="false">IFERROR(J660/I660,0)</f>
        <v>0.00555990602975724</v>
      </c>
      <c r="N660" s="14" t="n">
        <f aca="false">IFERROR(H660/J660,0)</f>
        <v>6.52468440271257</v>
      </c>
      <c r="O660" s="14" t="n">
        <f aca="false">IFERROR(H660/K660,0)</f>
        <v>116.460148975791</v>
      </c>
      <c r="P660" s="15" t="n">
        <f aca="false">IFERROR(L660/H660,0)</f>
        <v>9.62729476439539</v>
      </c>
      <c r="Q660" s="13" t="n">
        <f aca="false">IFERROR(K660/J660,0)</f>
        <v>0.0560250391236307</v>
      </c>
      <c r="R660" s="11" t="str">
        <f aca="false">IF(COUNTIF($A$2:A660,A660)&gt;1,"Duplicate - Remove","Unique")</f>
        <v>Unique</v>
      </c>
      <c r="S660" s="11" t="str">
        <f aca="false">TRIM(IF(Raw_Data!G660="","Region missing; ","")&amp;IF(Raw_Data!H660="","Spend imputed; ","")&amp;IF(Raw_Data!L660="","Revenue imputed; ","")&amp;IF(Raw_Data!J660&lt;0,"Clicks corrected; ",""))</f>
        <v/>
      </c>
    </row>
    <row r="661" customFormat="false" ht="15" hidden="false" customHeight="true" outlineLevel="0" collapsed="false">
      <c r="A661" s="11" t="n">
        <f aca="false">Raw_Data!A661</f>
        <v>1783</v>
      </c>
      <c r="B661" s="11" t="str">
        <f aca="false">PROPER(TRIM(Raw_Data!B661))</f>
        <v>Sunscreen Season Campaign</v>
      </c>
      <c r="C661" s="11" t="str">
        <f aca="false">IFERROR(INDEX(Lookup_Tables!$B$2:$B$26,MATCH(UPPER(TRIM(Raw_Data!C661)),Lookup_Tables!$C$2:$C$26,0)),"Unknown")</f>
        <v>Instagram</v>
      </c>
      <c r="D661" s="12" t="n">
        <f aca="false">IFERROR(IF(ISNUMBER(SEARCH("/",Raw_Data!D661)),DATE(VALUE(RIGHT(Raw_Data!D661,4)),VALUE(MID(Raw_Data!D661,FIND("/",Raw_Data!D661)+1,FIND("/",Raw_Data!D661,FIND("/",Raw_Data!D661)+1)-FIND("/",Raw_Data!D661)-1)),VALUE(LEFT(Raw_Data!D661,FIND("/",Raw_Data!D661)-1))),IF(ISNUMBER(VALUE(LEFT(Raw_Data!D661,4))),DATE(VALUE(LEFT(Raw_Data!D661,4)),VALUE(MID(Raw_Data!D661,6,2)),VALUE(MID(Raw_Data!D661,9,2))),DATEVALUE(Raw_Data!D661))),"")</f>
        <v>45312</v>
      </c>
      <c r="E661" s="12" t="n">
        <f aca="false">IFERROR(IF(ISNUMBER(SEARCH("/",Raw_Data!E661)),DATE(VALUE(RIGHT(Raw_Data!E661,4)),VALUE(MID(Raw_Data!E661,FIND("/",Raw_Data!E661)+1,FIND("/",Raw_Data!E661,FIND("/",Raw_Data!E661)+1)-FIND("/",Raw_Data!E661)-1)),VALUE(LEFT(Raw_Data!E661,FIND("/",Raw_Data!E661)-1))),IF(ISNUMBER(VALUE(LEFT(Raw_Data!E661,4))),DATE(VALUE(LEFT(Raw_Data!E661,4)),VALUE(MID(Raw_Data!E661,6,2)),VALUE(MID(Raw_Data!E661,9,2))),DATEVALUE(Raw_Data!E661))),"")</f>
        <v>45322</v>
      </c>
      <c r="F661" s="11" t="str">
        <f aca="false">Raw_Data!F661</f>
        <v>Female 25-34</v>
      </c>
      <c r="G661" s="11" t="str">
        <f aca="false">IF(TRIM(Raw_Data!G661)="","Unspecified",IFERROR(INDEX(Lookup_Tables!$F$2:$F$24,MATCH(UPPER(TRIM(Raw_Data!G661)),Lookup_Tables!$G$2:$G$24,0)),"Unknown"))</f>
        <v>East</v>
      </c>
      <c r="H661" s="11" t="n">
        <f aca="false">IF(Raw_Data!H661="",ROUND(AVERAGEIFS(Raw_Data!$H$2:$H$839,Raw_Data!$C$2:$C$839,Raw_Data!C661),2),Raw_Data!H661)</f>
        <v>25167.37</v>
      </c>
      <c r="I661" s="11" t="n">
        <f aca="false">Raw_Data!I661</f>
        <v>402012</v>
      </c>
      <c r="J661" s="11" t="n">
        <f aca="false">IF(Raw_Data!J661&lt;0,ABS(Raw_Data!J661),Raw_Data!J661)</f>
        <v>9039</v>
      </c>
      <c r="K661" s="11" t="n">
        <f aca="false">Raw_Data!K661</f>
        <v>715</v>
      </c>
      <c r="L661" s="11" t="n">
        <f aca="false">IF(Raw_Data!L661="",ROUND(AVERAGEIFS(Raw_Data!$L$2:$L$839,Raw_Data!$C$2:$C$839,Raw_Data!C661),2),Raw_Data!L661)</f>
        <v>887191.2</v>
      </c>
      <c r="M661" s="13" t="n">
        <f aca="false">IFERROR(J661/I661,0)</f>
        <v>0.0224844034506433</v>
      </c>
      <c r="N661" s="14" t="n">
        <f aca="false">IFERROR(H661/J661,0)</f>
        <v>2.78430910498949</v>
      </c>
      <c r="O661" s="14" t="n">
        <f aca="false">IFERROR(H661/K661,0)</f>
        <v>35.1991188811189</v>
      </c>
      <c r="P661" s="15" t="n">
        <f aca="false">IFERROR(L661/H661,0)</f>
        <v>35.251645285145</v>
      </c>
      <c r="Q661" s="13" t="n">
        <f aca="false">IFERROR(K661/J661,0)</f>
        <v>0.0791016705387764</v>
      </c>
      <c r="R661" s="11" t="str">
        <f aca="false">IF(COUNTIF($A$2:A661,A661)&gt;1,"Duplicate - Remove","Unique")</f>
        <v>Unique</v>
      </c>
      <c r="S661" s="11" t="str">
        <f aca="false">TRIM(IF(Raw_Data!G661="","Region missing; ","")&amp;IF(Raw_Data!H661="","Spend imputed; ","")&amp;IF(Raw_Data!L661="","Revenue imputed; ","")&amp;IF(Raw_Data!J661&lt;0,"Clicks corrected; ",""))</f>
        <v/>
      </c>
    </row>
    <row r="662" customFormat="false" ht="15" hidden="false" customHeight="true" outlineLevel="0" collapsed="false">
      <c r="A662" s="11" t="n">
        <f aca="false">Raw_Data!A662</f>
        <v>1474</v>
      </c>
      <c r="B662" s="11" t="str">
        <f aca="false">PROPER(TRIM(Raw_Data!B662))</f>
        <v>Ayurvedic Range Launch</v>
      </c>
      <c r="C662" s="11" t="str">
        <f aca="false">IFERROR(INDEX(Lookup_Tables!$B$2:$B$26,MATCH(UPPER(TRIM(Raw_Data!C662)),Lookup_Tables!$C$2:$C$26,0)),"Unknown")</f>
        <v>Google Ads</v>
      </c>
      <c r="D662" s="12" t="n">
        <f aca="false">IFERROR(IF(ISNUMBER(SEARCH("/",Raw_Data!D662)),DATE(VALUE(RIGHT(Raw_Data!D662,4)),VALUE(MID(Raw_Data!D662,FIND("/",Raw_Data!D662)+1,FIND("/",Raw_Data!D662,FIND("/",Raw_Data!D662)+1)-FIND("/",Raw_Data!D662)-1)),VALUE(LEFT(Raw_Data!D662,FIND("/",Raw_Data!D662)-1))),IF(ISNUMBER(VALUE(LEFT(Raw_Data!D662,4))),DATE(VALUE(LEFT(Raw_Data!D662,4)),VALUE(MID(Raw_Data!D662,6,2)),VALUE(MID(Raw_Data!D662,9,2))),DATEVALUE(Raw_Data!D662))),"")</f>
        <v>45438</v>
      </c>
      <c r="E662" s="12" t="n">
        <f aca="false">IFERROR(IF(ISNUMBER(SEARCH("/",Raw_Data!E662)),DATE(VALUE(RIGHT(Raw_Data!E662,4)),VALUE(MID(Raw_Data!E662,FIND("/",Raw_Data!E662)+1,FIND("/",Raw_Data!E662,FIND("/",Raw_Data!E662)+1)-FIND("/",Raw_Data!E662)-1)),VALUE(LEFT(Raw_Data!E662,FIND("/",Raw_Data!E662)-1))),IF(ISNUMBER(VALUE(LEFT(Raw_Data!E662,4))),DATE(VALUE(LEFT(Raw_Data!E662,4)),VALUE(MID(Raw_Data!E662,6,2)),VALUE(MID(Raw_Data!E662,9,2))),DATEVALUE(Raw_Data!E662))),"")</f>
        <v>45460</v>
      </c>
      <c r="F662" s="11" t="str">
        <f aca="false">Raw_Data!F662</f>
        <v>Female 25-34</v>
      </c>
      <c r="G662" s="11" t="str">
        <f aca="false">IF(TRIM(Raw_Data!G662)="","Unspecified",IFERROR(INDEX(Lookup_Tables!$F$2:$F$24,MATCH(UPPER(TRIM(Raw_Data!G662)),Lookup_Tables!$G$2:$G$24,0)),"Unknown"))</f>
        <v>North</v>
      </c>
      <c r="H662" s="11" t="n">
        <f aca="false">IF(Raw_Data!H662="",ROUND(AVERAGEIFS(Raw_Data!$H$2:$H$839,Raw_Data!$C$2:$C$839,Raw_Data!C662),2),Raw_Data!H662)</f>
        <v>66584.28</v>
      </c>
      <c r="I662" s="11" t="n">
        <f aca="false">Raw_Data!I662</f>
        <v>1016566</v>
      </c>
      <c r="J662" s="11" t="n">
        <f aca="false">IF(Raw_Data!J662&lt;0,ABS(Raw_Data!J662),Raw_Data!J662)</f>
        <v>34006</v>
      </c>
      <c r="K662" s="11" t="n">
        <f aca="false">Raw_Data!K662</f>
        <v>1951</v>
      </c>
      <c r="L662" s="11" t="n">
        <f aca="false">IF(Raw_Data!L662="",ROUND(AVERAGEIFS(Raw_Data!$L$2:$L$839,Raw_Data!$C$2:$C$839,Raw_Data!C662),2),Raw_Data!L662)</f>
        <v>3320680.15</v>
      </c>
      <c r="M662" s="13" t="n">
        <f aca="false">IFERROR(J662/I662,0)</f>
        <v>0.0334518368704049</v>
      </c>
      <c r="N662" s="14" t="n">
        <f aca="false">IFERROR(H662/J662,0)</f>
        <v>1.95801564429807</v>
      </c>
      <c r="O662" s="14" t="n">
        <f aca="false">IFERROR(H662/K662,0)</f>
        <v>34.1282829318298</v>
      </c>
      <c r="P662" s="15" t="n">
        <f aca="false">IFERROR(L662/H662,0)</f>
        <v>49.871833862287</v>
      </c>
      <c r="Q662" s="13" t="n">
        <f aca="false">IFERROR(K662/J662,0)</f>
        <v>0.057372228430277</v>
      </c>
      <c r="R662" s="11" t="str">
        <f aca="false">IF(COUNTIF($A$2:A662,A662)&gt;1,"Duplicate - Remove","Unique")</f>
        <v>Unique</v>
      </c>
      <c r="S662" s="11" t="str">
        <f aca="false">TRIM(IF(Raw_Data!G662="","Region missing; ","")&amp;IF(Raw_Data!H662="","Spend imputed; ","")&amp;IF(Raw_Data!L662="","Revenue imputed; ","")&amp;IF(Raw_Data!J662&lt;0,"Clicks corrected; ",""))</f>
        <v/>
      </c>
    </row>
    <row r="663" customFormat="false" ht="15" hidden="false" customHeight="true" outlineLevel="0" collapsed="false">
      <c r="A663" s="11" t="n">
        <f aca="false">Raw_Data!A663</f>
        <v>1084</v>
      </c>
      <c r="B663" s="11" t="str">
        <f aca="false">PROPER(TRIM(Raw_Data!B663))</f>
        <v>Monsoon Skincare Push</v>
      </c>
      <c r="C663" s="11" t="str">
        <f aca="false">IFERROR(INDEX(Lookup_Tables!$B$2:$B$26,MATCH(UPPER(TRIM(Raw_Data!C663)),Lookup_Tables!$C$2:$C$26,0)),"Unknown")</f>
        <v>Instagram</v>
      </c>
      <c r="D663" s="12" t="n">
        <f aca="false">IFERROR(IF(ISNUMBER(SEARCH("/",Raw_Data!D663)),DATE(VALUE(RIGHT(Raw_Data!D663,4)),VALUE(MID(Raw_Data!D663,FIND("/",Raw_Data!D663)+1,FIND("/",Raw_Data!D663,FIND("/",Raw_Data!D663)+1)-FIND("/",Raw_Data!D663)-1)),VALUE(LEFT(Raw_Data!D663,FIND("/",Raw_Data!D663)-1))),IF(ISNUMBER(VALUE(LEFT(Raw_Data!D663,4))),DATE(VALUE(LEFT(Raw_Data!D663,4)),VALUE(MID(Raw_Data!D663,6,2)),VALUE(MID(Raw_Data!D663,9,2))),DATEVALUE(Raw_Data!D663))),"")</f>
        <v>45332</v>
      </c>
      <c r="E663" s="12" t="n">
        <f aca="false">IFERROR(IF(ISNUMBER(SEARCH("/",Raw_Data!E663)),DATE(VALUE(RIGHT(Raw_Data!E663,4)),VALUE(MID(Raw_Data!E663,FIND("/",Raw_Data!E663)+1,FIND("/",Raw_Data!E663,FIND("/",Raw_Data!E663)+1)-FIND("/",Raw_Data!E663)-1)),VALUE(LEFT(Raw_Data!E663,FIND("/",Raw_Data!E663)-1))),IF(ISNUMBER(VALUE(LEFT(Raw_Data!E663,4))),DATE(VALUE(LEFT(Raw_Data!E663,4)),VALUE(MID(Raw_Data!E663,6,2)),VALUE(MID(Raw_Data!E663,9,2))),DATEVALUE(Raw_Data!E663))),"")</f>
        <v>45347</v>
      </c>
      <c r="F663" s="11" t="str">
        <f aca="false">Raw_Data!F663</f>
        <v>Female 25-34</v>
      </c>
      <c r="G663" s="11" t="str">
        <f aca="false">IF(TRIM(Raw_Data!G663)="","Unspecified",IFERROR(INDEX(Lookup_Tables!$F$2:$F$24,MATCH(UPPER(TRIM(Raw_Data!G663)),Lookup_Tables!$G$2:$G$24,0)),"Unknown"))</f>
        <v>South</v>
      </c>
      <c r="H663" s="11" t="n">
        <f aca="false">IF(Raw_Data!H663="",ROUND(AVERAGEIFS(Raw_Data!$H$2:$H$839,Raw_Data!$C$2:$C$839,Raw_Data!C663),2),Raw_Data!H663)</f>
        <v>23373.28</v>
      </c>
      <c r="I663" s="11" t="n">
        <f aca="false">Raw_Data!I663</f>
        <v>611162</v>
      </c>
      <c r="J663" s="11" t="n">
        <f aca="false">IF(Raw_Data!J663&lt;0,ABS(Raw_Data!J663),Raw_Data!J663)</f>
        <v>16214</v>
      </c>
      <c r="K663" s="11" t="n">
        <f aca="false">Raw_Data!K663</f>
        <v>351</v>
      </c>
      <c r="L663" s="11" t="n">
        <f aca="false">IF(Raw_Data!L663="",ROUND(AVERAGEIFS(Raw_Data!$L$2:$L$839,Raw_Data!$C$2:$C$839,Raw_Data!C663),2),Raw_Data!L663)</f>
        <v>348777.17</v>
      </c>
      <c r="M663" s="13" t="n">
        <f aca="false">IFERROR(J663/I663,0)</f>
        <v>0.0265297907919668</v>
      </c>
      <c r="N663" s="14" t="n">
        <f aca="false">IFERROR(H663/J663,0)</f>
        <v>1.44154927840138</v>
      </c>
      <c r="O663" s="14" t="n">
        <f aca="false">IFERROR(H663/K663,0)</f>
        <v>66.5905413105413</v>
      </c>
      <c r="P663" s="15" t="n">
        <f aca="false">IFERROR(L663/H663,0)</f>
        <v>14.9220464564665</v>
      </c>
      <c r="Q663" s="13" t="n">
        <f aca="false">IFERROR(K663/J663,0)</f>
        <v>0.0216479585543358</v>
      </c>
      <c r="R663" s="11" t="str">
        <f aca="false">IF(COUNTIF($A$2:A663,A663)&gt;1,"Duplicate - Remove","Unique")</f>
        <v>Duplicate - Remove</v>
      </c>
      <c r="S663" s="11" t="str">
        <f aca="false">TRIM(IF(Raw_Data!G663="","Region missing; ","")&amp;IF(Raw_Data!H663="","Spend imputed; ","")&amp;IF(Raw_Data!L663="","Revenue imputed; ","")&amp;IF(Raw_Data!J663&lt;0,"Clicks corrected; ",""))</f>
        <v/>
      </c>
    </row>
    <row r="664" customFormat="false" ht="15" hidden="false" customHeight="true" outlineLevel="0" collapsed="false">
      <c r="A664" s="11" t="n">
        <f aca="false">Raw_Data!A664</f>
        <v>1258</v>
      </c>
      <c r="B664" s="11" t="str">
        <f aca="false">PROPER(TRIM(Raw_Data!B664))</f>
        <v>Back To College Offer</v>
      </c>
      <c r="C664" s="11" t="str">
        <f aca="false">IFERROR(INDEX(Lookup_Tables!$B$2:$B$26,MATCH(UPPER(TRIM(Raw_Data!C664)),Lookup_Tables!$C$2:$C$26,0)),"Unknown")</f>
        <v>Instagram</v>
      </c>
      <c r="D664" s="12" t="n">
        <f aca="false">IFERROR(IF(ISNUMBER(SEARCH("/",Raw_Data!D664)),DATE(VALUE(RIGHT(Raw_Data!D664,4)),VALUE(MID(Raw_Data!D664,FIND("/",Raw_Data!D664)+1,FIND("/",Raw_Data!D664,FIND("/",Raw_Data!D664)+1)-FIND("/",Raw_Data!D664)-1)),VALUE(LEFT(Raw_Data!D664,FIND("/",Raw_Data!D664)-1))),IF(ISNUMBER(VALUE(LEFT(Raw_Data!D664,4))),DATE(VALUE(LEFT(Raw_Data!D664,4)),VALUE(MID(Raw_Data!D664,6,2)),VALUE(MID(Raw_Data!D664,9,2))),DATEVALUE(Raw_Data!D664))),"")</f>
        <v>45564</v>
      </c>
      <c r="E664" s="12" t="n">
        <f aca="false">IFERROR(IF(ISNUMBER(SEARCH("/",Raw_Data!E664)),DATE(VALUE(RIGHT(Raw_Data!E664,4)),VALUE(MID(Raw_Data!E664,FIND("/",Raw_Data!E664)+1,FIND("/",Raw_Data!E664,FIND("/",Raw_Data!E664)+1)-FIND("/",Raw_Data!E664)-1)),VALUE(LEFT(Raw_Data!E664,FIND("/",Raw_Data!E664)-1))),IF(ISNUMBER(VALUE(LEFT(Raw_Data!E664,4))),DATE(VALUE(LEFT(Raw_Data!E664,4)),VALUE(MID(Raw_Data!E664,6,2)),VALUE(MID(Raw_Data!E664,9,2))),DATEVALUE(Raw_Data!E664))),"")</f>
        <v>45581</v>
      </c>
      <c r="F664" s="11" t="str">
        <f aca="false">Raw_Data!F664</f>
        <v>Male 18-24</v>
      </c>
      <c r="G664" s="11" t="str">
        <f aca="false">IF(TRIM(Raw_Data!G664)="","Unspecified",IFERROR(INDEX(Lookup_Tables!$F$2:$F$24,MATCH(UPPER(TRIM(Raw_Data!G664)),Lookup_Tables!$G$2:$G$24,0)),"Unknown"))</f>
        <v>Central</v>
      </c>
      <c r="H664" s="11" t="n">
        <f aca="false">IF(Raw_Data!H664="",ROUND(AVERAGEIFS(Raw_Data!$H$2:$H$839,Raw_Data!$C$2:$C$839,Raw_Data!C664),2),Raw_Data!H664)</f>
        <v>18042.21</v>
      </c>
      <c r="I664" s="11" t="n">
        <f aca="false">Raw_Data!I664</f>
        <v>566920</v>
      </c>
      <c r="J664" s="11" t="n">
        <f aca="false">IF(Raw_Data!J664&lt;0,ABS(Raw_Data!J664),Raw_Data!J664)</f>
        <v>12529</v>
      </c>
      <c r="K664" s="11" t="n">
        <f aca="false">Raw_Data!K664</f>
        <v>956</v>
      </c>
      <c r="L664" s="11" t="n">
        <f aca="false">IF(Raw_Data!L664="",ROUND(AVERAGEIFS(Raw_Data!$L$2:$L$839,Raw_Data!$C$2:$C$839,Raw_Data!C664),2),Raw_Data!L664)</f>
        <v>1108686.63</v>
      </c>
      <c r="M664" s="13" t="n">
        <f aca="false">IFERROR(J664/I664,0)</f>
        <v>0.0221001199463769</v>
      </c>
      <c r="N664" s="14" t="n">
        <f aca="false">IFERROR(H664/J664,0)</f>
        <v>1.44003591667332</v>
      </c>
      <c r="O664" s="14" t="n">
        <f aca="false">IFERROR(H664/K664,0)</f>
        <v>18.8726046025105</v>
      </c>
      <c r="P664" s="15" t="n">
        <f aca="false">IFERROR(L664/H664,0)</f>
        <v>61.4496023491579</v>
      </c>
      <c r="Q664" s="13" t="n">
        <f aca="false">IFERROR(K664/J664,0)</f>
        <v>0.0763029770931439</v>
      </c>
      <c r="R664" s="11" t="str">
        <f aca="false">IF(COUNTIF($A$2:A664,A664)&gt;1,"Duplicate - Remove","Unique")</f>
        <v>Unique</v>
      </c>
      <c r="S664" s="11" t="str">
        <f aca="false">TRIM(IF(Raw_Data!G664="","Region missing; ","")&amp;IF(Raw_Data!H664="","Spend imputed; ","")&amp;IF(Raw_Data!L664="","Revenue imputed; ","")&amp;IF(Raw_Data!J664&lt;0,"Clicks corrected; ",""))</f>
        <v/>
      </c>
    </row>
    <row r="665" customFormat="false" ht="15" hidden="false" customHeight="true" outlineLevel="0" collapsed="false">
      <c r="A665" s="11" t="n">
        <f aca="false">Raw_Data!A665</f>
        <v>1745</v>
      </c>
      <c r="B665" s="11" t="str">
        <f aca="false">PROPER(TRIM(Raw_Data!B665))</f>
        <v>Anti-Ageing Serum Push</v>
      </c>
      <c r="C665" s="11" t="str">
        <f aca="false">IFERROR(INDEX(Lookup_Tables!$B$2:$B$26,MATCH(UPPER(TRIM(Raw_Data!C665)),Lookup_Tables!$C$2:$C$26,0)),"Unknown")</f>
        <v>Email</v>
      </c>
      <c r="D665" s="12" t="n">
        <f aca="false">IFERROR(IF(ISNUMBER(SEARCH("/",Raw_Data!D665)),DATE(VALUE(RIGHT(Raw_Data!D665,4)),VALUE(MID(Raw_Data!D665,FIND("/",Raw_Data!D665)+1,FIND("/",Raw_Data!D665,FIND("/",Raw_Data!D665)+1)-FIND("/",Raw_Data!D665)-1)),VALUE(LEFT(Raw_Data!D665,FIND("/",Raw_Data!D665)-1))),IF(ISNUMBER(VALUE(LEFT(Raw_Data!D665,4))),DATE(VALUE(LEFT(Raw_Data!D665,4)),VALUE(MID(Raw_Data!D665,6,2)),VALUE(MID(Raw_Data!D665,9,2))),DATEVALUE(Raw_Data!D665))),"")</f>
        <v>45483</v>
      </c>
      <c r="E665" s="12" t="n">
        <f aca="false">IFERROR(IF(ISNUMBER(SEARCH("/",Raw_Data!E665)),DATE(VALUE(RIGHT(Raw_Data!E665,4)),VALUE(MID(Raw_Data!E665,FIND("/",Raw_Data!E665)+1,FIND("/",Raw_Data!E665,FIND("/",Raw_Data!E665)+1)-FIND("/",Raw_Data!E665)-1)),VALUE(LEFT(Raw_Data!E665,FIND("/",Raw_Data!E665)-1))),IF(ISNUMBER(VALUE(LEFT(Raw_Data!E665,4))),DATE(VALUE(LEFT(Raw_Data!E665,4)),VALUE(MID(Raw_Data!E665,6,2)),VALUE(MID(Raw_Data!E665,9,2))),DATEVALUE(Raw_Data!E665))),"")</f>
        <v>45494</v>
      </c>
      <c r="F665" s="11" t="str">
        <f aca="false">Raw_Data!F665</f>
        <v>Female 45+</v>
      </c>
      <c r="G665" s="11" t="str">
        <f aca="false">IF(TRIM(Raw_Data!G665)="","Unspecified",IFERROR(INDEX(Lookup_Tables!$F$2:$F$24,MATCH(UPPER(TRIM(Raw_Data!G665)),Lookup_Tables!$G$2:$G$24,0)),"Unknown"))</f>
        <v>North</v>
      </c>
      <c r="H665" s="11" t="n">
        <f aca="false">IF(Raw_Data!H665="",ROUND(AVERAGEIFS(Raw_Data!$H$2:$H$839,Raw_Data!$C$2:$C$839,Raw_Data!C665),2),Raw_Data!H665)</f>
        <v>3999.67</v>
      </c>
      <c r="I665" s="11" t="n">
        <f aca="false">Raw_Data!I665</f>
        <v>118959</v>
      </c>
      <c r="J665" s="11" t="n">
        <f aca="false">IF(Raw_Data!J665&lt;0,ABS(Raw_Data!J665),Raw_Data!J665)</f>
        <v>2302</v>
      </c>
      <c r="K665" s="11" t="n">
        <f aca="false">Raw_Data!K665</f>
        <v>122</v>
      </c>
      <c r="L665" s="11" t="n">
        <f aca="false">IF(Raw_Data!L665="",ROUND(AVERAGEIFS(Raw_Data!$L$2:$L$839,Raw_Data!$C$2:$C$839,Raw_Data!C665),2),Raw_Data!L665)</f>
        <v>50107.67</v>
      </c>
      <c r="M665" s="13" t="n">
        <f aca="false">IFERROR(J665/I665,0)</f>
        <v>0.0193512050370296</v>
      </c>
      <c r="N665" s="14" t="n">
        <f aca="false">IFERROR(H665/J665,0)</f>
        <v>1.73747610773241</v>
      </c>
      <c r="O665" s="14" t="n">
        <f aca="false">IFERROR(H665/K665,0)</f>
        <v>32.7841803278689</v>
      </c>
      <c r="P665" s="15" t="n">
        <f aca="false">IFERROR(L665/H665,0)</f>
        <v>12.5279510559621</v>
      </c>
      <c r="Q665" s="13" t="n">
        <f aca="false">IFERROR(K665/J665,0)</f>
        <v>0.052997393570808</v>
      </c>
      <c r="R665" s="11" t="str">
        <f aca="false">IF(COUNTIF($A$2:A665,A665)&gt;1,"Duplicate - Remove","Unique")</f>
        <v>Unique</v>
      </c>
      <c r="S665" s="11" t="str">
        <f aca="false">TRIM(IF(Raw_Data!G665="","Region missing; ","")&amp;IF(Raw_Data!H665="","Spend imputed; ","")&amp;IF(Raw_Data!L665="","Revenue imputed; ","")&amp;IF(Raw_Data!J665&lt;0,"Clicks corrected; ",""))</f>
        <v/>
      </c>
    </row>
    <row r="666" customFormat="false" ht="15" hidden="false" customHeight="true" outlineLevel="0" collapsed="false">
      <c r="A666" s="11" t="n">
        <f aca="false">Raw_Data!A666</f>
        <v>1107</v>
      </c>
      <c r="B666" s="11" t="str">
        <f aca="false">PROPER(TRIM(Raw_Data!B666))</f>
        <v>Ayurvedic Range Launch</v>
      </c>
      <c r="C666" s="11" t="str">
        <f aca="false">IFERROR(INDEX(Lookup_Tables!$B$2:$B$26,MATCH(UPPER(TRIM(Raw_Data!C666)),Lookup_Tables!$C$2:$C$26,0)),"Unknown")</f>
        <v>Google Ads</v>
      </c>
      <c r="D666" s="12" t="n">
        <f aca="false">IFERROR(IF(ISNUMBER(SEARCH("/",Raw_Data!D666)),DATE(VALUE(RIGHT(Raw_Data!D666,4)),VALUE(MID(Raw_Data!D666,FIND("/",Raw_Data!D666)+1,FIND("/",Raw_Data!D666,FIND("/",Raw_Data!D666)+1)-FIND("/",Raw_Data!D666)-1)),VALUE(LEFT(Raw_Data!D666,FIND("/",Raw_Data!D666)-1))),IF(ISNUMBER(VALUE(LEFT(Raw_Data!D666,4))),DATE(VALUE(LEFT(Raw_Data!D666,4)),VALUE(MID(Raw_Data!D666,6,2)),VALUE(MID(Raw_Data!D666,9,2))),DATEVALUE(Raw_Data!D666))),"")</f>
        <v>45536</v>
      </c>
      <c r="E666" s="12" t="n">
        <f aca="false">IFERROR(IF(ISNUMBER(SEARCH("/",Raw_Data!E666)),DATE(VALUE(RIGHT(Raw_Data!E666,4)),VALUE(MID(Raw_Data!E666,FIND("/",Raw_Data!E666)+1,FIND("/",Raw_Data!E666,FIND("/",Raw_Data!E666)+1)-FIND("/",Raw_Data!E666)-1)),VALUE(LEFT(Raw_Data!E666,FIND("/",Raw_Data!E666)-1))),IF(ISNUMBER(VALUE(LEFT(Raw_Data!E666,4))),DATE(VALUE(LEFT(Raw_Data!E666,4)),VALUE(MID(Raw_Data!E666,6,2)),VALUE(MID(Raw_Data!E666,9,2))),DATEVALUE(Raw_Data!E666))),"")</f>
        <v>45545</v>
      </c>
      <c r="F666" s="11" t="str">
        <f aca="false">Raw_Data!F666</f>
        <v>Female 35-44</v>
      </c>
      <c r="G666" s="11" t="str">
        <f aca="false">IF(TRIM(Raw_Data!G666)="","Unspecified",IFERROR(INDEX(Lookup_Tables!$F$2:$F$24,MATCH(UPPER(TRIM(Raw_Data!G666)),Lookup_Tables!$G$2:$G$24,0)),"Unknown"))</f>
        <v>Central</v>
      </c>
      <c r="H666" s="11" t="n">
        <f aca="false">IF(Raw_Data!H666="",ROUND(AVERAGEIFS(Raw_Data!$H$2:$H$839,Raw_Data!$C$2:$C$839,Raw_Data!C666),2),Raw_Data!H666)</f>
        <v>62341.44</v>
      </c>
      <c r="I666" s="11" t="n">
        <f aca="false">Raw_Data!I666</f>
        <v>1879187</v>
      </c>
      <c r="J666" s="11" t="n">
        <f aca="false">IF(Raw_Data!J666&lt;0,ABS(Raw_Data!J666),Raw_Data!J666)</f>
        <v>32839</v>
      </c>
      <c r="K666" s="11" t="n">
        <f aca="false">Raw_Data!K666</f>
        <v>1590</v>
      </c>
      <c r="L666" s="11" t="n">
        <f aca="false">IF(Raw_Data!L666="",ROUND(AVERAGEIFS(Raw_Data!$L$2:$L$839,Raw_Data!$C$2:$C$839,Raw_Data!C666),2),Raw_Data!L666)</f>
        <v>1641994.13</v>
      </c>
      <c r="M666" s="13" t="n">
        <f aca="false">IFERROR(J666/I666,0)</f>
        <v>0.0174751102471441</v>
      </c>
      <c r="N666" s="14" t="n">
        <f aca="false">IFERROR(H666/J666,0)</f>
        <v>1.89839641889217</v>
      </c>
      <c r="O666" s="14" t="n">
        <f aca="false">IFERROR(H666/K666,0)</f>
        <v>39.2084528301887</v>
      </c>
      <c r="P666" s="15" t="n">
        <f aca="false">IFERROR(L666/H666,0)</f>
        <v>26.338726375265</v>
      </c>
      <c r="Q666" s="13" t="n">
        <f aca="false">IFERROR(K666/J666,0)</f>
        <v>0.0484180395261732</v>
      </c>
      <c r="R666" s="11" t="str">
        <f aca="false">IF(COUNTIF($A$2:A666,A666)&gt;1,"Duplicate - Remove","Unique")</f>
        <v>Unique</v>
      </c>
      <c r="S666" s="11" t="str">
        <f aca="false">TRIM(IF(Raw_Data!G666="","Region missing; ","")&amp;IF(Raw_Data!H666="","Spend imputed; ","")&amp;IF(Raw_Data!L666="","Revenue imputed; ","")&amp;IF(Raw_Data!J666&lt;0,"Clicks corrected; ",""))</f>
        <v/>
      </c>
    </row>
    <row r="667" customFormat="false" ht="15" hidden="false" customHeight="true" outlineLevel="0" collapsed="false">
      <c r="A667" s="11" t="n">
        <f aca="false">Raw_Data!A667</f>
        <v>1220</v>
      </c>
      <c r="B667" s="11" t="str">
        <f aca="false">PROPER(TRIM(Raw_Data!B667))</f>
        <v>Ayurvedic Range Launch</v>
      </c>
      <c r="C667" s="11" t="str">
        <f aca="false">IFERROR(INDEX(Lookup_Tables!$B$2:$B$26,MATCH(UPPER(TRIM(Raw_Data!C667)),Lookup_Tables!$C$2:$C$26,0)),"Unknown")</f>
        <v>YouTube</v>
      </c>
      <c r="D667" s="12" t="n">
        <f aca="false">IFERROR(IF(ISNUMBER(SEARCH("/",Raw_Data!D667)),DATE(VALUE(RIGHT(Raw_Data!D667,4)),VALUE(MID(Raw_Data!D667,FIND("/",Raw_Data!D667)+1,FIND("/",Raw_Data!D667,FIND("/",Raw_Data!D667)+1)-FIND("/",Raw_Data!D667)-1)),VALUE(LEFT(Raw_Data!D667,FIND("/",Raw_Data!D667)-1))),IF(ISNUMBER(VALUE(LEFT(Raw_Data!D667,4))),DATE(VALUE(LEFT(Raw_Data!D667,4)),VALUE(MID(Raw_Data!D667,6,2)),VALUE(MID(Raw_Data!D667,9,2))),DATEVALUE(Raw_Data!D667))),"")</f>
        <v>45520</v>
      </c>
      <c r="E667" s="12" t="n">
        <f aca="false">IFERROR(IF(ISNUMBER(SEARCH("/",Raw_Data!E667)),DATE(VALUE(RIGHT(Raw_Data!E667,4)),VALUE(MID(Raw_Data!E667,FIND("/",Raw_Data!E667)+1,FIND("/",Raw_Data!E667,FIND("/",Raw_Data!E667)+1)-FIND("/",Raw_Data!E667)-1)),VALUE(LEFT(Raw_Data!E667,FIND("/",Raw_Data!E667)-1))),IF(ISNUMBER(VALUE(LEFT(Raw_Data!E667,4))),DATE(VALUE(LEFT(Raw_Data!E667,4)),VALUE(MID(Raw_Data!E667,6,2)),VALUE(MID(Raw_Data!E667,9,2))),DATEVALUE(Raw_Data!E667))),"")</f>
        <v>45530</v>
      </c>
      <c r="F667" s="11" t="str">
        <f aca="false">Raw_Data!F667</f>
        <v>Female 35-44</v>
      </c>
      <c r="G667" s="11" t="str">
        <f aca="false">IF(TRIM(Raw_Data!G667)="","Unspecified",IFERROR(INDEX(Lookup_Tables!$F$2:$F$24,MATCH(UPPER(TRIM(Raw_Data!G667)),Lookup_Tables!$G$2:$G$24,0)),"Unknown"))</f>
        <v>Central</v>
      </c>
      <c r="H667" s="11" t="n">
        <f aca="false">IF(Raw_Data!H667="",ROUND(AVERAGEIFS(Raw_Data!$H$2:$H$839,Raw_Data!$C$2:$C$839,Raw_Data!C667),2),Raw_Data!H667)</f>
        <v>57476.79</v>
      </c>
      <c r="I667" s="11" t="n">
        <f aca="false">Raw_Data!I667</f>
        <v>1675179</v>
      </c>
      <c r="J667" s="11" t="n">
        <f aca="false">IF(Raw_Data!J667&lt;0,ABS(Raw_Data!J667),Raw_Data!J667)</f>
        <v>52208</v>
      </c>
      <c r="K667" s="11" t="n">
        <f aca="false">Raw_Data!K667</f>
        <v>1056</v>
      </c>
      <c r="L667" s="11" t="n">
        <f aca="false">IF(Raw_Data!L667="",ROUND(AVERAGEIFS(Raw_Data!$L$2:$L$839,Raw_Data!$C$2:$C$839,Raw_Data!C667),2),Raw_Data!L667)</f>
        <v>1490445.25</v>
      </c>
      <c r="M667" s="13" t="n">
        <f aca="false">IFERROR(J667/I667,0)</f>
        <v>0.0311656246884661</v>
      </c>
      <c r="N667" s="14" t="n">
        <f aca="false">IFERROR(H667/J667,0)</f>
        <v>1.10091920778425</v>
      </c>
      <c r="O667" s="14" t="n">
        <f aca="false">IFERROR(H667/K667,0)</f>
        <v>54.4287784090909</v>
      </c>
      <c r="P667" s="15" t="n">
        <f aca="false">IFERROR(L667/H667,0)</f>
        <v>25.9312541636372</v>
      </c>
      <c r="Q667" s="13" t="n">
        <f aca="false">IFERROR(K667/J667,0)</f>
        <v>0.0202267851670242</v>
      </c>
      <c r="R667" s="11" t="str">
        <f aca="false">IF(COUNTIF($A$2:A667,A667)&gt;1,"Duplicate - Remove","Unique")</f>
        <v>Unique</v>
      </c>
      <c r="S667" s="11" t="str">
        <f aca="false">TRIM(IF(Raw_Data!G667="","Region missing; ","")&amp;IF(Raw_Data!H667="","Spend imputed; ","")&amp;IF(Raw_Data!L667="","Revenue imputed; ","")&amp;IF(Raw_Data!J667&lt;0,"Clicks corrected; ",""))</f>
        <v/>
      </c>
    </row>
    <row r="668" customFormat="false" ht="15" hidden="false" customHeight="true" outlineLevel="0" collapsed="false">
      <c r="A668" s="11" t="n">
        <f aca="false">Raw_Data!A668</f>
        <v>1442</v>
      </c>
      <c r="B668" s="11" t="str">
        <f aca="false">PROPER(TRIM(Raw_Data!B668))</f>
        <v>Men'S Grooming Drive</v>
      </c>
      <c r="C668" s="11" t="str">
        <f aca="false">IFERROR(INDEX(Lookup_Tables!$B$2:$B$26,MATCH(UPPER(TRIM(Raw_Data!C668)),Lookup_Tables!$C$2:$C$26,0)),"Unknown")</f>
        <v>Google Ads</v>
      </c>
      <c r="D668" s="12" t="n">
        <f aca="false">IFERROR(IF(ISNUMBER(SEARCH("/",Raw_Data!D668)),DATE(VALUE(RIGHT(Raw_Data!D668,4)),VALUE(MID(Raw_Data!D668,FIND("/",Raw_Data!D668)+1,FIND("/",Raw_Data!D668,FIND("/",Raw_Data!D668)+1)-FIND("/",Raw_Data!D668)-1)),VALUE(LEFT(Raw_Data!D668,FIND("/",Raw_Data!D668)-1))),IF(ISNUMBER(VALUE(LEFT(Raw_Data!D668,4))),DATE(VALUE(LEFT(Raw_Data!D668,4)),VALUE(MID(Raw_Data!D668,6,2)),VALUE(MID(Raw_Data!D668,9,2))),DATEVALUE(Raw_Data!D668))),"")</f>
        <v>45623</v>
      </c>
      <c r="E668" s="12" t="n">
        <f aca="false">IFERROR(IF(ISNUMBER(SEARCH("/",Raw_Data!E668)),DATE(VALUE(RIGHT(Raw_Data!E668,4)),VALUE(MID(Raw_Data!E668,FIND("/",Raw_Data!E668)+1,FIND("/",Raw_Data!E668,FIND("/",Raw_Data!E668)+1)-FIND("/",Raw_Data!E668)-1)),VALUE(LEFT(Raw_Data!E668,FIND("/",Raw_Data!E668)-1))),IF(ISNUMBER(VALUE(LEFT(Raw_Data!E668,4))),DATE(VALUE(LEFT(Raw_Data!E668,4)),VALUE(MID(Raw_Data!E668,6,2)),VALUE(MID(Raw_Data!E668,9,2))),DATEVALUE(Raw_Data!E668))),"")</f>
        <v>45637</v>
      </c>
      <c r="F668" s="11" t="str">
        <f aca="false">Raw_Data!F668</f>
        <v>Female 45+</v>
      </c>
      <c r="G668" s="11" t="str">
        <f aca="false">IF(TRIM(Raw_Data!G668)="","Unspecified",IFERROR(INDEX(Lookup_Tables!$F$2:$F$24,MATCH(UPPER(TRIM(Raw_Data!G668)),Lookup_Tables!$G$2:$G$24,0)),"Unknown"))</f>
        <v>North</v>
      </c>
      <c r="H668" s="11" t="n">
        <f aca="false">IF(Raw_Data!H668="",ROUND(AVERAGEIFS(Raw_Data!$H$2:$H$839,Raw_Data!$C$2:$C$839,Raw_Data!C668),2),Raw_Data!H668)</f>
        <v>26030.7</v>
      </c>
      <c r="I668" s="11" t="n">
        <f aca="false">Raw_Data!I668</f>
        <v>867390</v>
      </c>
      <c r="J668" s="11" t="n">
        <f aca="false">IF(Raw_Data!J668&lt;0,ABS(Raw_Data!J668),Raw_Data!J668)</f>
        <v>13255</v>
      </c>
      <c r="K668" s="11" t="n">
        <f aca="false">Raw_Data!K668</f>
        <v>323</v>
      </c>
      <c r="L668" s="11" t="n">
        <f aca="false">IF(Raw_Data!L668="",ROUND(AVERAGEIFS(Raw_Data!$L$2:$L$839,Raw_Data!$C$2:$C$839,Raw_Data!C668),2),Raw_Data!L668)</f>
        <v>138375.55</v>
      </c>
      <c r="M668" s="13" t="n">
        <f aca="false">IFERROR(J668/I668,0)</f>
        <v>0.0152814766137493</v>
      </c>
      <c r="N668" s="14" t="n">
        <f aca="false">IFERROR(H668/J668,0)</f>
        <v>1.96384006035458</v>
      </c>
      <c r="O668" s="14" t="n">
        <f aca="false">IFERROR(H668/K668,0)</f>
        <v>80.5904024767802</v>
      </c>
      <c r="P668" s="15" t="n">
        <f aca="false">IFERROR(L668/H668,0)</f>
        <v>5.31585973485154</v>
      </c>
      <c r="Q668" s="13" t="n">
        <f aca="false">IFERROR(K668/J668,0)</f>
        <v>0.0243681629573746</v>
      </c>
      <c r="R668" s="11" t="str">
        <f aca="false">IF(COUNTIF($A$2:A668,A668)&gt;1,"Duplicate - Remove","Unique")</f>
        <v>Unique</v>
      </c>
      <c r="S668" s="11" t="str">
        <f aca="false">TRIM(IF(Raw_Data!G668="","Region missing; ","")&amp;IF(Raw_Data!H668="","Spend imputed; ","")&amp;IF(Raw_Data!L668="","Revenue imputed; ","")&amp;IF(Raw_Data!J668&lt;0,"Clicks corrected; ",""))</f>
        <v/>
      </c>
    </row>
    <row r="669" customFormat="false" ht="15" hidden="false" customHeight="true" outlineLevel="0" collapsed="false">
      <c r="A669" s="11" t="n">
        <f aca="false">Raw_Data!A669</f>
        <v>1693</v>
      </c>
      <c r="B669" s="11" t="str">
        <f aca="false">PROPER(TRIM(Raw_Data!B669))</f>
        <v>Men'S Grooming Drive</v>
      </c>
      <c r="C669" s="11" t="str">
        <f aca="false">IFERROR(INDEX(Lookup_Tables!$B$2:$B$26,MATCH(UPPER(TRIM(Raw_Data!C669)),Lookup_Tables!$C$2:$C$26,0)),"Unknown")</f>
        <v>Instagram</v>
      </c>
      <c r="D669" s="12" t="n">
        <f aca="false">IFERROR(IF(ISNUMBER(SEARCH("/",Raw_Data!D669)),DATE(VALUE(RIGHT(Raw_Data!D669,4)),VALUE(MID(Raw_Data!D669,FIND("/",Raw_Data!D669)+1,FIND("/",Raw_Data!D669,FIND("/",Raw_Data!D669)+1)-FIND("/",Raw_Data!D669)-1)),VALUE(LEFT(Raw_Data!D669,FIND("/",Raw_Data!D669)-1))),IF(ISNUMBER(VALUE(LEFT(Raw_Data!D669,4))),DATE(VALUE(LEFT(Raw_Data!D669,4)),VALUE(MID(Raw_Data!D669,6,2)),VALUE(MID(Raw_Data!D669,9,2))),DATEVALUE(Raw_Data!D669))),"")</f>
        <v>45552</v>
      </c>
      <c r="E669" s="12" t="n">
        <f aca="false">IFERROR(IF(ISNUMBER(SEARCH("/",Raw_Data!E669)),DATE(VALUE(RIGHT(Raw_Data!E669,4)),VALUE(MID(Raw_Data!E669,FIND("/",Raw_Data!E669)+1,FIND("/",Raw_Data!E669,FIND("/",Raw_Data!E669)+1)-FIND("/",Raw_Data!E669)-1)),VALUE(LEFT(Raw_Data!E669,FIND("/",Raw_Data!E669)-1))),IF(ISNUMBER(VALUE(LEFT(Raw_Data!E669,4))),DATE(VALUE(LEFT(Raw_Data!E669,4)),VALUE(MID(Raw_Data!E669,6,2)),VALUE(MID(Raw_Data!E669,9,2))),DATEVALUE(Raw_Data!E669))),"")</f>
        <v>45573</v>
      </c>
      <c r="F669" s="11" t="str">
        <f aca="false">Raw_Data!F669</f>
        <v>Female 45+</v>
      </c>
      <c r="G669" s="11" t="str">
        <f aca="false">IF(TRIM(Raw_Data!G669)="","Unspecified",IFERROR(INDEX(Lookup_Tables!$F$2:$F$24,MATCH(UPPER(TRIM(Raw_Data!G669)),Lookup_Tables!$G$2:$G$24,0)),"Unknown"))</f>
        <v>Central</v>
      </c>
      <c r="H669" s="11" t="n">
        <f aca="false">IF(Raw_Data!H669="",ROUND(AVERAGEIFS(Raw_Data!$H$2:$H$839,Raw_Data!$C$2:$C$839,Raw_Data!C669),2),Raw_Data!H669)</f>
        <v>34454.77</v>
      </c>
      <c r="I669" s="11" t="n">
        <f aca="false">Raw_Data!I669</f>
        <v>1103528</v>
      </c>
      <c r="J669" s="11" t="n">
        <f aca="false">IF(Raw_Data!J669&lt;0,ABS(Raw_Data!J669),Raw_Data!J669)</f>
        <v>6998</v>
      </c>
      <c r="K669" s="11" t="n">
        <f aca="false">Raw_Data!K669</f>
        <v>175</v>
      </c>
      <c r="L669" s="11" t="n">
        <f aca="false">IF(Raw_Data!L669="",ROUND(AVERAGEIFS(Raw_Data!$L$2:$L$839,Raw_Data!$C$2:$C$839,Raw_Data!C669),2),Raw_Data!L669)</f>
        <v>177273.07</v>
      </c>
      <c r="M669" s="13" t="n">
        <f aca="false">IFERROR(J669/I669,0)</f>
        <v>0.00634147932811854</v>
      </c>
      <c r="N669" s="14" t="n">
        <f aca="false">IFERROR(H669/J669,0)</f>
        <v>4.92351671906259</v>
      </c>
      <c r="O669" s="14" t="n">
        <f aca="false">IFERROR(H669/K669,0)</f>
        <v>196.8844</v>
      </c>
      <c r="P669" s="15" t="n">
        <f aca="false">IFERROR(L669/H669,0)</f>
        <v>5.1450951493799</v>
      </c>
      <c r="Q669" s="13" t="n">
        <f aca="false">IFERROR(K669/J669,0)</f>
        <v>0.0250071448985424</v>
      </c>
      <c r="R669" s="11" t="str">
        <f aca="false">IF(COUNTIF($A$2:A669,A669)&gt;1,"Duplicate - Remove","Unique")</f>
        <v>Unique</v>
      </c>
      <c r="S669" s="11" t="str">
        <f aca="false">TRIM(IF(Raw_Data!G669="","Region missing; ","")&amp;IF(Raw_Data!H669="","Spend imputed; ","")&amp;IF(Raw_Data!L669="","Revenue imputed; ","")&amp;IF(Raw_Data!J669&lt;0,"Clicks corrected; ",""))</f>
        <v/>
      </c>
    </row>
    <row r="670" customFormat="false" ht="15" hidden="false" customHeight="true" outlineLevel="0" collapsed="false">
      <c r="A670" s="11" t="n">
        <f aca="false">Raw_Data!A670</f>
        <v>1378</v>
      </c>
      <c r="B670" s="11" t="str">
        <f aca="false">PROPER(TRIM(Raw_Data!B670))</f>
        <v>Hair Care Revamp</v>
      </c>
      <c r="C670" s="11" t="str">
        <f aca="false">IFERROR(INDEX(Lookup_Tables!$B$2:$B$26,MATCH(UPPER(TRIM(Raw_Data!C670)),Lookup_Tables!$C$2:$C$26,0)),"Unknown")</f>
        <v>Google Ads</v>
      </c>
      <c r="D670" s="12" t="n">
        <f aca="false">IFERROR(IF(ISNUMBER(SEARCH("/",Raw_Data!D670)),DATE(VALUE(RIGHT(Raw_Data!D670,4)),VALUE(MID(Raw_Data!D670,FIND("/",Raw_Data!D670)+1,FIND("/",Raw_Data!D670,FIND("/",Raw_Data!D670)+1)-FIND("/",Raw_Data!D670)-1)),VALUE(LEFT(Raw_Data!D670,FIND("/",Raw_Data!D670)-1))),IF(ISNUMBER(VALUE(LEFT(Raw_Data!D670,4))),DATE(VALUE(LEFT(Raw_Data!D670,4)),VALUE(MID(Raw_Data!D670,6,2)),VALUE(MID(Raw_Data!D670,9,2))),DATEVALUE(Raw_Data!D670))),"")</f>
        <v>45553</v>
      </c>
      <c r="E670" s="12" t="n">
        <f aca="false">IFERROR(IF(ISNUMBER(SEARCH("/",Raw_Data!E670)),DATE(VALUE(RIGHT(Raw_Data!E670,4)),VALUE(MID(Raw_Data!E670,FIND("/",Raw_Data!E670)+1,FIND("/",Raw_Data!E670,FIND("/",Raw_Data!E670)+1)-FIND("/",Raw_Data!E670)-1)),VALUE(LEFT(Raw_Data!E670,FIND("/",Raw_Data!E670)-1))),IF(ISNUMBER(VALUE(LEFT(Raw_Data!E670,4))),DATE(VALUE(LEFT(Raw_Data!E670,4)),VALUE(MID(Raw_Data!E670,6,2)),VALUE(MID(Raw_Data!E670,9,2))),DATEVALUE(Raw_Data!E670))),"")</f>
        <v>45571</v>
      </c>
      <c r="F670" s="11" t="str">
        <f aca="false">Raw_Data!F670</f>
        <v>Female 25-34</v>
      </c>
      <c r="G670" s="11" t="str">
        <f aca="false">IF(TRIM(Raw_Data!G670)="","Unspecified",IFERROR(INDEX(Lookup_Tables!$F$2:$F$24,MATCH(UPPER(TRIM(Raw_Data!G670)),Lookup_Tables!$G$2:$G$24,0)),"Unknown"))</f>
        <v>Central</v>
      </c>
      <c r="H670" s="11" t="n">
        <f aca="false">IF(Raw_Data!H670="",ROUND(AVERAGEIFS(Raw_Data!$H$2:$H$839,Raw_Data!$C$2:$C$839,Raw_Data!C670),2),Raw_Data!H670)</f>
        <v>16613.91</v>
      </c>
      <c r="I670" s="11" t="n">
        <f aca="false">Raw_Data!I670</f>
        <v>523693</v>
      </c>
      <c r="J670" s="11" t="n">
        <f aca="false">IF(Raw_Data!J670&lt;0,ABS(Raw_Data!J670),Raw_Data!J670)</f>
        <v>11549</v>
      </c>
      <c r="K670" s="11" t="n">
        <f aca="false">Raw_Data!K670</f>
        <v>320</v>
      </c>
      <c r="L670" s="11" t="n">
        <f aca="false">IF(Raw_Data!L670="",ROUND(AVERAGEIFS(Raw_Data!$L$2:$L$839,Raw_Data!$C$2:$C$839,Raw_Data!C670),2),Raw_Data!L670)</f>
        <v>230255.13</v>
      </c>
      <c r="M670" s="13" t="n">
        <f aca="false">IFERROR(J670/I670,0)</f>
        <v>0.0220529966984474</v>
      </c>
      <c r="N670" s="14" t="n">
        <f aca="false">IFERROR(H670/J670,0)</f>
        <v>1.43855831673738</v>
      </c>
      <c r="O670" s="14" t="n">
        <f aca="false">IFERROR(H670/K670,0)</f>
        <v>51.91846875</v>
      </c>
      <c r="P670" s="15" t="n">
        <f aca="false">IFERROR(L670/H670,0)</f>
        <v>13.8591776409045</v>
      </c>
      <c r="Q670" s="13" t="n">
        <f aca="false">IFERROR(K670/J670,0)</f>
        <v>0.0277080266689757</v>
      </c>
      <c r="R670" s="11" t="str">
        <f aca="false">IF(COUNTIF($A$2:A670,A670)&gt;1,"Duplicate - Remove","Unique")</f>
        <v>Unique</v>
      </c>
      <c r="S670" s="11" t="str">
        <f aca="false">TRIM(IF(Raw_Data!G670="","Region missing; ","")&amp;IF(Raw_Data!H670="","Spend imputed; ","")&amp;IF(Raw_Data!L670="","Revenue imputed; ","")&amp;IF(Raw_Data!J670&lt;0,"Clicks corrected; ",""))</f>
        <v/>
      </c>
    </row>
    <row r="671" customFormat="false" ht="15" hidden="false" customHeight="true" outlineLevel="0" collapsed="false">
      <c r="A671" s="11" t="n">
        <f aca="false">Raw_Data!A671</f>
        <v>1134</v>
      </c>
      <c r="B671" s="11" t="str">
        <f aca="false">PROPER(TRIM(Raw_Data!B671))</f>
        <v>Wedding Season Special</v>
      </c>
      <c r="C671" s="11" t="str">
        <f aca="false">IFERROR(INDEX(Lookup_Tables!$B$2:$B$26,MATCH(UPPER(TRIM(Raw_Data!C671)),Lookup_Tables!$C$2:$C$26,0)),"Unknown")</f>
        <v>Instagram</v>
      </c>
      <c r="D671" s="12" t="n">
        <f aca="false">IFERROR(IF(ISNUMBER(SEARCH("/",Raw_Data!D671)),DATE(VALUE(RIGHT(Raw_Data!D671,4)),VALUE(MID(Raw_Data!D671,FIND("/",Raw_Data!D671)+1,FIND("/",Raw_Data!D671,FIND("/",Raw_Data!D671)+1)-FIND("/",Raw_Data!D671)-1)),VALUE(LEFT(Raw_Data!D671,FIND("/",Raw_Data!D671)-1))),IF(ISNUMBER(VALUE(LEFT(Raw_Data!D671,4))),DATE(VALUE(LEFT(Raw_Data!D671,4)),VALUE(MID(Raw_Data!D671,6,2)),VALUE(MID(Raw_Data!D671,9,2))),DATEVALUE(Raw_Data!D671))),"")</f>
        <v>45528</v>
      </c>
      <c r="E671" s="12" t="n">
        <f aca="false">IFERROR(IF(ISNUMBER(SEARCH("/",Raw_Data!E671)),DATE(VALUE(RIGHT(Raw_Data!E671,4)),VALUE(MID(Raw_Data!E671,FIND("/",Raw_Data!E671)+1,FIND("/",Raw_Data!E671,FIND("/",Raw_Data!E671)+1)-FIND("/",Raw_Data!E671)-1)),VALUE(LEFT(Raw_Data!E671,FIND("/",Raw_Data!E671)-1))),IF(ISNUMBER(VALUE(LEFT(Raw_Data!E671,4))),DATE(VALUE(LEFT(Raw_Data!E671,4)),VALUE(MID(Raw_Data!E671,6,2)),VALUE(MID(Raw_Data!E671,9,2))),DATEVALUE(Raw_Data!E671))),"")</f>
        <v>45540</v>
      </c>
      <c r="F671" s="11" t="str">
        <f aca="false">Raw_Data!F671</f>
        <v>Female 45+</v>
      </c>
      <c r="G671" s="11" t="str">
        <f aca="false">IF(TRIM(Raw_Data!G671)="","Unspecified",IFERROR(INDEX(Lookup_Tables!$F$2:$F$24,MATCH(UPPER(TRIM(Raw_Data!G671)),Lookup_Tables!$G$2:$G$24,0)),"Unknown"))</f>
        <v>South</v>
      </c>
      <c r="H671" s="11" t="n">
        <f aca="false">IF(Raw_Data!H671="",ROUND(AVERAGEIFS(Raw_Data!$H$2:$H$839,Raw_Data!$C$2:$C$839,Raw_Data!C671),2),Raw_Data!H671)</f>
        <v>40747.54</v>
      </c>
      <c r="I671" s="11" t="n">
        <f aca="false">Raw_Data!I671</f>
        <v>801083</v>
      </c>
      <c r="J671" s="11" t="n">
        <f aca="false">IF(Raw_Data!J671&lt;0,ABS(Raw_Data!J671),Raw_Data!J671)</f>
        <v>19802</v>
      </c>
      <c r="K671" s="11" t="n">
        <f aca="false">Raw_Data!K671</f>
        <v>746</v>
      </c>
      <c r="L671" s="11" t="n">
        <f aca="false">IF(Raw_Data!L671="",ROUND(AVERAGEIFS(Raw_Data!$L$2:$L$839,Raw_Data!$C$2:$C$839,Raw_Data!C671),2),Raw_Data!L671)</f>
        <v>1058733</v>
      </c>
      <c r="M671" s="13" t="n">
        <f aca="false">IFERROR(J671/I671,0)</f>
        <v>0.0247190366041971</v>
      </c>
      <c r="N671" s="14" t="n">
        <f aca="false">IFERROR(H671/J671,0)</f>
        <v>2.05774871225129</v>
      </c>
      <c r="O671" s="14" t="n">
        <f aca="false">IFERROR(H671/K671,0)</f>
        <v>54.6213672922252</v>
      </c>
      <c r="P671" s="15" t="n">
        <f aca="false">IFERROR(L671/H671,0)</f>
        <v>25.9827464430982</v>
      </c>
      <c r="Q671" s="13" t="n">
        <f aca="false">IFERROR(K671/J671,0)</f>
        <v>0.0376729623270377</v>
      </c>
      <c r="R671" s="11" t="str">
        <f aca="false">IF(COUNTIF($A$2:A671,A671)&gt;1,"Duplicate - Remove","Unique")</f>
        <v>Unique</v>
      </c>
      <c r="S671" s="11" t="str">
        <f aca="false">TRIM(IF(Raw_Data!G671="","Region missing; ","")&amp;IF(Raw_Data!H671="","Spend imputed; ","")&amp;IF(Raw_Data!L671="","Revenue imputed; ","")&amp;IF(Raw_Data!J671&lt;0,"Clicks corrected; ",""))</f>
        <v/>
      </c>
    </row>
    <row r="672" customFormat="false" ht="15" hidden="false" customHeight="true" outlineLevel="0" collapsed="false">
      <c r="A672" s="11" t="n">
        <f aca="false">Raw_Data!A672</f>
        <v>1430</v>
      </c>
      <c r="B672" s="11" t="str">
        <f aca="false">PROPER(TRIM(Raw_Data!B672))</f>
        <v>Summer Glow Launch</v>
      </c>
      <c r="C672" s="11" t="str">
        <f aca="false">IFERROR(INDEX(Lookup_Tables!$B$2:$B$26,MATCH(UPPER(TRIM(Raw_Data!C672)),Lookup_Tables!$C$2:$C$26,0)),"Unknown")</f>
        <v>YouTube</v>
      </c>
      <c r="D672" s="12" t="n">
        <f aca="false">IFERROR(IF(ISNUMBER(SEARCH("/",Raw_Data!D672)),DATE(VALUE(RIGHT(Raw_Data!D672,4)),VALUE(MID(Raw_Data!D672,FIND("/",Raw_Data!D672)+1,FIND("/",Raw_Data!D672,FIND("/",Raw_Data!D672)+1)-FIND("/",Raw_Data!D672)-1)),VALUE(LEFT(Raw_Data!D672,FIND("/",Raw_Data!D672)-1))),IF(ISNUMBER(VALUE(LEFT(Raw_Data!D672,4))),DATE(VALUE(LEFT(Raw_Data!D672,4)),VALUE(MID(Raw_Data!D672,6,2)),VALUE(MID(Raw_Data!D672,9,2))),DATEVALUE(Raw_Data!D672))),"")</f>
        <v>45560</v>
      </c>
      <c r="E672" s="12" t="n">
        <f aca="false">IFERROR(IF(ISNUMBER(SEARCH("/",Raw_Data!E672)),DATE(VALUE(RIGHT(Raw_Data!E672,4)),VALUE(MID(Raw_Data!E672,FIND("/",Raw_Data!E672)+1,FIND("/",Raw_Data!E672,FIND("/",Raw_Data!E672)+1)-FIND("/",Raw_Data!E672)-1)),VALUE(LEFT(Raw_Data!E672,FIND("/",Raw_Data!E672)-1))),IF(ISNUMBER(VALUE(LEFT(Raw_Data!E672,4))),DATE(VALUE(LEFT(Raw_Data!E672,4)),VALUE(MID(Raw_Data!E672,6,2)),VALUE(MID(Raw_Data!E672,9,2))),DATEVALUE(Raw_Data!E672))),"")</f>
        <v>45567</v>
      </c>
      <c r="F672" s="11" t="str">
        <f aca="false">Raw_Data!F672</f>
        <v>Male 25-34</v>
      </c>
      <c r="G672" s="11" t="str">
        <f aca="false">IF(TRIM(Raw_Data!G672)="","Unspecified",IFERROR(INDEX(Lookup_Tables!$F$2:$F$24,MATCH(UPPER(TRIM(Raw_Data!G672)),Lookup_Tables!$G$2:$G$24,0)),"Unknown"))</f>
        <v>West</v>
      </c>
      <c r="H672" s="11" t="n">
        <f aca="false">IF(Raw_Data!H672="",ROUND(AVERAGEIFS(Raw_Data!$H$2:$H$839,Raw_Data!$C$2:$C$839,Raw_Data!C672),2),Raw_Data!H672)</f>
        <v>19308.99</v>
      </c>
      <c r="I672" s="11" t="n">
        <f aca="false">Raw_Data!I672</f>
        <v>539942</v>
      </c>
      <c r="J672" s="11" t="n">
        <f aca="false">IF(Raw_Data!J672&lt;0,ABS(Raw_Data!J672),Raw_Data!J672)</f>
        <v>5482</v>
      </c>
      <c r="K672" s="11" t="n">
        <f aca="false">Raw_Data!K672</f>
        <v>384</v>
      </c>
      <c r="L672" s="11" t="n">
        <f aca="false">IF(Raw_Data!L672="",ROUND(AVERAGEIFS(Raw_Data!$L$2:$L$839,Raw_Data!$C$2:$C$839,Raw_Data!C672),2),Raw_Data!L672)</f>
        <v>363167.54</v>
      </c>
      <c r="M672" s="13" t="n">
        <f aca="false">IFERROR(J672/I672,0)</f>
        <v>0.0101529423530676</v>
      </c>
      <c r="N672" s="14" t="n">
        <f aca="false">IFERROR(H672/J672,0)</f>
        <v>3.52225282743524</v>
      </c>
      <c r="O672" s="14" t="n">
        <f aca="false">IFERROR(H672/K672,0)</f>
        <v>50.283828125</v>
      </c>
      <c r="P672" s="15" t="n">
        <f aca="false">IFERROR(L672/H672,0)</f>
        <v>18.8082100617381</v>
      </c>
      <c r="Q672" s="13" t="n">
        <f aca="false">IFERROR(K672/J672,0)</f>
        <v>0.0700474279460051</v>
      </c>
      <c r="R672" s="11" t="str">
        <f aca="false">IF(COUNTIF($A$2:A672,A672)&gt;1,"Duplicate - Remove","Unique")</f>
        <v>Unique</v>
      </c>
      <c r="S672" s="11" t="str">
        <f aca="false">TRIM(IF(Raw_Data!G672="","Region missing; ","")&amp;IF(Raw_Data!H672="","Spend imputed; ","")&amp;IF(Raw_Data!L672="","Revenue imputed; ","")&amp;IF(Raw_Data!J672&lt;0,"Clicks corrected; ",""))</f>
        <v/>
      </c>
    </row>
    <row r="673" customFormat="false" ht="15" hidden="false" customHeight="true" outlineLevel="0" collapsed="false">
      <c r="A673" s="11" t="n">
        <f aca="false">Raw_Data!A673</f>
        <v>1688</v>
      </c>
      <c r="B673" s="11" t="str">
        <f aca="false">PROPER(TRIM(Raw_Data!B673))</f>
        <v>Back To College Offer</v>
      </c>
      <c r="C673" s="11" t="str">
        <f aca="false">IFERROR(INDEX(Lookup_Tables!$B$2:$B$26,MATCH(UPPER(TRIM(Raw_Data!C673)),Lookup_Tables!$C$2:$C$26,0)),"Unknown")</f>
        <v>YouTube</v>
      </c>
      <c r="D673" s="12" t="n">
        <f aca="false">IFERROR(IF(ISNUMBER(SEARCH("/",Raw_Data!D673)),DATE(VALUE(RIGHT(Raw_Data!D673,4)),VALUE(MID(Raw_Data!D673,FIND("/",Raw_Data!D673)+1,FIND("/",Raw_Data!D673,FIND("/",Raw_Data!D673)+1)-FIND("/",Raw_Data!D673)-1)),VALUE(LEFT(Raw_Data!D673,FIND("/",Raw_Data!D673)-1))),IF(ISNUMBER(VALUE(LEFT(Raw_Data!D673,4))),DATE(VALUE(LEFT(Raw_Data!D673,4)),VALUE(MID(Raw_Data!D673,6,2)),VALUE(MID(Raw_Data!D673,9,2))),DATEVALUE(Raw_Data!D673))),"")</f>
        <v>45468</v>
      </c>
      <c r="E673" s="12" t="n">
        <f aca="false">IFERROR(IF(ISNUMBER(SEARCH("/",Raw_Data!E673)),DATE(VALUE(RIGHT(Raw_Data!E673,4)),VALUE(MID(Raw_Data!E673,FIND("/",Raw_Data!E673)+1,FIND("/",Raw_Data!E673,FIND("/",Raw_Data!E673)+1)-FIND("/",Raw_Data!E673)-1)),VALUE(LEFT(Raw_Data!E673,FIND("/",Raw_Data!E673)-1))),IF(ISNUMBER(VALUE(LEFT(Raw_Data!E673,4))),DATE(VALUE(LEFT(Raw_Data!E673,4)),VALUE(MID(Raw_Data!E673,6,2)),VALUE(MID(Raw_Data!E673,9,2))),DATEVALUE(Raw_Data!E673))),"")</f>
        <v>45476</v>
      </c>
      <c r="F673" s="11" t="str">
        <f aca="false">Raw_Data!F673</f>
        <v>Male 18-24</v>
      </c>
      <c r="G673" s="11" t="str">
        <f aca="false">IF(TRIM(Raw_Data!G673)="","Unspecified",IFERROR(INDEX(Lookup_Tables!$F$2:$F$24,MATCH(UPPER(TRIM(Raw_Data!G673)),Lookup_Tables!$G$2:$G$24,0)),"Unknown"))</f>
        <v>Central</v>
      </c>
      <c r="H673" s="11" t="n">
        <f aca="false">IF(Raw_Data!H673="",ROUND(AVERAGEIFS(Raw_Data!$H$2:$H$839,Raw_Data!$C$2:$C$839,Raw_Data!C673),2),Raw_Data!H673)</f>
        <v>83446.1</v>
      </c>
      <c r="I673" s="11" t="n">
        <f aca="false">Raw_Data!I673</f>
        <v>2502795</v>
      </c>
      <c r="J673" s="11" t="n">
        <f aca="false">IF(Raw_Data!J673&lt;0,ABS(Raw_Data!J673),Raw_Data!J673)</f>
        <v>55610</v>
      </c>
      <c r="K673" s="11" t="n">
        <f aca="false">Raw_Data!K673</f>
        <v>4026</v>
      </c>
      <c r="L673" s="11" t="n">
        <f aca="false">IF(Raw_Data!L673="",ROUND(AVERAGEIFS(Raw_Data!$L$2:$L$839,Raw_Data!$C$2:$C$839,Raw_Data!C673),2),Raw_Data!L673)</f>
        <v>5532661.94</v>
      </c>
      <c r="M673" s="13" t="n">
        <f aca="false">IFERROR(J673/I673,0)</f>
        <v>0.0222191589802601</v>
      </c>
      <c r="N673" s="14" t="n">
        <f aca="false">IFERROR(H673/J673,0)</f>
        <v>1.50055925193311</v>
      </c>
      <c r="O673" s="14" t="n">
        <f aca="false">IFERROR(H673/K673,0)</f>
        <v>20.7268007948336</v>
      </c>
      <c r="P673" s="15" t="n">
        <f aca="false">IFERROR(L673/H673,0)</f>
        <v>66.3022231116853</v>
      </c>
      <c r="Q673" s="13" t="n">
        <f aca="false">IFERROR(K673/J673,0)</f>
        <v>0.0723970508901277</v>
      </c>
      <c r="R673" s="11" t="str">
        <f aca="false">IF(COUNTIF($A$2:A673,A673)&gt;1,"Duplicate - Remove","Unique")</f>
        <v>Unique</v>
      </c>
      <c r="S673" s="11" t="str">
        <f aca="false">TRIM(IF(Raw_Data!G673="","Region missing; ","")&amp;IF(Raw_Data!H673="","Spend imputed; ","")&amp;IF(Raw_Data!L673="","Revenue imputed; ","")&amp;IF(Raw_Data!J673&lt;0,"Clicks corrected; ",""))</f>
        <v/>
      </c>
    </row>
    <row r="674" customFormat="false" ht="15" hidden="false" customHeight="true" outlineLevel="0" collapsed="false">
      <c r="A674" s="11" t="n">
        <f aca="false">Raw_Data!A674</f>
        <v>1022</v>
      </c>
      <c r="B674" s="11" t="str">
        <f aca="false">PROPER(TRIM(Raw_Data!B674))</f>
        <v>Anti-Ageing Serum Push</v>
      </c>
      <c r="C674" s="11" t="str">
        <f aca="false">IFERROR(INDEX(Lookup_Tables!$B$2:$B$26,MATCH(UPPER(TRIM(Raw_Data!C674)),Lookup_Tables!$C$2:$C$26,0)),"Unknown")</f>
        <v>Facebook</v>
      </c>
      <c r="D674" s="12" t="n">
        <f aca="false">IFERROR(IF(ISNUMBER(SEARCH("/",Raw_Data!D674)),DATE(VALUE(RIGHT(Raw_Data!D674,4)),VALUE(MID(Raw_Data!D674,FIND("/",Raw_Data!D674)+1,FIND("/",Raw_Data!D674,FIND("/",Raw_Data!D674)+1)-FIND("/",Raw_Data!D674)-1)),VALUE(LEFT(Raw_Data!D674,FIND("/",Raw_Data!D674)-1))),IF(ISNUMBER(VALUE(LEFT(Raw_Data!D674,4))),DATE(VALUE(LEFT(Raw_Data!D674,4)),VALUE(MID(Raw_Data!D674,6,2)),VALUE(MID(Raw_Data!D674,9,2))),DATEVALUE(Raw_Data!D674))),"")</f>
        <v>45445</v>
      </c>
      <c r="E674" s="12" t="n">
        <f aca="false">IFERROR(IF(ISNUMBER(SEARCH("/",Raw_Data!E674)),DATE(VALUE(RIGHT(Raw_Data!E674,4)),VALUE(MID(Raw_Data!E674,FIND("/",Raw_Data!E674)+1,FIND("/",Raw_Data!E674,FIND("/",Raw_Data!E674)+1)-FIND("/",Raw_Data!E674)-1)),VALUE(LEFT(Raw_Data!E674,FIND("/",Raw_Data!E674)-1))),IF(ISNUMBER(VALUE(LEFT(Raw_Data!E674,4))),DATE(VALUE(LEFT(Raw_Data!E674,4)),VALUE(MID(Raw_Data!E674,6,2)),VALUE(MID(Raw_Data!E674,9,2))),DATEVALUE(Raw_Data!E674))),"")</f>
        <v>45466</v>
      </c>
      <c r="F674" s="11" t="str">
        <f aca="false">Raw_Data!F674</f>
        <v>Female 25-34</v>
      </c>
      <c r="G674" s="11" t="str">
        <f aca="false">IF(TRIM(Raw_Data!G674)="","Unspecified",IFERROR(INDEX(Lookup_Tables!$F$2:$F$24,MATCH(UPPER(TRIM(Raw_Data!G674)),Lookup_Tables!$G$2:$G$24,0)),"Unknown"))</f>
        <v>East</v>
      </c>
      <c r="H674" s="11" t="n">
        <f aca="false">IF(Raw_Data!H674="",ROUND(AVERAGEIFS(Raw_Data!$H$2:$H$839,Raw_Data!$C$2:$C$839,Raw_Data!C674),2),Raw_Data!H674)</f>
        <v>35343.29</v>
      </c>
      <c r="I674" s="11" t="n">
        <f aca="false">Raw_Data!I674</f>
        <v>818358</v>
      </c>
      <c r="J674" s="11" t="n">
        <f aca="false">IF(Raw_Data!J674&lt;0,ABS(Raw_Data!J674),Raw_Data!J674)</f>
        <v>21208</v>
      </c>
      <c r="K674" s="11" t="n">
        <f aca="false">Raw_Data!K674</f>
        <v>1035</v>
      </c>
      <c r="L674" s="11" t="n">
        <f aca="false">IF(Raw_Data!L674="",ROUND(AVERAGEIFS(Raw_Data!$L$2:$L$839,Raw_Data!$C$2:$C$839,Raw_Data!C674),2),Raw_Data!L674)</f>
        <v>650154.02</v>
      </c>
      <c r="M674" s="13" t="n">
        <f aca="false">IFERROR(J674/I674,0)</f>
        <v>0.025915308459134</v>
      </c>
      <c r="N674" s="14" t="n">
        <f aca="false">IFERROR(H674/J674,0)</f>
        <v>1.66650745001886</v>
      </c>
      <c r="O674" s="14" t="n">
        <f aca="false">IFERROR(H674/K674,0)</f>
        <v>34.1481062801932</v>
      </c>
      <c r="P674" s="15" t="n">
        <f aca="false">IFERROR(L674/H674,0)</f>
        <v>18.395401786308</v>
      </c>
      <c r="Q674" s="13" t="n">
        <f aca="false">IFERROR(K674/J674,0)</f>
        <v>0.0488023387400981</v>
      </c>
      <c r="R674" s="11" t="str">
        <f aca="false">IF(COUNTIF($A$2:A674,A674)&gt;1,"Duplicate - Remove","Unique")</f>
        <v>Unique</v>
      </c>
      <c r="S674" s="11" t="str">
        <f aca="false">TRIM(IF(Raw_Data!G674="","Region missing; ","")&amp;IF(Raw_Data!H674="","Spend imputed; ","")&amp;IF(Raw_Data!L674="","Revenue imputed; ","")&amp;IF(Raw_Data!J674&lt;0,"Clicks corrected; ",""))</f>
        <v/>
      </c>
    </row>
    <row r="675" customFormat="false" ht="15" hidden="false" customHeight="true" outlineLevel="0" collapsed="false">
      <c r="A675" s="11" t="n">
        <f aca="false">Raw_Data!A675</f>
        <v>1163</v>
      </c>
      <c r="B675" s="11" t="str">
        <f aca="false">PROPER(TRIM(Raw_Data!B675))</f>
        <v>Wedding Season Special</v>
      </c>
      <c r="C675" s="11" t="str">
        <f aca="false">IFERROR(INDEX(Lookup_Tables!$B$2:$B$26,MATCH(UPPER(TRIM(Raw_Data!C675)),Lookup_Tables!$C$2:$C$26,0)),"Unknown")</f>
        <v>Facebook</v>
      </c>
      <c r="D675" s="12" t="n">
        <f aca="false">IFERROR(IF(ISNUMBER(SEARCH("/",Raw_Data!D675)),DATE(VALUE(RIGHT(Raw_Data!D675,4)),VALUE(MID(Raw_Data!D675,FIND("/",Raw_Data!D675)+1,FIND("/",Raw_Data!D675,FIND("/",Raw_Data!D675)+1)-FIND("/",Raw_Data!D675)-1)),VALUE(LEFT(Raw_Data!D675,FIND("/",Raw_Data!D675)-1))),IF(ISNUMBER(VALUE(LEFT(Raw_Data!D675,4))),DATE(VALUE(LEFT(Raw_Data!D675,4)),VALUE(MID(Raw_Data!D675,6,2)),VALUE(MID(Raw_Data!D675,9,2))),DATEVALUE(Raw_Data!D675))),"")</f>
        <v>45373</v>
      </c>
      <c r="E675" s="12" t="n">
        <f aca="false">IFERROR(IF(ISNUMBER(SEARCH("/",Raw_Data!E675)),DATE(VALUE(RIGHT(Raw_Data!E675,4)),VALUE(MID(Raw_Data!E675,FIND("/",Raw_Data!E675)+1,FIND("/",Raw_Data!E675,FIND("/",Raw_Data!E675)+1)-FIND("/",Raw_Data!E675)-1)),VALUE(LEFT(Raw_Data!E675,FIND("/",Raw_Data!E675)-1))),IF(ISNUMBER(VALUE(LEFT(Raw_Data!E675,4))),DATE(VALUE(LEFT(Raw_Data!E675,4)),VALUE(MID(Raw_Data!E675,6,2)),VALUE(MID(Raw_Data!E675,9,2))),DATEVALUE(Raw_Data!E675))),"")</f>
        <v>45381</v>
      </c>
      <c r="F675" s="11" t="str">
        <f aca="false">Raw_Data!F675</f>
        <v>Male 18-24</v>
      </c>
      <c r="G675" s="11" t="str">
        <f aca="false">IF(TRIM(Raw_Data!G675)="","Unspecified",IFERROR(INDEX(Lookup_Tables!$F$2:$F$24,MATCH(UPPER(TRIM(Raw_Data!G675)),Lookup_Tables!$G$2:$G$24,0)),"Unknown"))</f>
        <v>West</v>
      </c>
      <c r="H675" s="11" t="n">
        <f aca="false">IF(Raw_Data!H675="",ROUND(AVERAGEIFS(Raw_Data!$H$2:$H$839,Raw_Data!$C$2:$C$839,Raw_Data!C675),2),Raw_Data!H675)</f>
        <v>34902.03</v>
      </c>
      <c r="I675" s="11" t="n">
        <f aca="false">Raw_Data!I675</f>
        <v>756088</v>
      </c>
      <c r="J675" s="11" t="n">
        <f aca="false">IF(Raw_Data!J675&lt;0,ABS(Raw_Data!J675),Raw_Data!J675)</f>
        <v>22295</v>
      </c>
      <c r="K675" s="11" t="n">
        <f aca="false">Raw_Data!K675</f>
        <v>1654</v>
      </c>
      <c r="L675" s="11" t="n">
        <f aca="false">IF(Raw_Data!L675="",ROUND(AVERAGEIFS(Raw_Data!$L$2:$L$839,Raw_Data!$C$2:$C$839,Raw_Data!C675),2),Raw_Data!L675)</f>
        <v>712985.73</v>
      </c>
      <c r="M675" s="13" t="n">
        <f aca="false">IFERROR(J675/I675,0)</f>
        <v>0.0294873083556411</v>
      </c>
      <c r="N675" s="14" t="n">
        <f aca="false">IFERROR(H675/J675,0)</f>
        <v>1.56546445391343</v>
      </c>
      <c r="O675" s="14" t="n">
        <f aca="false">IFERROR(H675/K675,0)</f>
        <v>21.1015900846433</v>
      </c>
      <c r="P675" s="15" t="n">
        <f aca="false">IFERROR(L675/H675,0)</f>
        <v>20.4282023137336</v>
      </c>
      <c r="Q675" s="13" t="n">
        <f aca="false">IFERROR(K675/J675,0)</f>
        <v>0.0741870374523436</v>
      </c>
      <c r="R675" s="11" t="str">
        <f aca="false">IF(COUNTIF($A$2:A675,A675)&gt;1,"Duplicate - Remove","Unique")</f>
        <v>Unique</v>
      </c>
      <c r="S675" s="11" t="str">
        <f aca="false">TRIM(IF(Raw_Data!G675="","Region missing; ","")&amp;IF(Raw_Data!H675="","Spend imputed; ","")&amp;IF(Raw_Data!L675="","Revenue imputed; ","")&amp;IF(Raw_Data!J675&lt;0,"Clicks corrected; ",""))</f>
        <v/>
      </c>
    </row>
    <row r="676" customFormat="false" ht="15" hidden="false" customHeight="true" outlineLevel="0" collapsed="false">
      <c r="A676" s="11" t="n">
        <f aca="false">Raw_Data!A676</f>
        <v>1305</v>
      </c>
      <c r="B676" s="11" t="str">
        <f aca="false">PROPER(TRIM(Raw_Data!B676))</f>
        <v>Sunscreen Season Campaign</v>
      </c>
      <c r="C676" s="11" t="str">
        <f aca="false">IFERROR(INDEX(Lookup_Tables!$B$2:$B$26,MATCH(UPPER(TRIM(Raw_Data!C676)),Lookup_Tables!$C$2:$C$26,0)),"Unknown")</f>
        <v>Email</v>
      </c>
      <c r="D676" s="12" t="n">
        <f aca="false">IFERROR(IF(ISNUMBER(SEARCH("/",Raw_Data!D676)),DATE(VALUE(RIGHT(Raw_Data!D676,4)),VALUE(MID(Raw_Data!D676,FIND("/",Raw_Data!D676)+1,FIND("/",Raw_Data!D676,FIND("/",Raw_Data!D676)+1)-FIND("/",Raw_Data!D676)-1)),VALUE(LEFT(Raw_Data!D676,FIND("/",Raw_Data!D676)-1))),IF(ISNUMBER(VALUE(LEFT(Raw_Data!D676,4))),DATE(VALUE(LEFT(Raw_Data!D676,4)),VALUE(MID(Raw_Data!D676,6,2)),VALUE(MID(Raw_Data!D676,9,2))),DATEVALUE(Raw_Data!D676))),"")</f>
        <v>45534</v>
      </c>
      <c r="E676" s="12" t="n">
        <f aca="false">IFERROR(IF(ISNUMBER(SEARCH("/",Raw_Data!E676)),DATE(VALUE(RIGHT(Raw_Data!E676,4)),VALUE(MID(Raw_Data!E676,FIND("/",Raw_Data!E676)+1,FIND("/",Raw_Data!E676,FIND("/",Raw_Data!E676)+1)-FIND("/",Raw_Data!E676)-1)),VALUE(LEFT(Raw_Data!E676,FIND("/",Raw_Data!E676)-1))),IF(ISNUMBER(VALUE(LEFT(Raw_Data!E676,4))),DATE(VALUE(LEFT(Raw_Data!E676,4)),VALUE(MID(Raw_Data!E676,6,2)),VALUE(MID(Raw_Data!E676,9,2))),DATEVALUE(Raw_Data!E676))),"")</f>
        <v>45547</v>
      </c>
      <c r="F676" s="11" t="str">
        <f aca="false">Raw_Data!F676</f>
        <v>Female 45+</v>
      </c>
      <c r="G676" s="11" t="str">
        <f aca="false">IF(TRIM(Raw_Data!G676)="","Unspecified",IFERROR(INDEX(Lookup_Tables!$F$2:$F$24,MATCH(UPPER(TRIM(Raw_Data!G676)),Lookup_Tables!$G$2:$G$24,0)),"Unknown"))</f>
        <v>Central</v>
      </c>
      <c r="H676" s="11" t="n">
        <f aca="false">IF(Raw_Data!H676="",ROUND(AVERAGEIFS(Raw_Data!$H$2:$H$839,Raw_Data!$C$2:$C$839,Raw_Data!C676),2),Raw_Data!H676)</f>
        <v>4713.09</v>
      </c>
      <c r="I676" s="11" t="n">
        <f aca="false">Raw_Data!I676</f>
        <v>121919</v>
      </c>
      <c r="J676" s="11" t="n">
        <f aca="false">IF(Raw_Data!J676&lt;0,ABS(Raw_Data!J676),Raw_Data!J676)</f>
        <v>1665</v>
      </c>
      <c r="K676" s="11" t="n">
        <f aca="false">Raw_Data!K676</f>
        <v>109</v>
      </c>
      <c r="L676" s="11" t="n">
        <f aca="false">IF(Raw_Data!L676="",ROUND(AVERAGEIFS(Raw_Data!$L$2:$L$839,Raw_Data!$C$2:$C$839,Raw_Data!C676),2),Raw_Data!L676)</f>
        <v>98525.75</v>
      </c>
      <c r="M676" s="13" t="n">
        <f aca="false">IFERROR(J676/I676,0)</f>
        <v>0.0136566080758536</v>
      </c>
      <c r="N676" s="14" t="n">
        <f aca="false">IFERROR(H676/J676,0)</f>
        <v>2.83068468468468</v>
      </c>
      <c r="O676" s="14" t="n">
        <f aca="false">IFERROR(H676/K676,0)</f>
        <v>43.2393577981651</v>
      </c>
      <c r="P676" s="15" t="n">
        <f aca="false">IFERROR(L676/H676,0)</f>
        <v>20.904703708183</v>
      </c>
      <c r="Q676" s="13" t="n">
        <f aca="false">IFERROR(K676/J676,0)</f>
        <v>0.0654654654654655</v>
      </c>
      <c r="R676" s="11" t="str">
        <f aca="false">IF(COUNTIF($A$2:A676,A676)&gt;1,"Duplicate - Remove","Unique")</f>
        <v>Unique</v>
      </c>
      <c r="S676" s="11" t="str">
        <f aca="false">TRIM(IF(Raw_Data!G676="","Region missing; ","")&amp;IF(Raw_Data!H676="","Spend imputed; ","")&amp;IF(Raw_Data!L676="","Revenue imputed; ","")&amp;IF(Raw_Data!J676&lt;0,"Clicks corrected; ",""))</f>
        <v/>
      </c>
    </row>
    <row r="677" customFormat="false" ht="15" hidden="false" customHeight="true" outlineLevel="0" collapsed="false">
      <c r="A677" s="11" t="n">
        <f aca="false">Raw_Data!A677</f>
        <v>1418</v>
      </c>
      <c r="B677" s="11" t="str">
        <f aca="false">PROPER(TRIM(Raw_Data!B677))</f>
        <v>Clearance Sale Push</v>
      </c>
      <c r="C677" s="11" t="str">
        <f aca="false">IFERROR(INDEX(Lookup_Tables!$B$2:$B$26,MATCH(UPPER(TRIM(Raw_Data!C677)),Lookup_Tables!$C$2:$C$26,0)),"Unknown")</f>
        <v>Facebook</v>
      </c>
      <c r="D677" s="12" t="n">
        <f aca="false">IFERROR(IF(ISNUMBER(SEARCH("/",Raw_Data!D677)),DATE(VALUE(RIGHT(Raw_Data!D677,4)),VALUE(MID(Raw_Data!D677,FIND("/",Raw_Data!D677)+1,FIND("/",Raw_Data!D677,FIND("/",Raw_Data!D677)+1)-FIND("/",Raw_Data!D677)-1)),VALUE(LEFT(Raw_Data!D677,FIND("/",Raw_Data!D677)-1))),IF(ISNUMBER(VALUE(LEFT(Raw_Data!D677,4))),DATE(VALUE(LEFT(Raw_Data!D677,4)),VALUE(MID(Raw_Data!D677,6,2)),VALUE(MID(Raw_Data!D677,9,2))),DATEVALUE(Raw_Data!D677))),"")</f>
        <v>45607</v>
      </c>
      <c r="E677" s="12" t="n">
        <f aca="false">IFERROR(IF(ISNUMBER(SEARCH("/",Raw_Data!E677)),DATE(VALUE(RIGHT(Raw_Data!E677,4)),VALUE(MID(Raw_Data!E677,FIND("/",Raw_Data!E677)+1,FIND("/",Raw_Data!E677,FIND("/",Raw_Data!E677)+1)-FIND("/",Raw_Data!E677)-1)),VALUE(LEFT(Raw_Data!E677,FIND("/",Raw_Data!E677)-1))),IF(ISNUMBER(VALUE(LEFT(Raw_Data!E677,4))),DATE(VALUE(LEFT(Raw_Data!E677,4)),VALUE(MID(Raw_Data!E677,6,2)),VALUE(MID(Raw_Data!E677,9,2))),DATEVALUE(Raw_Data!E677))),"")</f>
        <v>45621</v>
      </c>
      <c r="F677" s="11" t="str">
        <f aca="false">Raw_Data!F677</f>
        <v>Male 35-44</v>
      </c>
      <c r="G677" s="11" t="str">
        <f aca="false">IF(TRIM(Raw_Data!G677)="","Unspecified",IFERROR(INDEX(Lookup_Tables!$F$2:$F$24,MATCH(UPPER(TRIM(Raw_Data!G677)),Lookup_Tables!$G$2:$G$24,0)),"Unknown"))</f>
        <v>East</v>
      </c>
      <c r="H677" s="11" t="n">
        <f aca="false">IF(Raw_Data!H677="",ROUND(AVERAGEIFS(Raw_Data!$H$2:$H$839,Raw_Data!$C$2:$C$839,Raw_Data!C677),2),Raw_Data!H677)</f>
        <v>20459.24</v>
      </c>
      <c r="I677" s="11" t="n">
        <f aca="false">Raw_Data!I677</f>
        <v>360516</v>
      </c>
      <c r="J677" s="11" t="n">
        <f aca="false">IF(Raw_Data!J677&lt;0,ABS(Raw_Data!J677),Raw_Data!J677)</f>
        <v>11278</v>
      </c>
      <c r="K677" s="11" t="n">
        <f aca="false">Raw_Data!K677</f>
        <v>831</v>
      </c>
      <c r="L677" s="11" t="n">
        <f aca="false">IF(Raw_Data!L677="",ROUND(AVERAGEIFS(Raw_Data!$L$2:$L$839,Raw_Data!$C$2:$C$839,Raw_Data!C677),2),Raw_Data!L677)</f>
        <v>888421.66</v>
      </c>
      <c r="M677" s="13" t="n">
        <f aca="false">IFERROR(J677/I677,0)</f>
        <v>0.0312829388986897</v>
      </c>
      <c r="N677" s="14" t="n">
        <f aca="false">IFERROR(H677/J677,0)</f>
        <v>1.814084057457</v>
      </c>
      <c r="O677" s="14" t="n">
        <f aca="false">IFERROR(H677/K677,0)</f>
        <v>24.6200240673887</v>
      </c>
      <c r="P677" s="15" t="n">
        <f aca="false">IFERROR(L677/H677,0)</f>
        <v>43.423981535971</v>
      </c>
      <c r="Q677" s="13" t="n">
        <f aca="false">IFERROR(K677/J677,0)</f>
        <v>0.0736832771768044</v>
      </c>
      <c r="R677" s="11" t="str">
        <f aca="false">IF(COUNTIF($A$2:A677,A677)&gt;1,"Duplicate - Remove","Unique")</f>
        <v>Unique</v>
      </c>
      <c r="S677" s="11" t="str">
        <f aca="false">TRIM(IF(Raw_Data!G677="","Region missing; ","")&amp;IF(Raw_Data!H677="","Spend imputed; ","")&amp;IF(Raw_Data!L677="","Revenue imputed; ","")&amp;IF(Raw_Data!J677&lt;0,"Clicks corrected; ",""))</f>
        <v/>
      </c>
    </row>
    <row r="678" customFormat="false" ht="15" hidden="false" customHeight="true" outlineLevel="0" collapsed="false">
      <c r="A678" s="11" t="n">
        <f aca="false">Raw_Data!A678</f>
        <v>1315</v>
      </c>
      <c r="B678" s="11" t="str">
        <f aca="false">PROPER(TRIM(Raw_Data!B678))</f>
        <v>Back To College Offer</v>
      </c>
      <c r="C678" s="11" t="str">
        <f aca="false">IFERROR(INDEX(Lookup_Tables!$B$2:$B$26,MATCH(UPPER(TRIM(Raw_Data!C678)),Lookup_Tables!$C$2:$C$26,0)),"Unknown")</f>
        <v>Instagram</v>
      </c>
      <c r="D678" s="12" t="n">
        <f aca="false">IFERROR(IF(ISNUMBER(SEARCH("/",Raw_Data!D678)),DATE(VALUE(RIGHT(Raw_Data!D678,4)),VALUE(MID(Raw_Data!D678,FIND("/",Raw_Data!D678)+1,FIND("/",Raw_Data!D678,FIND("/",Raw_Data!D678)+1)-FIND("/",Raw_Data!D678)-1)),VALUE(LEFT(Raw_Data!D678,FIND("/",Raw_Data!D678)-1))),IF(ISNUMBER(VALUE(LEFT(Raw_Data!D678,4))),DATE(VALUE(LEFT(Raw_Data!D678,4)),VALUE(MID(Raw_Data!D678,6,2)),VALUE(MID(Raw_Data!D678,9,2))),DATEVALUE(Raw_Data!D678))),"")</f>
        <v>45350</v>
      </c>
      <c r="E678" s="12" t="n">
        <f aca="false">IFERROR(IF(ISNUMBER(SEARCH("/",Raw_Data!E678)),DATE(VALUE(RIGHT(Raw_Data!E678,4)),VALUE(MID(Raw_Data!E678,FIND("/",Raw_Data!E678)+1,FIND("/",Raw_Data!E678,FIND("/",Raw_Data!E678)+1)-FIND("/",Raw_Data!E678)-1)),VALUE(LEFT(Raw_Data!E678,FIND("/",Raw_Data!E678)-1))),IF(ISNUMBER(VALUE(LEFT(Raw_Data!E678,4))),DATE(VALUE(LEFT(Raw_Data!E678,4)),VALUE(MID(Raw_Data!E678,6,2)),VALUE(MID(Raw_Data!E678,9,2))),DATEVALUE(Raw_Data!E678))),"")</f>
        <v>45370</v>
      </c>
      <c r="F678" s="11" t="str">
        <f aca="false">Raw_Data!F678</f>
        <v>Female 25-34</v>
      </c>
      <c r="G678" s="11" t="str">
        <f aca="false">IF(TRIM(Raw_Data!G678)="","Unspecified",IFERROR(INDEX(Lookup_Tables!$F$2:$F$24,MATCH(UPPER(TRIM(Raw_Data!G678)),Lookup_Tables!$G$2:$G$24,0)),"Unknown"))</f>
        <v>South</v>
      </c>
      <c r="H678" s="11" t="n">
        <f aca="false">IF(Raw_Data!H678="",ROUND(AVERAGEIFS(Raw_Data!$H$2:$H$839,Raw_Data!$C$2:$C$839,Raw_Data!C678),2),Raw_Data!H678)</f>
        <v>49557.11</v>
      </c>
      <c r="I678" s="11" t="n">
        <f aca="false">Raw_Data!I678</f>
        <v>1016630</v>
      </c>
      <c r="J678" s="11" t="n">
        <f aca="false">IF(Raw_Data!J678&lt;0,ABS(Raw_Data!J678),Raw_Data!J678)</f>
        <v>29618</v>
      </c>
      <c r="K678" s="11" t="n">
        <f aca="false">Raw_Data!K678</f>
        <v>1179</v>
      </c>
      <c r="L678" s="11" t="n">
        <f aca="false">IF(Raw_Data!L678="",ROUND(AVERAGEIFS(Raw_Data!$L$2:$L$839,Raw_Data!$C$2:$C$839,Raw_Data!C678),2),Raw_Data!L678)</f>
        <v>1799985.78</v>
      </c>
      <c r="M678" s="13" t="n">
        <f aca="false">IFERROR(J678/I678,0)</f>
        <v>0.0291335097331379</v>
      </c>
      <c r="N678" s="14" t="n">
        <f aca="false">IFERROR(H678/J678,0)</f>
        <v>1.67320919710987</v>
      </c>
      <c r="O678" s="14" t="n">
        <f aca="false">IFERROR(H678/K678,0)</f>
        <v>42.0331721798134</v>
      </c>
      <c r="P678" s="15" t="n">
        <f aca="false">IFERROR(L678/H678,0)</f>
        <v>36.3214436838629</v>
      </c>
      <c r="Q678" s="13" t="n">
        <f aca="false">IFERROR(K678/J678,0)</f>
        <v>0.0398068741981228</v>
      </c>
      <c r="R678" s="11" t="str">
        <f aca="false">IF(COUNTIF($A$2:A678,A678)&gt;1,"Duplicate - Remove","Unique")</f>
        <v>Unique</v>
      </c>
      <c r="S678" s="11" t="str">
        <f aca="false">TRIM(IF(Raw_Data!G678="","Region missing; ","")&amp;IF(Raw_Data!H678="","Spend imputed; ","")&amp;IF(Raw_Data!L678="","Revenue imputed; ","")&amp;IF(Raw_Data!J678&lt;0,"Clicks corrected; ",""))</f>
        <v/>
      </c>
    </row>
    <row r="679" customFormat="false" ht="15" hidden="false" customHeight="true" outlineLevel="0" collapsed="false">
      <c r="A679" s="11" t="n">
        <f aca="false">Raw_Data!A679</f>
        <v>1661</v>
      </c>
      <c r="B679" s="11" t="str">
        <f aca="false">PROPER(TRIM(Raw_Data!B679))</f>
        <v>Summer Glow Launch</v>
      </c>
      <c r="C679" s="11" t="str">
        <f aca="false">IFERROR(INDEX(Lookup_Tables!$B$2:$B$26,MATCH(UPPER(TRIM(Raw_Data!C679)),Lookup_Tables!$C$2:$C$26,0)),"Unknown")</f>
        <v>Instagram</v>
      </c>
      <c r="D679" s="12" t="n">
        <f aca="false">IFERROR(IF(ISNUMBER(SEARCH("/",Raw_Data!D679)),DATE(VALUE(RIGHT(Raw_Data!D679,4)),VALUE(MID(Raw_Data!D679,FIND("/",Raw_Data!D679)+1,FIND("/",Raw_Data!D679,FIND("/",Raw_Data!D679)+1)-FIND("/",Raw_Data!D679)-1)),VALUE(LEFT(Raw_Data!D679,FIND("/",Raw_Data!D679)-1))),IF(ISNUMBER(VALUE(LEFT(Raw_Data!D679,4))),DATE(VALUE(LEFT(Raw_Data!D679,4)),VALUE(MID(Raw_Data!D679,6,2)),VALUE(MID(Raw_Data!D679,9,2))),DATEVALUE(Raw_Data!D679))),"")</f>
        <v>45598</v>
      </c>
      <c r="E679" s="12" t="n">
        <f aca="false">IFERROR(IF(ISNUMBER(SEARCH("/",Raw_Data!E679)),DATE(VALUE(RIGHT(Raw_Data!E679,4)),VALUE(MID(Raw_Data!E679,FIND("/",Raw_Data!E679)+1,FIND("/",Raw_Data!E679,FIND("/",Raw_Data!E679)+1)-FIND("/",Raw_Data!E679)-1)),VALUE(LEFT(Raw_Data!E679,FIND("/",Raw_Data!E679)-1))),IF(ISNUMBER(VALUE(LEFT(Raw_Data!E679,4))),DATE(VALUE(LEFT(Raw_Data!E679,4)),VALUE(MID(Raw_Data!E679,6,2)),VALUE(MID(Raw_Data!E679,9,2))),DATEVALUE(Raw_Data!E679))),"")</f>
        <v>45626</v>
      </c>
      <c r="F679" s="11" t="str">
        <f aca="false">Raw_Data!F679</f>
        <v>Female 45+</v>
      </c>
      <c r="G679" s="11" t="str">
        <f aca="false">IF(TRIM(Raw_Data!G679)="","Unspecified",IFERROR(INDEX(Lookup_Tables!$F$2:$F$24,MATCH(UPPER(TRIM(Raw_Data!G679)),Lookup_Tables!$G$2:$G$24,0)),"Unknown"))</f>
        <v>Unspecified</v>
      </c>
      <c r="H679" s="11" t="n">
        <f aca="false">IF(Raw_Data!H679="",ROUND(AVERAGEIFS(Raw_Data!$H$2:$H$839,Raw_Data!$C$2:$C$839,Raw_Data!C679),2),Raw_Data!H679)</f>
        <v>16826.49</v>
      </c>
      <c r="I679" s="11" t="n">
        <f aca="false">Raw_Data!I679</f>
        <v>294512</v>
      </c>
      <c r="J679" s="11" t="n">
        <f aca="false">IF(Raw_Data!J679&lt;0,ABS(Raw_Data!J679),Raw_Data!J679)</f>
        <v>4553</v>
      </c>
      <c r="K679" s="11" t="n">
        <f aca="false">Raw_Data!K679</f>
        <v>116</v>
      </c>
      <c r="L679" s="11" t="n">
        <f aca="false">IF(Raw_Data!L679="",ROUND(AVERAGEIFS(Raw_Data!$L$2:$L$839,Raw_Data!$C$2:$C$839,Raw_Data!C679),2),Raw_Data!L679)</f>
        <v>111224.3</v>
      </c>
      <c r="M679" s="13" t="n">
        <f aca="false">IFERROR(J679/I679,0)</f>
        <v>0.0154594719400228</v>
      </c>
      <c r="N679" s="14" t="n">
        <f aca="false">IFERROR(H679/J679,0)</f>
        <v>3.69569294970349</v>
      </c>
      <c r="O679" s="14" t="n">
        <f aca="false">IFERROR(H679/K679,0)</f>
        <v>145.055948275862</v>
      </c>
      <c r="P679" s="15" t="n">
        <f aca="false">IFERROR(L679/H679,0)</f>
        <v>6.6100713814943</v>
      </c>
      <c r="Q679" s="13" t="n">
        <f aca="false">IFERROR(K679/J679,0)</f>
        <v>0.0254777070063694</v>
      </c>
      <c r="R679" s="11" t="str">
        <f aca="false">IF(COUNTIF($A$2:A679,A679)&gt;1,"Duplicate - Remove","Unique")</f>
        <v>Unique</v>
      </c>
      <c r="S679" s="11" t="str">
        <f aca="false">TRIM(IF(Raw_Data!G679="","Region missing; ","")&amp;IF(Raw_Data!H679="","Spend imputed; ","")&amp;IF(Raw_Data!L679="","Revenue imputed; ","")&amp;IF(Raw_Data!J679&lt;0,"Clicks corrected; ",""))</f>
        <v>Region missing;</v>
      </c>
    </row>
    <row r="680" customFormat="false" ht="15" hidden="false" customHeight="true" outlineLevel="0" collapsed="false">
      <c r="A680" s="11" t="n">
        <f aca="false">Raw_Data!A680</f>
        <v>1586</v>
      </c>
      <c r="B680" s="11" t="str">
        <f aca="false">PROPER(TRIM(Raw_Data!B680))</f>
        <v>Festive Gift Bundle</v>
      </c>
      <c r="C680" s="11" t="str">
        <f aca="false">IFERROR(INDEX(Lookup_Tables!$B$2:$B$26,MATCH(UPPER(TRIM(Raw_Data!C680)),Lookup_Tables!$C$2:$C$26,0)),"Unknown")</f>
        <v>Instagram</v>
      </c>
      <c r="D680" s="12" t="n">
        <f aca="false">IFERROR(IF(ISNUMBER(SEARCH("/",Raw_Data!D680)),DATE(VALUE(RIGHT(Raw_Data!D680,4)),VALUE(MID(Raw_Data!D680,FIND("/",Raw_Data!D680)+1,FIND("/",Raw_Data!D680,FIND("/",Raw_Data!D680)+1)-FIND("/",Raw_Data!D680)-1)),VALUE(LEFT(Raw_Data!D680,FIND("/",Raw_Data!D680)-1))),IF(ISNUMBER(VALUE(LEFT(Raw_Data!D680,4))),DATE(VALUE(LEFT(Raw_Data!D680,4)),VALUE(MID(Raw_Data!D680,6,2)),VALUE(MID(Raw_Data!D680,9,2))),DATEVALUE(Raw_Data!D680))),"")</f>
        <v>45311</v>
      </c>
      <c r="E680" s="12" t="n">
        <f aca="false">IFERROR(IF(ISNUMBER(SEARCH("/",Raw_Data!E680)),DATE(VALUE(RIGHT(Raw_Data!E680,4)),VALUE(MID(Raw_Data!E680,FIND("/",Raw_Data!E680)+1,FIND("/",Raw_Data!E680,FIND("/",Raw_Data!E680)+1)-FIND("/",Raw_Data!E680)-1)),VALUE(LEFT(Raw_Data!E680,FIND("/",Raw_Data!E680)-1))),IF(ISNUMBER(VALUE(LEFT(Raw_Data!E680,4))),DATE(VALUE(LEFT(Raw_Data!E680,4)),VALUE(MID(Raw_Data!E680,6,2)),VALUE(MID(Raw_Data!E680,9,2))),DATEVALUE(Raw_Data!E680))),"")</f>
        <v>45329</v>
      </c>
      <c r="F680" s="11" t="str">
        <f aca="false">Raw_Data!F680</f>
        <v>Male 35-44</v>
      </c>
      <c r="G680" s="11" t="str">
        <f aca="false">IF(TRIM(Raw_Data!G680)="","Unspecified",IFERROR(INDEX(Lookup_Tables!$F$2:$F$24,MATCH(UPPER(TRIM(Raw_Data!G680)),Lookup_Tables!$G$2:$G$24,0)),"Unknown"))</f>
        <v>Central</v>
      </c>
      <c r="H680" s="11" t="n">
        <f aca="false">IF(Raw_Data!H680="",ROUND(AVERAGEIFS(Raw_Data!$H$2:$H$839,Raw_Data!$C$2:$C$839,Raw_Data!C680),2),Raw_Data!H680)</f>
        <v>56483.14</v>
      </c>
      <c r="I680" s="11" t="n">
        <f aca="false">Raw_Data!I680</f>
        <v>1968716</v>
      </c>
      <c r="J680" s="11" t="n">
        <f aca="false">IF(Raw_Data!J680&lt;0,ABS(Raw_Data!J680),Raw_Data!J680)</f>
        <v>28597</v>
      </c>
      <c r="K680" s="11" t="n">
        <f aca="false">Raw_Data!K680</f>
        <v>1970</v>
      </c>
      <c r="L680" s="11" t="n">
        <f aca="false">IF(Raw_Data!L680="",ROUND(AVERAGEIFS(Raw_Data!$L$2:$L$839,Raw_Data!$C$2:$C$839,Raw_Data!C680),2),Raw_Data!L680)</f>
        <v>2578019.07</v>
      </c>
      <c r="M680" s="13" t="n">
        <f aca="false">IFERROR(J680/I680,0)</f>
        <v>0.0145257111741866</v>
      </c>
      <c r="N680" s="14" t="n">
        <f aca="false">IFERROR(H680/J680,0)</f>
        <v>1.97514214777774</v>
      </c>
      <c r="O680" s="14" t="n">
        <f aca="false">IFERROR(H680/K680,0)</f>
        <v>28.6716446700508</v>
      </c>
      <c r="P680" s="15" t="n">
        <f aca="false">IFERROR(L680/H680,0)</f>
        <v>45.6422760845095</v>
      </c>
      <c r="Q680" s="13" t="n">
        <f aca="false">IFERROR(K680/J680,0)</f>
        <v>0.0688883449312865</v>
      </c>
      <c r="R680" s="11" t="str">
        <f aca="false">IF(COUNTIF($A$2:A680,A680)&gt;1,"Duplicate - Remove","Unique")</f>
        <v>Unique</v>
      </c>
      <c r="S680" s="11" t="str">
        <f aca="false">TRIM(IF(Raw_Data!G680="","Region missing; ","")&amp;IF(Raw_Data!H680="","Spend imputed; ","")&amp;IF(Raw_Data!L680="","Revenue imputed; ","")&amp;IF(Raw_Data!J680&lt;0,"Clicks corrected; ",""))</f>
        <v/>
      </c>
    </row>
    <row r="681" customFormat="false" ht="15" hidden="false" customHeight="true" outlineLevel="0" collapsed="false">
      <c r="A681" s="11" t="n">
        <f aca="false">Raw_Data!A681</f>
        <v>1796</v>
      </c>
      <c r="B681" s="11" t="str">
        <f aca="false">PROPER(TRIM(Raw_Data!B681))</f>
        <v>Festive Gift Bundle</v>
      </c>
      <c r="C681" s="11" t="str">
        <f aca="false">IFERROR(INDEX(Lookup_Tables!$B$2:$B$26,MATCH(UPPER(TRIM(Raw_Data!C681)),Lookup_Tables!$C$2:$C$26,0)),"Unknown")</f>
        <v>Instagram</v>
      </c>
      <c r="D681" s="12" t="n">
        <f aca="false">IFERROR(IF(ISNUMBER(SEARCH("/",Raw_Data!D681)),DATE(VALUE(RIGHT(Raw_Data!D681,4)),VALUE(MID(Raw_Data!D681,FIND("/",Raw_Data!D681)+1,FIND("/",Raw_Data!D681,FIND("/",Raw_Data!D681)+1)-FIND("/",Raw_Data!D681)-1)),VALUE(LEFT(Raw_Data!D681,FIND("/",Raw_Data!D681)-1))),IF(ISNUMBER(VALUE(LEFT(Raw_Data!D681,4))),DATE(VALUE(LEFT(Raw_Data!D681,4)),VALUE(MID(Raw_Data!D681,6,2)),VALUE(MID(Raw_Data!D681,9,2))),DATEVALUE(Raw_Data!D681))),"")</f>
        <v>45307</v>
      </c>
      <c r="E681" s="12" t="n">
        <f aca="false">IFERROR(IF(ISNUMBER(SEARCH("/",Raw_Data!E681)),DATE(VALUE(RIGHT(Raw_Data!E681,4)),VALUE(MID(Raw_Data!E681,FIND("/",Raw_Data!E681)+1,FIND("/",Raw_Data!E681,FIND("/",Raw_Data!E681)+1)-FIND("/",Raw_Data!E681)-1)),VALUE(LEFT(Raw_Data!E681,FIND("/",Raw_Data!E681)-1))),IF(ISNUMBER(VALUE(LEFT(Raw_Data!E681,4))),DATE(VALUE(LEFT(Raw_Data!E681,4)),VALUE(MID(Raw_Data!E681,6,2)),VALUE(MID(Raw_Data!E681,9,2))),DATEVALUE(Raw_Data!E681))),"")</f>
        <v>45322</v>
      </c>
      <c r="F681" s="11" t="str">
        <f aca="false">Raw_Data!F681</f>
        <v>Male 35-44</v>
      </c>
      <c r="G681" s="11" t="str">
        <f aca="false">IF(TRIM(Raw_Data!G681)="","Unspecified",IFERROR(INDEX(Lookup_Tables!$F$2:$F$24,MATCH(UPPER(TRIM(Raw_Data!G681)),Lookup_Tables!$G$2:$G$24,0)),"Unknown"))</f>
        <v>Central</v>
      </c>
      <c r="H681" s="11" t="n">
        <f aca="false">IF(Raw_Data!H681="",ROUND(AVERAGEIFS(Raw_Data!$H$2:$H$839,Raw_Data!$C$2:$C$839,Raw_Data!C681),2),Raw_Data!H681)</f>
        <v>49218.6</v>
      </c>
      <c r="I681" s="11" t="n">
        <f aca="false">Raw_Data!I681</f>
        <v>1270333</v>
      </c>
      <c r="J681" s="11" t="n">
        <f aca="false">IF(Raw_Data!J681&lt;0,ABS(Raw_Data!J681),Raw_Data!J681)</f>
        <v>37116</v>
      </c>
      <c r="K681" s="11" t="n">
        <f aca="false">Raw_Data!K681</f>
        <v>2386</v>
      </c>
      <c r="L681" s="11" t="n">
        <f aca="false">IF(Raw_Data!L681="",ROUND(AVERAGEIFS(Raw_Data!$L$2:$L$839,Raw_Data!$C$2:$C$839,Raw_Data!C681),2),Raw_Data!L681)</f>
        <v>2227488.76</v>
      </c>
      <c r="M681" s="13" t="n">
        <f aca="false">IFERROR(J681/I681,0)</f>
        <v>0.0292175358744518</v>
      </c>
      <c r="N681" s="14" t="n">
        <f aca="false">IFERROR(H681/J681,0)</f>
        <v>1.32607500808277</v>
      </c>
      <c r="O681" s="14" t="n">
        <f aca="false">IFERROR(H681/K681,0)</f>
        <v>20.6280804694049</v>
      </c>
      <c r="P681" s="15" t="n">
        <f aca="false">IFERROR(L681/H681,0)</f>
        <v>45.2570524151439</v>
      </c>
      <c r="Q681" s="13" t="n">
        <f aca="false">IFERROR(K681/J681,0)</f>
        <v>0.0642849444983296</v>
      </c>
      <c r="R681" s="11" t="str">
        <f aca="false">IF(COUNTIF($A$2:A681,A681)&gt;1,"Duplicate - Remove","Unique")</f>
        <v>Unique</v>
      </c>
      <c r="S681" s="11" t="str">
        <f aca="false">TRIM(IF(Raw_Data!G681="","Region missing; ","")&amp;IF(Raw_Data!H681="","Spend imputed; ","")&amp;IF(Raw_Data!L681="","Revenue imputed; ","")&amp;IF(Raw_Data!J681&lt;0,"Clicks corrected; ",""))</f>
        <v/>
      </c>
    </row>
    <row r="682" customFormat="false" ht="15" hidden="false" customHeight="true" outlineLevel="0" collapsed="false">
      <c r="A682" s="11" t="n">
        <f aca="false">Raw_Data!A682</f>
        <v>1744</v>
      </c>
      <c r="B682" s="11" t="str">
        <f aca="false">PROPER(TRIM(Raw_Data!B682))</f>
        <v>Wedding Season Special</v>
      </c>
      <c r="C682" s="11" t="str">
        <f aca="false">IFERROR(INDEX(Lookup_Tables!$B$2:$B$26,MATCH(UPPER(TRIM(Raw_Data!C682)),Lookup_Tables!$C$2:$C$26,0)),"Unknown")</f>
        <v>Email</v>
      </c>
      <c r="D682" s="12" t="n">
        <f aca="false">IFERROR(IF(ISNUMBER(SEARCH("/",Raw_Data!D682)),DATE(VALUE(RIGHT(Raw_Data!D682,4)),VALUE(MID(Raw_Data!D682,FIND("/",Raw_Data!D682)+1,FIND("/",Raw_Data!D682,FIND("/",Raw_Data!D682)+1)-FIND("/",Raw_Data!D682)-1)),VALUE(LEFT(Raw_Data!D682,FIND("/",Raw_Data!D682)-1))),IF(ISNUMBER(VALUE(LEFT(Raw_Data!D682,4))),DATE(VALUE(LEFT(Raw_Data!D682,4)),VALUE(MID(Raw_Data!D682,6,2)),VALUE(MID(Raw_Data!D682,9,2))),DATEVALUE(Raw_Data!D682))),"")</f>
        <v>45569</v>
      </c>
      <c r="E682" s="12" t="n">
        <f aca="false">IFERROR(IF(ISNUMBER(SEARCH("/",Raw_Data!E682)),DATE(VALUE(RIGHT(Raw_Data!E682,4)),VALUE(MID(Raw_Data!E682,FIND("/",Raw_Data!E682)+1,FIND("/",Raw_Data!E682,FIND("/",Raw_Data!E682)+1)-FIND("/",Raw_Data!E682)-1)),VALUE(LEFT(Raw_Data!E682,FIND("/",Raw_Data!E682)-1))),IF(ISNUMBER(VALUE(LEFT(Raw_Data!E682,4))),DATE(VALUE(LEFT(Raw_Data!E682,4)),VALUE(MID(Raw_Data!E682,6,2)),VALUE(MID(Raw_Data!E682,9,2))),DATEVALUE(Raw_Data!E682))),"")</f>
        <v>45594</v>
      </c>
      <c r="F682" s="11" t="str">
        <f aca="false">Raw_Data!F682</f>
        <v>Male 18-24</v>
      </c>
      <c r="G682" s="11" t="str">
        <f aca="false">IF(TRIM(Raw_Data!G682)="","Unspecified",IFERROR(INDEX(Lookup_Tables!$F$2:$F$24,MATCH(UPPER(TRIM(Raw_Data!G682)),Lookup_Tables!$G$2:$G$24,0)),"Unknown"))</f>
        <v>South</v>
      </c>
      <c r="H682" s="11" t="n">
        <f aca="false">IF(Raw_Data!H682="",ROUND(AVERAGEIFS(Raw_Data!$H$2:$H$839,Raw_Data!$C$2:$C$839,Raw_Data!C682),2),Raw_Data!H682)</f>
        <v>7660.85</v>
      </c>
      <c r="I682" s="11" t="n">
        <f aca="false">Raw_Data!I682</f>
        <v>151494</v>
      </c>
      <c r="J682" s="11" t="n">
        <f aca="false">IF(Raw_Data!J682&lt;0,ABS(Raw_Data!J682),Raw_Data!J682)</f>
        <v>831</v>
      </c>
      <c r="K682" s="11" t="n">
        <f aca="false">Raw_Data!K682</f>
        <v>25</v>
      </c>
      <c r="L682" s="11" t="n">
        <f aca="false">IF(Raw_Data!L682="",ROUND(AVERAGEIFS(Raw_Data!$L$2:$L$839,Raw_Data!$C$2:$C$839,Raw_Data!C682),2),Raw_Data!L682)</f>
        <v>16256.92</v>
      </c>
      <c r="M682" s="13" t="n">
        <f aca="false">IFERROR(J682/I682,0)</f>
        <v>0.00548536575705969</v>
      </c>
      <c r="N682" s="14" t="n">
        <f aca="false">IFERROR(H682/J682,0)</f>
        <v>9.21883273164862</v>
      </c>
      <c r="O682" s="14" t="n">
        <f aca="false">IFERROR(H682/K682,0)</f>
        <v>306.434</v>
      </c>
      <c r="P682" s="15" t="n">
        <f aca="false">IFERROR(L682/H682,0)</f>
        <v>2.1220778373157</v>
      </c>
      <c r="Q682" s="13" t="n">
        <f aca="false">IFERROR(K682/J682,0)</f>
        <v>0.0300842358604091</v>
      </c>
      <c r="R682" s="11" t="str">
        <f aca="false">IF(COUNTIF($A$2:A682,A682)&gt;1,"Duplicate - Remove","Unique")</f>
        <v>Unique</v>
      </c>
      <c r="S682" s="11" t="str">
        <f aca="false">TRIM(IF(Raw_Data!G682="","Region missing; ","")&amp;IF(Raw_Data!H682="","Spend imputed; ","")&amp;IF(Raw_Data!L682="","Revenue imputed; ","")&amp;IF(Raw_Data!J682&lt;0,"Clicks corrected; ",""))</f>
        <v/>
      </c>
    </row>
    <row r="683" customFormat="false" ht="15" hidden="false" customHeight="true" outlineLevel="0" collapsed="false">
      <c r="A683" s="11" t="n">
        <f aca="false">Raw_Data!A683</f>
        <v>1303</v>
      </c>
      <c r="B683" s="11" t="str">
        <f aca="false">PROPER(TRIM(Raw_Data!B683))</f>
        <v>Men'S Grooming Drive</v>
      </c>
      <c r="C683" s="11" t="str">
        <f aca="false">IFERROR(INDEX(Lookup_Tables!$B$2:$B$26,MATCH(UPPER(TRIM(Raw_Data!C683)),Lookup_Tables!$C$2:$C$26,0)),"Unknown")</f>
        <v>Instagram</v>
      </c>
      <c r="D683" s="12" t="n">
        <f aca="false">IFERROR(IF(ISNUMBER(SEARCH("/",Raw_Data!D683)),DATE(VALUE(RIGHT(Raw_Data!D683,4)),VALUE(MID(Raw_Data!D683,FIND("/",Raw_Data!D683)+1,FIND("/",Raw_Data!D683,FIND("/",Raw_Data!D683)+1)-FIND("/",Raw_Data!D683)-1)),VALUE(LEFT(Raw_Data!D683,FIND("/",Raw_Data!D683)-1))),IF(ISNUMBER(VALUE(LEFT(Raw_Data!D683,4))),DATE(VALUE(LEFT(Raw_Data!D683,4)),VALUE(MID(Raw_Data!D683,6,2)),VALUE(MID(Raw_Data!D683,9,2))),DATEVALUE(Raw_Data!D683))),"")</f>
        <v>45594</v>
      </c>
      <c r="E683" s="12" t="n">
        <f aca="false">IFERROR(IF(ISNUMBER(SEARCH("/",Raw_Data!E683)),DATE(VALUE(RIGHT(Raw_Data!E683,4)),VALUE(MID(Raw_Data!E683,FIND("/",Raw_Data!E683)+1,FIND("/",Raw_Data!E683,FIND("/",Raw_Data!E683)+1)-FIND("/",Raw_Data!E683)-1)),VALUE(LEFT(Raw_Data!E683,FIND("/",Raw_Data!E683)-1))),IF(ISNUMBER(VALUE(LEFT(Raw_Data!E683,4))),DATE(VALUE(LEFT(Raw_Data!E683,4)),VALUE(MID(Raw_Data!E683,6,2)),VALUE(MID(Raw_Data!E683,9,2))),DATEVALUE(Raw_Data!E683))),"")</f>
        <v>45622</v>
      </c>
      <c r="F683" s="11" t="str">
        <f aca="false">Raw_Data!F683</f>
        <v>Female 35-44</v>
      </c>
      <c r="G683" s="11" t="str">
        <f aca="false">IF(TRIM(Raw_Data!G683)="","Unspecified",IFERROR(INDEX(Lookup_Tables!$F$2:$F$24,MATCH(UPPER(TRIM(Raw_Data!G683)),Lookup_Tables!$G$2:$G$24,0)),"Unknown"))</f>
        <v>East</v>
      </c>
      <c r="H683" s="11" t="n">
        <f aca="false">IF(Raw_Data!H683="",ROUND(AVERAGEIFS(Raw_Data!$H$2:$H$839,Raw_Data!$C$2:$C$839,Raw_Data!C683),2),Raw_Data!H683)</f>
        <v>42276.09</v>
      </c>
      <c r="I683" s="11" t="n">
        <f aca="false">Raw_Data!I683</f>
        <v>1024948</v>
      </c>
      <c r="J683" s="11" t="n">
        <f aca="false">IF(Raw_Data!J683&lt;0,ABS(Raw_Data!J683),Raw_Data!J683)</f>
        <v>10517</v>
      </c>
      <c r="K683" s="11" t="n">
        <f aca="false">Raw_Data!K683</f>
        <v>681</v>
      </c>
      <c r="L683" s="11" t="n">
        <f aca="false">IF(Raw_Data!L683="",ROUND(AVERAGEIFS(Raw_Data!$L$2:$L$839,Raw_Data!$C$2:$C$839,Raw_Data!C683),2),Raw_Data!L683)</f>
        <v>471581.62</v>
      </c>
      <c r="M683" s="13" t="n">
        <f aca="false">IFERROR(J683/I683,0)</f>
        <v>0.0102610083633511</v>
      </c>
      <c r="N683" s="14" t="n">
        <f aca="false">IFERROR(H683/J683,0)</f>
        <v>4.01978606066369</v>
      </c>
      <c r="O683" s="14" t="n">
        <f aca="false">IFERROR(H683/K683,0)</f>
        <v>62.0794273127753</v>
      </c>
      <c r="P683" s="15" t="n">
        <f aca="false">IFERROR(L683/H683,0)</f>
        <v>11.1548068896627</v>
      </c>
      <c r="Q683" s="13" t="n">
        <f aca="false">IFERROR(K683/J683,0)</f>
        <v>0.0647523057906247</v>
      </c>
      <c r="R683" s="11" t="str">
        <f aca="false">IF(COUNTIF($A$2:A683,A683)&gt;1,"Duplicate - Remove","Unique")</f>
        <v>Unique</v>
      </c>
      <c r="S683" s="11" t="str">
        <f aca="false">TRIM(IF(Raw_Data!G683="","Region missing; ","")&amp;IF(Raw_Data!H683="","Spend imputed; ","")&amp;IF(Raw_Data!L683="","Revenue imputed; ","")&amp;IF(Raw_Data!J683&lt;0,"Clicks corrected; ",""))</f>
        <v/>
      </c>
    </row>
    <row r="684" customFormat="false" ht="15" hidden="false" customHeight="true" outlineLevel="0" collapsed="false">
      <c r="A684" s="11" t="n">
        <f aca="false">Raw_Data!A684</f>
        <v>1634</v>
      </c>
      <c r="B684" s="11" t="str">
        <f aca="false">PROPER(TRIM(Raw_Data!B684))</f>
        <v>Sunscreen Season Campaign</v>
      </c>
      <c r="C684" s="11" t="str">
        <f aca="false">IFERROR(INDEX(Lookup_Tables!$B$2:$B$26,MATCH(UPPER(TRIM(Raw_Data!C684)),Lookup_Tables!$C$2:$C$26,0)),"Unknown")</f>
        <v>Facebook</v>
      </c>
      <c r="D684" s="12" t="n">
        <f aca="false">IFERROR(IF(ISNUMBER(SEARCH("/",Raw_Data!D684)),DATE(VALUE(RIGHT(Raw_Data!D684,4)),VALUE(MID(Raw_Data!D684,FIND("/",Raw_Data!D684)+1,FIND("/",Raw_Data!D684,FIND("/",Raw_Data!D684)+1)-FIND("/",Raw_Data!D684)-1)),VALUE(LEFT(Raw_Data!D684,FIND("/",Raw_Data!D684)-1))),IF(ISNUMBER(VALUE(LEFT(Raw_Data!D684,4))),DATE(VALUE(LEFT(Raw_Data!D684,4)),VALUE(MID(Raw_Data!D684,6,2)),VALUE(MID(Raw_Data!D684,9,2))),DATEVALUE(Raw_Data!D684))),"")</f>
        <v>45417</v>
      </c>
      <c r="E684" s="12" t="n">
        <f aca="false">IFERROR(IF(ISNUMBER(SEARCH("/",Raw_Data!E684)),DATE(VALUE(RIGHT(Raw_Data!E684,4)),VALUE(MID(Raw_Data!E684,FIND("/",Raw_Data!E684)+1,FIND("/",Raw_Data!E684,FIND("/",Raw_Data!E684)+1)-FIND("/",Raw_Data!E684)-1)),VALUE(LEFT(Raw_Data!E684,FIND("/",Raw_Data!E684)-1))),IF(ISNUMBER(VALUE(LEFT(Raw_Data!E684,4))),DATE(VALUE(LEFT(Raw_Data!E684,4)),VALUE(MID(Raw_Data!E684,6,2)),VALUE(MID(Raw_Data!E684,9,2))),DATEVALUE(Raw_Data!E684))),"")</f>
        <v>45436</v>
      </c>
      <c r="F684" s="11" t="str">
        <f aca="false">Raw_Data!F684</f>
        <v>Female 35-44</v>
      </c>
      <c r="G684" s="11" t="str">
        <f aca="false">IF(TRIM(Raw_Data!G684)="","Unspecified",IFERROR(INDEX(Lookup_Tables!$F$2:$F$24,MATCH(UPPER(TRIM(Raw_Data!G684)),Lookup_Tables!$G$2:$G$24,0)),"Unknown"))</f>
        <v>Central</v>
      </c>
      <c r="H684" s="11" t="n">
        <f aca="false">IF(Raw_Data!H684="",ROUND(AVERAGEIFS(Raw_Data!$H$2:$H$839,Raw_Data!$C$2:$C$839,Raw_Data!C684),2),Raw_Data!H684)</f>
        <v>48348.86</v>
      </c>
      <c r="I684" s="11" t="n">
        <f aca="false">Raw_Data!I684</f>
        <v>733552</v>
      </c>
      <c r="J684" s="11" t="n">
        <f aca="false">IF(Raw_Data!J684&lt;0,ABS(Raw_Data!J684),Raw_Data!J684)</f>
        <v>4379</v>
      </c>
      <c r="K684" s="11" t="n">
        <f aca="false">Raw_Data!K684</f>
        <v>251</v>
      </c>
      <c r="L684" s="11" t="n">
        <f aca="false">IF(Raw_Data!L684="",ROUND(AVERAGEIFS(Raw_Data!$L$2:$L$839,Raw_Data!$C$2:$C$839,Raw_Data!C684),2),Raw_Data!L684)</f>
        <v>403417.47</v>
      </c>
      <c r="M684" s="13" t="n">
        <f aca="false">IFERROR(J684/I684,0)</f>
        <v>0.00596958361506751</v>
      </c>
      <c r="N684" s="14" t="n">
        <f aca="false">IFERROR(H684/J684,0)</f>
        <v>11.0410733044074</v>
      </c>
      <c r="O684" s="14" t="n">
        <f aca="false">IFERROR(H684/K684,0)</f>
        <v>192.624940239044</v>
      </c>
      <c r="P684" s="15" t="n">
        <f aca="false">IFERROR(L684/H684,0)</f>
        <v>8.34388794275604</v>
      </c>
      <c r="Q684" s="13" t="n">
        <f aca="false">IFERROR(K684/J684,0)</f>
        <v>0.0573190226079013</v>
      </c>
      <c r="R684" s="11" t="str">
        <f aca="false">IF(COUNTIF($A$2:A684,A684)&gt;1,"Duplicate - Remove","Unique")</f>
        <v>Unique</v>
      </c>
      <c r="S684" s="11" t="str">
        <f aca="false">TRIM(IF(Raw_Data!G684="","Region missing; ","")&amp;IF(Raw_Data!H684="","Spend imputed; ","")&amp;IF(Raw_Data!L684="","Revenue imputed; ","")&amp;IF(Raw_Data!J684&lt;0,"Clicks corrected; ",""))</f>
        <v/>
      </c>
    </row>
    <row r="685" customFormat="false" ht="15" hidden="false" customHeight="true" outlineLevel="0" collapsed="false">
      <c r="A685" s="11" t="n">
        <f aca="false">Raw_Data!A685</f>
        <v>1690</v>
      </c>
      <c r="B685" s="11" t="str">
        <f aca="false">PROPER(TRIM(Raw_Data!B685))</f>
        <v>Influencer Collab - Skincare</v>
      </c>
      <c r="C685" s="11" t="str">
        <f aca="false">IFERROR(INDEX(Lookup_Tables!$B$2:$B$26,MATCH(UPPER(TRIM(Raw_Data!C685)),Lookup_Tables!$C$2:$C$26,0)),"Unknown")</f>
        <v>YouTube</v>
      </c>
      <c r="D685" s="12" t="n">
        <f aca="false">IFERROR(IF(ISNUMBER(SEARCH("/",Raw_Data!D685)),DATE(VALUE(RIGHT(Raw_Data!D685,4)),VALUE(MID(Raw_Data!D685,FIND("/",Raw_Data!D685)+1,FIND("/",Raw_Data!D685,FIND("/",Raw_Data!D685)+1)-FIND("/",Raw_Data!D685)-1)),VALUE(LEFT(Raw_Data!D685,FIND("/",Raw_Data!D685)-1))),IF(ISNUMBER(VALUE(LEFT(Raw_Data!D685,4))),DATE(VALUE(LEFT(Raw_Data!D685,4)),VALUE(MID(Raw_Data!D685,6,2)),VALUE(MID(Raw_Data!D685,9,2))),DATEVALUE(Raw_Data!D685))),"")</f>
        <v>45364</v>
      </c>
      <c r="E685" s="12" t="n">
        <f aca="false">IFERROR(IF(ISNUMBER(SEARCH("/",Raw_Data!E685)),DATE(VALUE(RIGHT(Raw_Data!E685,4)),VALUE(MID(Raw_Data!E685,FIND("/",Raw_Data!E685)+1,FIND("/",Raw_Data!E685,FIND("/",Raw_Data!E685)+1)-FIND("/",Raw_Data!E685)-1)),VALUE(LEFT(Raw_Data!E685,FIND("/",Raw_Data!E685)-1))),IF(ISNUMBER(VALUE(LEFT(Raw_Data!E685,4))),DATE(VALUE(LEFT(Raw_Data!E685,4)),VALUE(MID(Raw_Data!E685,6,2)),VALUE(MID(Raw_Data!E685,9,2))),DATEVALUE(Raw_Data!E685))),"")</f>
        <v>45376</v>
      </c>
      <c r="F685" s="11" t="str">
        <f aca="false">Raw_Data!F685</f>
        <v>Male 35-44</v>
      </c>
      <c r="G685" s="11" t="str">
        <f aca="false">IF(TRIM(Raw_Data!G685)="","Unspecified",IFERROR(INDEX(Lookup_Tables!$F$2:$F$24,MATCH(UPPER(TRIM(Raw_Data!G685)),Lookup_Tables!$G$2:$G$24,0)),"Unknown"))</f>
        <v>Central</v>
      </c>
      <c r="H685" s="11" t="n">
        <f aca="false">IF(Raw_Data!H685="",ROUND(AVERAGEIFS(Raw_Data!$H$2:$H$839,Raw_Data!$C$2:$C$839,Raw_Data!C685),2),Raw_Data!H685)</f>
        <v>29125.51</v>
      </c>
      <c r="I685" s="11" t="n">
        <f aca="false">Raw_Data!I685</f>
        <v>731257</v>
      </c>
      <c r="J685" s="11" t="n">
        <f aca="false">IF(Raw_Data!J685&lt;0,ABS(Raw_Data!J685),Raw_Data!J685)</f>
        <v>11517</v>
      </c>
      <c r="K685" s="11" t="n">
        <f aca="false">Raw_Data!K685</f>
        <v>854</v>
      </c>
      <c r="L685" s="11" t="n">
        <f aca="false">IF(Raw_Data!L685="",ROUND(AVERAGEIFS(Raw_Data!$L$2:$L$839,Raw_Data!$C$2:$C$839,Raw_Data!C685),2),Raw_Data!L685)</f>
        <v>1439528.65</v>
      </c>
      <c r="M685" s="13" t="n">
        <f aca="false">IFERROR(J685/I685,0)</f>
        <v>0.0157495928244106</v>
      </c>
      <c r="N685" s="14" t="n">
        <f aca="false">IFERROR(H685/J685,0)</f>
        <v>2.52891464791178</v>
      </c>
      <c r="O685" s="14" t="n">
        <f aca="false">IFERROR(H685/K685,0)</f>
        <v>34.10481264637</v>
      </c>
      <c r="P685" s="15" t="n">
        <f aca="false">IFERROR(L685/H685,0)</f>
        <v>49.4250109268473</v>
      </c>
      <c r="Q685" s="13" t="n">
        <f aca="false">IFERROR(K685/J685,0)</f>
        <v>0.074151254667014</v>
      </c>
      <c r="R685" s="11" t="str">
        <f aca="false">IF(COUNTIF($A$2:A685,A685)&gt;1,"Duplicate - Remove","Unique")</f>
        <v>Unique</v>
      </c>
      <c r="S685" s="11" t="str">
        <f aca="false">TRIM(IF(Raw_Data!G685="","Region missing; ","")&amp;IF(Raw_Data!H685="","Spend imputed; ","")&amp;IF(Raw_Data!L685="","Revenue imputed; ","")&amp;IF(Raw_Data!J685&lt;0,"Clicks corrected; ",""))</f>
        <v/>
      </c>
    </row>
    <row r="686" customFormat="false" ht="15" hidden="false" customHeight="true" outlineLevel="0" collapsed="false">
      <c r="A686" s="11" t="n">
        <f aca="false">Raw_Data!A686</f>
        <v>1145</v>
      </c>
      <c r="B686" s="11" t="str">
        <f aca="false">PROPER(TRIM(Raw_Data!B686))</f>
        <v>Anti-Ageing Serum Push</v>
      </c>
      <c r="C686" s="11" t="str">
        <f aca="false">IFERROR(INDEX(Lookup_Tables!$B$2:$B$26,MATCH(UPPER(TRIM(Raw_Data!C686)),Lookup_Tables!$C$2:$C$26,0)),"Unknown")</f>
        <v>Google Ads</v>
      </c>
      <c r="D686" s="12" t="n">
        <f aca="false">IFERROR(IF(ISNUMBER(SEARCH("/",Raw_Data!D686)),DATE(VALUE(RIGHT(Raw_Data!D686,4)),VALUE(MID(Raw_Data!D686,FIND("/",Raw_Data!D686)+1,FIND("/",Raw_Data!D686,FIND("/",Raw_Data!D686)+1)-FIND("/",Raw_Data!D686)-1)),VALUE(LEFT(Raw_Data!D686,FIND("/",Raw_Data!D686)-1))),IF(ISNUMBER(VALUE(LEFT(Raw_Data!D686,4))),DATE(VALUE(LEFT(Raw_Data!D686,4)),VALUE(MID(Raw_Data!D686,6,2)),VALUE(MID(Raw_Data!D686,9,2))),DATEVALUE(Raw_Data!D686))),"")</f>
        <v>45595</v>
      </c>
      <c r="E686" s="12" t="n">
        <f aca="false">IFERROR(IF(ISNUMBER(SEARCH("/",Raw_Data!E686)),DATE(VALUE(RIGHT(Raw_Data!E686,4)),VALUE(MID(Raw_Data!E686,FIND("/",Raw_Data!E686)+1,FIND("/",Raw_Data!E686,FIND("/",Raw_Data!E686)+1)-FIND("/",Raw_Data!E686)-1)),VALUE(LEFT(Raw_Data!E686,FIND("/",Raw_Data!E686)-1))),IF(ISNUMBER(VALUE(LEFT(Raw_Data!E686,4))),DATE(VALUE(LEFT(Raw_Data!E686,4)),VALUE(MID(Raw_Data!E686,6,2)),VALUE(MID(Raw_Data!E686,9,2))),DATEVALUE(Raw_Data!E686))),"")</f>
        <v>45607</v>
      </c>
      <c r="F686" s="11" t="str">
        <f aca="false">Raw_Data!F686</f>
        <v>Female 35-44</v>
      </c>
      <c r="G686" s="11" t="str">
        <f aca="false">IF(TRIM(Raw_Data!G686)="","Unspecified",IFERROR(INDEX(Lookup_Tables!$F$2:$F$24,MATCH(UPPER(TRIM(Raw_Data!G686)),Lookup_Tables!$G$2:$G$24,0)),"Unknown"))</f>
        <v>North</v>
      </c>
      <c r="H686" s="11" t="n">
        <f aca="false">IF(Raw_Data!H686="",ROUND(AVERAGEIFS(Raw_Data!$H$2:$H$839,Raw_Data!$C$2:$C$839,Raw_Data!C686),2),Raw_Data!H686)</f>
        <v>57598.79</v>
      </c>
      <c r="I686" s="11" t="n">
        <f aca="false">Raw_Data!I686</f>
        <v>877354</v>
      </c>
      <c r="J686" s="11" t="n">
        <f aca="false">IF(Raw_Data!J686&lt;0,ABS(Raw_Data!J686),Raw_Data!J686)</f>
        <v>22695</v>
      </c>
      <c r="K686" s="11" t="n">
        <f aca="false">Raw_Data!K686</f>
        <v>1525</v>
      </c>
      <c r="L686" s="11" t="n">
        <f aca="false">IF(Raw_Data!L686="",ROUND(AVERAGEIFS(Raw_Data!$L$2:$L$839,Raw_Data!$C$2:$C$839,Raw_Data!C686),2),Raw_Data!L686)</f>
        <v>2718807.54</v>
      </c>
      <c r="M686" s="13" t="n">
        <f aca="false">IFERROR(J686/I686,0)</f>
        <v>0.0258675517522004</v>
      </c>
      <c r="N686" s="14" t="n">
        <f aca="false">IFERROR(H686/J686,0)</f>
        <v>2.53795064992289</v>
      </c>
      <c r="O686" s="14" t="n">
        <f aca="false">IFERROR(H686/K686,0)</f>
        <v>37.7696983606557</v>
      </c>
      <c r="P686" s="15" t="n">
        <f aca="false">IFERROR(L686/H686,0)</f>
        <v>47.2025113722007</v>
      </c>
      <c r="Q686" s="13" t="n">
        <f aca="false">IFERROR(K686/J686,0)</f>
        <v>0.0671954174928398</v>
      </c>
      <c r="R686" s="11" t="str">
        <f aca="false">IF(COUNTIF($A$2:A686,A686)&gt;1,"Duplicate - Remove","Unique")</f>
        <v>Unique</v>
      </c>
      <c r="S686" s="11" t="str">
        <f aca="false">TRIM(IF(Raw_Data!G686="","Region missing; ","")&amp;IF(Raw_Data!H686="","Spend imputed; ","")&amp;IF(Raw_Data!L686="","Revenue imputed; ","")&amp;IF(Raw_Data!J686&lt;0,"Clicks corrected; ",""))</f>
        <v/>
      </c>
    </row>
    <row r="687" customFormat="false" ht="15" hidden="false" customHeight="true" outlineLevel="0" collapsed="false">
      <c r="A687" s="11" t="n">
        <f aca="false">Raw_Data!A687</f>
        <v>1068</v>
      </c>
      <c r="B687" s="11" t="str">
        <f aca="false">PROPER(TRIM(Raw_Data!B687))</f>
        <v>Summer Glow Launch</v>
      </c>
      <c r="C687" s="11" t="str">
        <f aca="false">IFERROR(INDEX(Lookup_Tables!$B$2:$B$26,MATCH(UPPER(TRIM(Raw_Data!C687)),Lookup_Tables!$C$2:$C$26,0)),"Unknown")</f>
        <v>Instagram</v>
      </c>
      <c r="D687" s="12" t="n">
        <f aca="false">IFERROR(IF(ISNUMBER(SEARCH("/",Raw_Data!D687)),DATE(VALUE(RIGHT(Raw_Data!D687,4)),VALUE(MID(Raw_Data!D687,FIND("/",Raw_Data!D687)+1,FIND("/",Raw_Data!D687,FIND("/",Raw_Data!D687)+1)-FIND("/",Raw_Data!D687)-1)),VALUE(LEFT(Raw_Data!D687,FIND("/",Raw_Data!D687)-1))),IF(ISNUMBER(VALUE(LEFT(Raw_Data!D687,4))),DATE(VALUE(LEFT(Raw_Data!D687,4)),VALUE(MID(Raw_Data!D687,6,2)),VALUE(MID(Raw_Data!D687,9,2))),DATEVALUE(Raw_Data!D687))),"")</f>
        <v>45337</v>
      </c>
      <c r="E687" s="12" t="n">
        <f aca="false">IFERROR(IF(ISNUMBER(SEARCH("/",Raw_Data!E687)),DATE(VALUE(RIGHT(Raw_Data!E687,4)),VALUE(MID(Raw_Data!E687,FIND("/",Raw_Data!E687)+1,FIND("/",Raw_Data!E687,FIND("/",Raw_Data!E687)+1)-FIND("/",Raw_Data!E687)-1)),VALUE(LEFT(Raw_Data!E687,FIND("/",Raw_Data!E687)-1))),IF(ISNUMBER(VALUE(LEFT(Raw_Data!E687,4))),DATE(VALUE(LEFT(Raw_Data!E687,4)),VALUE(MID(Raw_Data!E687,6,2)),VALUE(MID(Raw_Data!E687,9,2))),DATEVALUE(Raw_Data!E687))),"")</f>
        <v>45355</v>
      </c>
      <c r="F687" s="11" t="str">
        <f aca="false">Raw_Data!F687</f>
        <v>Male 35-44</v>
      </c>
      <c r="G687" s="11" t="str">
        <f aca="false">IF(TRIM(Raw_Data!G687)="","Unspecified",IFERROR(INDEX(Lookup_Tables!$F$2:$F$24,MATCH(UPPER(TRIM(Raw_Data!G687)),Lookup_Tables!$G$2:$G$24,0)),"Unknown"))</f>
        <v>Central</v>
      </c>
      <c r="H687" s="11" t="n">
        <f aca="false">IF(Raw_Data!H687="",ROUND(AVERAGEIFS(Raw_Data!$H$2:$H$839,Raw_Data!$C$2:$C$839,Raw_Data!C687),2),Raw_Data!H687)</f>
        <v>20652.46</v>
      </c>
      <c r="I687" s="11" t="n">
        <f aca="false">Raw_Data!I687</f>
        <v>613827</v>
      </c>
      <c r="J687" s="11" t="n">
        <f aca="false">IF(Raw_Data!J687&lt;0,ABS(Raw_Data!J687),Raw_Data!J687)</f>
        <v>12717</v>
      </c>
      <c r="K687" s="11" t="n">
        <f aca="false">Raw_Data!K687</f>
        <v>479</v>
      </c>
      <c r="L687" s="11" t="n">
        <f aca="false">IF(Raw_Data!L687="",ROUND(AVERAGEIFS(Raw_Data!$L$2:$L$839,Raw_Data!$C$2:$C$839,Raw_Data!C687),2),Raw_Data!L687)</f>
        <v>383151.2</v>
      </c>
      <c r="M687" s="13" t="n">
        <f aca="false">IFERROR(J687/I687,0)</f>
        <v>0.0207175637435303</v>
      </c>
      <c r="N687" s="14" t="n">
        <f aca="false">IFERROR(H687/J687,0)</f>
        <v>1.6240040890147</v>
      </c>
      <c r="O687" s="14" t="n">
        <f aca="false">IFERROR(H687/K687,0)</f>
        <v>43.1157828810021</v>
      </c>
      <c r="P687" s="15" t="n">
        <f aca="false">IFERROR(L687/H687,0)</f>
        <v>18.5523274224959</v>
      </c>
      <c r="Q687" s="13" t="n">
        <f aca="false">IFERROR(K687/J687,0)</f>
        <v>0.0376661162223795</v>
      </c>
      <c r="R687" s="11" t="str">
        <f aca="false">IF(COUNTIF($A$2:A687,A687)&gt;1,"Duplicate - Remove","Unique")</f>
        <v>Unique</v>
      </c>
      <c r="S687" s="11" t="str">
        <f aca="false">TRIM(IF(Raw_Data!G687="","Region missing; ","")&amp;IF(Raw_Data!H687="","Spend imputed; ","")&amp;IF(Raw_Data!L687="","Revenue imputed; ","")&amp;IF(Raw_Data!J687&lt;0,"Clicks corrected; ",""))</f>
        <v/>
      </c>
    </row>
    <row r="688" customFormat="false" ht="15" hidden="false" customHeight="true" outlineLevel="0" collapsed="false">
      <c r="A688" s="11" t="n">
        <f aca="false">Raw_Data!A688</f>
        <v>1159</v>
      </c>
      <c r="B688" s="11" t="str">
        <f aca="false">PROPER(TRIM(Raw_Data!B688))</f>
        <v>Hair Care Revamp</v>
      </c>
      <c r="C688" s="11" t="str">
        <f aca="false">IFERROR(INDEX(Lookup_Tables!$B$2:$B$26,MATCH(UPPER(TRIM(Raw_Data!C688)),Lookup_Tables!$C$2:$C$26,0)),"Unknown")</f>
        <v>Google Ads</v>
      </c>
      <c r="D688" s="12" t="n">
        <f aca="false">IFERROR(IF(ISNUMBER(SEARCH("/",Raw_Data!D688)),DATE(VALUE(RIGHT(Raw_Data!D688,4)),VALUE(MID(Raw_Data!D688,FIND("/",Raw_Data!D688)+1,FIND("/",Raw_Data!D688,FIND("/",Raw_Data!D688)+1)-FIND("/",Raw_Data!D688)-1)),VALUE(LEFT(Raw_Data!D688,FIND("/",Raw_Data!D688)-1))),IF(ISNUMBER(VALUE(LEFT(Raw_Data!D688,4))),DATE(VALUE(LEFT(Raw_Data!D688,4)),VALUE(MID(Raw_Data!D688,6,2)),VALUE(MID(Raw_Data!D688,9,2))),DATEVALUE(Raw_Data!D688))),"")</f>
        <v>45576</v>
      </c>
      <c r="E688" s="12" t="n">
        <f aca="false">IFERROR(IF(ISNUMBER(SEARCH("/",Raw_Data!E688)),DATE(VALUE(RIGHT(Raw_Data!E688,4)),VALUE(MID(Raw_Data!E688,FIND("/",Raw_Data!E688)+1,FIND("/",Raw_Data!E688,FIND("/",Raw_Data!E688)+1)-FIND("/",Raw_Data!E688)-1)),VALUE(LEFT(Raw_Data!E688,FIND("/",Raw_Data!E688)-1))),IF(ISNUMBER(VALUE(LEFT(Raw_Data!E688,4))),DATE(VALUE(LEFT(Raw_Data!E688,4)),VALUE(MID(Raw_Data!E688,6,2)),VALUE(MID(Raw_Data!E688,9,2))),DATEVALUE(Raw_Data!E688))),"")</f>
        <v>45604</v>
      </c>
      <c r="F688" s="11" t="str">
        <f aca="false">Raw_Data!F688</f>
        <v>Male 45+</v>
      </c>
      <c r="G688" s="11" t="str">
        <f aca="false">IF(TRIM(Raw_Data!G688)="","Unspecified",IFERROR(INDEX(Lookup_Tables!$F$2:$F$24,MATCH(UPPER(TRIM(Raw_Data!G688)),Lookup_Tables!$G$2:$G$24,0)),"Unknown"))</f>
        <v>South</v>
      </c>
      <c r="H688" s="11" t="n">
        <f aca="false">IF(Raw_Data!H688="",ROUND(AVERAGEIFS(Raw_Data!$H$2:$H$839,Raw_Data!$C$2:$C$839,Raw_Data!C688),2),Raw_Data!H688)</f>
        <v>27489.68</v>
      </c>
      <c r="I688" s="11" t="n">
        <f aca="false">Raw_Data!I688</f>
        <v>729880</v>
      </c>
      <c r="J688" s="11" t="n">
        <f aca="false">IF(Raw_Data!J688&lt;0,ABS(Raw_Data!J688),Raw_Data!J688)</f>
        <v>21251</v>
      </c>
      <c r="K688" s="11" t="n">
        <f aca="false">Raw_Data!K688</f>
        <v>420</v>
      </c>
      <c r="L688" s="11" t="n">
        <f aca="false">IF(Raw_Data!L688="",ROUND(AVERAGEIFS(Raw_Data!$L$2:$L$839,Raw_Data!$C$2:$C$839,Raw_Data!C688),2),Raw_Data!L688)</f>
        <v>154281.77</v>
      </c>
      <c r="M688" s="13" t="n">
        <f aca="false">IFERROR(J688/I688,0)</f>
        <v>0.0291157450539815</v>
      </c>
      <c r="N688" s="14" t="n">
        <f aca="false">IFERROR(H688/J688,0)</f>
        <v>1.29357112606466</v>
      </c>
      <c r="O688" s="14" t="n">
        <f aca="false">IFERROR(H688/K688,0)</f>
        <v>65.4516190476191</v>
      </c>
      <c r="P688" s="15" t="n">
        <f aca="false">IFERROR(L688/H688,0)</f>
        <v>5.61235234458895</v>
      </c>
      <c r="Q688" s="13" t="n">
        <f aca="false">IFERROR(K688/J688,0)</f>
        <v>0.0197637758223142</v>
      </c>
      <c r="R688" s="11" t="str">
        <f aca="false">IF(COUNTIF($A$2:A688,A688)&gt;1,"Duplicate - Remove","Unique")</f>
        <v>Unique</v>
      </c>
      <c r="S688" s="11" t="str">
        <f aca="false">TRIM(IF(Raw_Data!G688="","Region missing; ","")&amp;IF(Raw_Data!H688="","Spend imputed; ","")&amp;IF(Raw_Data!L688="","Revenue imputed; ","")&amp;IF(Raw_Data!J688&lt;0,"Clicks corrected; ",""))</f>
        <v/>
      </c>
    </row>
    <row r="689" customFormat="false" ht="15" hidden="false" customHeight="true" outlineLevel="0" collapsed="false">
      <c r="A689" s="11" t="n">
        <f aca="false">Raw_Data!A689</f>
        <v>1249</v>
      </c>
      <c r="B689" s="11" t="str">
        <f aca="false">PROPER(TRIM(Raw_Data!B689))</f>
        <v>Monsoon Skincare Push</v>
      </c>
      <c r="C689" s="11" t="str">
        <f aca="false">IFERROR(INDEX(Lookup_Tables!$B$2:$B$26,MATCH(UPPER(TRIM(Raw_Data!C689)),Lookup_Tables!$C$2:$C$26,0)),"Unknown")</f>
        <v>Instagram</v>
      </c>
      <c r="D689" s="12" t="n">
        <f aca="false">IFERROR(IF(ISNUMBER(SEARCH("/",Raw_Data!D689)),DATE(VALUE(RIGHT(Raw_Data!D689,4)),VALUE(MID(Raw_Data!D689,FIND("/",Raw_Data!D689)+1,FIND("/",Raw_Data!D689,FIND("/",Raw_Data!D689)+1)-FIND("/",Raw_Data!D689)-1)),VALUE(LEFT(Raw_Data!D689,FIND("/",Raw_Data!D689)-1))),IF(ISNUMBER(VALUE(LEFT(Raw_Data!D689,4))),DATE(VALUE(LEFT(Raw_Data!D689,4)),VALUE(MID(Raw_Data!D689,6,2)),VALUE(MID(Raw_Data!D689,9,2))),DATEVALUE(Raw_Data!D689))),"")</f>
        <v>45299</v>
      </c>
      <c r="E689" s="12" t="n">
        <f aca="false">IFERROR(IF(ISNUMBER(SEARCH("/",Raw_Data!E689)),DATE(VALUE(RIGHT(Raw_Data!E689,4)),VALUE(MID(Raw_Data!E689,FIND("/",Raw_Data!E689)+1,FIND("/",Raw_Data!E689,FIND("/",Raw_Data!E689)+1)-FIND("/",Raw_Data!E689)-1)),VALUE(LEFT(Raw_Data!E689,FIND("/",Raw_Data!E689)-1))),IF(ISNUMBER(VALUE(LEFT(Raw_Data!E689,4))),DATE(VALUE(LEFT(Raw_Data!E689,4)),VALUE(MID(Raw_Data!E689,6,2)),VALUE(MID(Raw_Data!E689,9,2))),DATEVALUE(Raw_Data!E689))),"")</f>
        <v>45319</v>
      </c>
      <c r="F689" s="11" t="str">
        <f aca="false">Raw_Data!F689</f>
        <v>Female 35-44</v>
      </c>
      <c r="G689" s="11" t="str">
        <f aca="false">IF(TRIM(Raw_Data!G689)="","Unspecified",IFERROR(INDEX(Lookup_Tables!$F$2:$F$24,MATCH(UPPER(TRIM(Raw_Data!G689)),Lookup_Tables!$G$2:$G$24,0)),"Unknown"))</f>
        <v>West</v>
      </c>
      <c r="H689" s="11" t="n">
        <f aca="false">IF(Raw_Data!H689="",ROUND(AVERAGEIFS(Raw_Data!$H$2:$H$839,Raw_Data!$C$2:$C$839,Raw_Data!C689),2),Raw_Data!H689)</f>
        <v>25779.47</v>
      </c>
      <c r="I689" s="11" t="n">
        <f aca="false">Raw_Data!I689</f>
        <v>587499</v>
      </c>
      <c r="J689" s="11" t="n">
        <f aca="false">IF(Raw_Data!J689&lt;0,ABS(Raw_Data!J689),Raw_Data!J689)</f>
        <v>17027</v>
      </c>
      <c r="K689" s="11" t="n">
        <f aca="false">Raw_Data!K689</f>
        <v>1359</v>
      </c>
      <c r="L689" s="11" t="n">
        <f aca="false">IF(Raw_Data!L689="",ROUND(AVERAGEIFS(Raw_Data!$L$2:$L$839,Raw_Data!$C$2:$C$839,Raw_Data!C689),2),Raw_Data!L689)</f>
        <v>1389363.43</v>
      </c>
      <c r="M689" s="13" t="n">
        <f aca="false">IFERROR(J689/I689,0)</f>
        <v>0.0289821769909396</v>
      </c>
      <c r="N689" s="14" t="n">
        <f aca="false">IFERROR(H689/J689,0)</f>
        <v>1.51403476830916</v>
      </c>
      <c r="O689" s="14" t="n">
        <f aca="false">IFERROR(H689/K689,0)</f>
        <v>18.9694407652686</v>
      </c>
      <c r="P689" s="15" t="n">
        <f aca="false">IFERROR(L689/H689,0)</f>
        <v>53.894181300081</v>
      </c>
      <c r="Q689" s="13" t="n">
        <f aca="false">IFERROR(K689/J689,0)</f>
        <v>0.0798144124038292</v>
      </c>
      <c r="R689" s="11" t="str">
        <f aca="false">IF(COUNTIF($A$2:A689,A689)&gt;1,"Duplicate - Remove","Unique")</f>
        <v>Unique</v>
      </c>
      <c r="S689" s="11" t="str">
        <f aca="false">TRIM(IF(Raw_Data!G689="","Region missing; ","")&amp;IF(Raw_Data!H689="","Spend imputed; ","")&amp;IF(Raw_Data!L689="","Revenue imputed; ","")&amp;IF(Raw_Data!J689&lt;0,"Clicks corrected; ",""))</f>
        <v/>
      </c>
    </row>
    <row r="690" customFormat="false" ht="15" hidden="false" customHeight="true" outlineLevel="0" collapsed="false">
      <c r="A690" s="11" t="n">
        <f aca="false">Raw_Data!A690</f>
        <v>1716</v>
      </c>
      <c r="B690" s="11" t="str">
        <f aca="false">PROPER(TRIM(Raw_Data!B690))</f>
        <v>New Year Wellness</v>
      </c>
      <c r="C690" s="11" t="str">
        <f aca="false">IFERROR(INDEX(Lookup_Tables!$B$2:$B$26,MATCH(UPPER(TRIM(Raw_Data!C690)),Lookup_Tables!$C$2:$C$26,0)),"Unknown")</f>
        <v>YouTube</v>
      </c>
      <c r="D690" s="12" t="n">
        <f aca="false">IFERROR(IF(ISNUMBER(SEARCH("/",Raw_Data!D690)),DATE(VALUE(RIGHT(Raw_Data!D690,4)),VALUE(MID(Raw_Data!D690,FIND("/",Raw_Data!D690)+1,FIND("/",Raw_Data!D690,FIND("/",Raw_Data!D690)+1)-FIND("/",Raw_Data!D690)-1)),VALUE(LEFT(Raw_Data!D690,FIND("/",Raw_Data!D690)-1))),IF(ISNUMBER(VALUE(LEFT(Raw_Data!D690,4))),DATE(VALUE(LEFT(Raw_Data!D690,4)),VALUE(MID(Raw_Data!D690,6,2)),VALUE(MID(Raw_Data!D690,9,2))),DATEVALUE(Raw_Data!D690))),"")</f>
        <v>45408</v>
      </c>
      <c r="E690" s="12" t="n">
        <f aca="false">IFERROR(IF(ISNUMBER(SEARCH("/",Raw_Data!E690)),DATE(VALUE(RIGHT(Raw_Data!E690,4)),VALUE(MID(Raw_Data!E690,FIND("/",Raw_Data!E690)+1,FIND("/",Raw_Data!E690,FIND("/",Raw_Data!E690)+1)-FIND("/",Raw_Data!E690)-1)),VALUE(LEFT(Raw_Data!E690,FIND("/",Raw_Data!E690)-1))),IF(ISNUMBER(VALUE(LEFT(Raw_Data!E690,4))),DATE(VALUE(LEFT(Raw_Data!E690,4)),VALUE(MID(Raw_Data!E690,6,2)),VALUE(MID(Raw_Data!E690,9,2))),DATEVALUE(Raw_Data!E690))),"")</f>
        <v>45418</v>
      </c>
      <c r="F690" s="11" t="str">
        <f aca="false">Raw_Data!F690</f>
        <v>Male 35-44</v>
      </c>
      <c r="G690" s="11" t="str">
        <f aca="false">IF(TRIM(Raw_Data!G690)="","Unspecified",IFERROR(INDEX(Lookup_Tables!$F$2:$F$24,MATCH(UPPER(TRIM(Raw_Data!G690)),Lookup_Tables!$G$2:$G$24,0)),"Unknown"))</f>
        <v>North</v>
      </c>
      <c r="H690" s="11" t="n">
        <f aca="false">IF(Raw_Data!H690="",ROUND(AVERAGEIFS(Raw_Data!$H$2:$H$839,Raw_Data!$C$2:$C$839,Raw_Data!C690),2),Raw_Data!H690)</f>
        <v>62647.27</v>
      </c>
      <c r="I690" s="11" t="n">
        <f aca="false">Raw_Data!I690</f>
        <v>1867371</v>
      </c>
      <c r="J690" s="11" t="n">
        <f aca="false">IF(Raw_Data!J690&lt;0,ABS(Raw_Data!J690),Raw_Data!J690)</f>
        <v>43036</v>
      </c>
      <c r="K690" s="11" t="n">
        <f aca="false">Raw_Data!K690</f>
        <v>1956</v>
      </c>
      <c r="L690" s="11" t="n">
        <f aca="false">IF(Raw_Data!L690="",ROUND(AVERAGEIFS(Raw_Data!$L$2:$L$839,Raw_Data!$C$2:$C$839,Raw_Data!C690),2),Raw_Data!L690)</f>
        <v>1494060.03</v>
      </c>
      <c r="M690" s="13" t="n">
        <f aca="false">IFERROR(J690/I690,0)</f>
        <v>0.0230463041356003</v>
      </c>
      <c r="N690" s="14" t="n">
        <f aca="false">IFERROR(H690/J690,0)</f>
        <v>1.45569453480807</v>
      </c>
      <c r="O690" s="14" t="n">
        <f aca="false">IFERROR(H690/K690,0)</f>
        <v>32.0282566462168</v>
      </c>
      <c r="P690" s="15" t="n">
        <f aca="false">IFERROR(L690/H690,0)</f>
        <v>23.8487651576836</v>
      </c>
      <c r="Q690" s="13" t="n">
        <f aca="false">IFERROR(K690/J690,0)</f>
        <v>0.0454503206617715</v>
      </c>
      <c r="R690" s="11" t="str">
        <f aca="false">IF(COUNTIF($A$2:A690,A690)&gt;1,"Duplicate - Remove","Unique")</f>
        <v>Unique</v>
      </c>
      <c r="S690" s="11" t="str">
        <f aca="false">TRIM(IF(Raw_Data!G690="","Region missing; ","")&amp;IF(Raw_Data!H690="","Spend imputed; ","")&amp;IF(Raw_Data!L690="","Revenue imputed; ","")&amp;IF(Raw_Data!J690&lt;0,"Clicks corrected; ",""))</f>
        <v/>
      </c>
    </row>
    <row r="691" customFormat="false" ht="15" hidden="false" customHeight="true" outlineLevel="0" collapsed="false">
      <c r="A691" s="11" t="n">
        <f aca="false">Raw_Data!A691</f>
        <v>1410</v>
      </c>
      <c r="B691" s="11" t="str">
        <f aca="false">PROPER(TRIM(Raw_Data!B691))</f>
        <v>Hair Care Revamp</v>
      </c>
      <c r="C691" s="11" t="str">
        <f aca="false">IFERROR(INDEX(Lookup_Tables!$B$2:$B$26,MATCH(UPPER(TRIM(Raw_Data!C691)),Lookup_Tables!$C$2:$C$26,0)),"Unknown")</f>
        <v>Google Ads</v>
      </c>
      <c r="D691" s="12" t="n">
        <f aca="false">IFERROR(IF(ISNUMBER(SEARCH("/",Raw_Data!D691)),DATE(VALUE(RIGHT(Raw_Data!D691,4)),VALUE(MID(Raw_Data!D691,FIND("/",Raw_Data!D691)+1,FIND("/",Raw_Data!D691,FIND("/",Raw_Data!D691)+1)-FIND("/",Raw_Data!D691)-1)),VALUE(LEFT(Raw_Data!D691,FIND("/",Raw_Data!D691)-1))),IF(ISNUMBER(VALUE(LEFT(Raw_Data!D691,4))),DATE(VALUE(LEFT(Raw_Data!D691,4)),VALUE(MID(Raw_Data!D691,6,2)),VALUE(MID(Raw_Data!D691,9,2))),DATEVALUE(Raw_Data!D691))),"")</f>
        <v>45593</v>
      </c>
      <c r="E691" s="12" t="n">
        <f aca="false">IFERROR(IF(ISNUMBER(SEARCH("/",Raw_Data!E691)),DATE(VALUE(RIGHT(Raw_Data!E691,4)),VALUE(MID(Raw_Data!E691,FIND("/",Raw_Data!E691)+1,FIND("/",Raw_Data!E691,FIND("/",Raw_Data!E691)+1)-FIND("/",Raw_Data!E691)-1)),VALUE(LEFT(Raw_Data!E691,FIND("/",Raw_Data!E691)-1))),IF(ISNUMBER(VALUE(LEFT(Raw_Data!E691,4))),DATE(VALUE(LEFT(Raw_Data!E691,4)),VALUE(MID(Raw_Data!E691,6,2)),VALUE(MID(Raw_Data!E691,9,2))),DATEVALUE(Raw_Data!E691))),"")</f>
        <v>45602</v>
      </c>
      <c r="F691" s="11" t="str">
        <f aca="false">Raw_Data!F691</f>
        <v>Female 25-34</v>
      </c>
      <c r="G691" s="11" t="str">
        <f aca="false">IF(TRIM(Raw_Data!G691)="","Unspecified",IFERROR(INDEX(Lookup_Tables!$F$2:$F$24,MATCH(UPPER(TRIM(Raw_Data!G691)),Lookup_Tables!$G$2:$G$24,0)),"Unknown"))</f>
        <v>Central</v>
      </c>
      <c r="H691" s="11" t="n">
        <f aca="false">IF(Raw_Data!H691="",ROUND(AVERAGEIFS(Raw_Data!$H$2:$H$839,Raw_Data!$C$2:$C$839,Raw_Data!C691),2),Raw_Data!H691)</f>
        <v>14553.45</v>
      </c>
      <c r="I691" s="11" t="n">
        <f aca="false">Raw_Data!I691</f>
        <v>312762</v>
      </c>
      <c r="J691" s="11" t="n">
        <f aca="false">IF(Raw_Data!J691&lt;0,ABS(Raw_Data!J691),Raw_Data!J691)</f>
        <v>6911</v>
      </c>
      <c r="K691" s="11" t="n">
        <f aca="false">Raw_Data!K691</f>
        <v>179</v>
      </c>
      <c r="L691" s="11" t="n">
        <f aca="false">IF(Raw_Data!L691="",ROUND(AVERAGEIFS(Raw_Data!$L$2:$L$839,Raw_Data!$C$2:$C$839,Raw_Data!C691),2),Raw_Data!L691)</f>
        <v>198415.4</v>
      </c>
      <c r="M691" s="13" t="n">
        <f aca="false">IFERROR(J691/I691,0)</f>
        <v>0.022096674148394</v>
      </c>
      <c r="N691" s="14" t="n">
        <f aca="false">IFERROR(H691/J691,0)</f>
        <v>2.10583851830415</v>
      </c>
      <c r="O691" s="14" t="n">
        <f aca="false">IFERROR(H691/K691,0)</f>
        <v>81.3041899441341</v>
      </c>
      <c r="P691" s="15" t="n">
        <f aca="false">IFERROR(L691/H691,0)</f>
        <v>13.6335645499864</v>
      </c>
      <c r="Q691" s="13" t="n">
        <f aca="false">IFERROR(K691/J691,0)</f>
        <v>0.0259007379539864</v>
      </c>
      <c r="R691" s="11" t="str">
        <f aca="false">IF(COUNTIF($A$2:A691,A691)&gt;1,"Duplicate - Remove","Unique")</f>
        <v>Unique</v>
      </c>
      <c r="S691" s="11" t="str">
        <f aca="false">TRIM(IF(Raw_Data!G691="","Region missing; ","")&amp;IF(Raw_Data!H691="","Spend imputed; ","")&amp;IF(Raw_Data!L691="","Revenue imputed; ","")&amp;IF(Raw_Data!J691&lt;0,"Clicks corrected; ",""))</f>
        <v/>
      </c>
    </row>
    <row r="692" customFormat="false" ht="15" hidden="false" customHeight="true" outlineLevel="0" collapsed="false">
      <c r="A692" s="11" t="n">
        <f aca="false">Raw_Data!A692</f>
        <v>1066</v>
      </c>
      <c r="B692" s="11" t="str">
        <f aca="false">PROPER(TRIM(Raw_Data!B692))</f>
        <v>Monsoon Skincare Push</v>
      </c>
      <c r="C692" s="11" t="str">
        <f aca="false">IFERROR(INDEX(Lookup_Tables!$B$2:$B$26,MATCH(UPPER(TRIM(Raw_Data!C692)),Lookup_Tables!$C$2:$C$26,0)),"Unknown")</f>
        <v>Google Ads</v>
      </c>
      <c r="D692" s="12" t="n">
        <f aca="false">IFERROR(IF(ISNUMBER(SEARCH("/",Raw_Data!D692)),DATE(VALUE(RIGHT(Raw_Data!D692,4)),VALUE(MID(Raw_Data!D692,FIND("/",Raw_Data!D692)+1,FIND("/",Raw_Data!D692,FIND("/",Raw_Data!D692)+1)-FIND("/",Raw_Data!D692)-1)),VALUE(LEFT(Raw_Data!D692,FIND("/",Raw_Data!D692)-1))),IF(ISNUMBER(VALUE(LEFT(Raw_Data!D692,4))),DATE(VALUE(LEFT(Raw_Data!D692,4)),VALUE(MID(Raw_Data!D692,6,2)),VALUE(MID(Raw_Data!D692,9,2))),DATEVALUE(Raw_Data!D692))),"")</f>
        <v>45404</v>
      </c>
      <c r="E692" s="12" t="n">
        <f aca="false">IFERROR(IF(ISNUMBER(SEARCH("/",Raw_Data!E692)),DATE(VALUE(RIGHT(Raw_Data!E692,4)),VALUE(MID(Raw_Data!E692,FIND("/",Raw_Data!E692)+1,FIND("/",Raw_Data!E692,FIND("/",Raw_Data!E692)+1)-FIND("/",Raw_Data!E692)-1)),VALUE(LEFT(Raw_Data!E692,FIND("/",Raw_Data!E692)-1))),IF(ISNUMBER(VALUE(LEFT(Raw_Data!E692,4))),DATE(VALUE(LEFT(Raw_Data!E692,4)),VALUE(MID(Raw_Data!E692,6,2)),VALUE(MID(Raw_Data!E692,9,2))),DATEVALUE(Raw_Data!E692))),"")</f>
        <v>45421</v>
      </c>
      <c r="F692" s="11" t="str">
        <f aca="false">Raw_Data!F692</f>
        <v>Female 18-24</v>
      </c>
      <c r="G692" s="11" t="str">
        <f aca="false">IF(TRIM(Raw_Data!G692)="","Unspecified",IFERROR(INDEX(Lookup_Tables!$F$2:$F$24,MATCH(UPPER(TRIM(Raw_Data!G692)),Lookup_Tables!$G$2:$G$24,0)),"Unknown"))</f>
        <v>West</v>
      </c>
      <c r="H692" s="11" t="n">
        <f aca="false">IF(Raw_Data!H692="",ROUND(AVERAGEIFS(Raw_Data!$H$2:$H$839,Raw_Data!$C$2:$C$839,Raw_Data!C692),2),Raw_Data!H692)</f>
        <v>13834.74</v>
      </c>
      <c r="I692" s="11" t="n">
        <f aca="false">Raw_Data!I692</f>
        <v>278224</v>
      </c>
      <c r="J692" s="11" t="n">
        <f aca="false">IF(Raw_Data!J692&lt;0,ABS(Raw_Data!J692),Raw_Data!J692)</f>
        <v>9281</v>
      </c>
      <c r="K692" s="11" t="n">
        <f aca="false">Raw_Data!K692</f>
        <v>591</v>
      </c>
      <c r="L692" s="11" t="n">
        <f aca="false">IF(Raw_Data!L692="",ROUND(AVERAGEIFS(Raw_Data!$L$2:$L$839,Raw_Data!$C$2:$C$839,Raw_Data!C692),2),Raw_Data!L692)</f>
        <v>861697.68</v>
      </c>
      <c r="M692" s="13" t="n">
        <f aca="false">IFERROR(J692/I692,0)</f>
        <v>0.0333580136868135</v>
      </c>
      <c r="N692" s="14" t="n">
        <f aca="false">IFERROR(H692/J692,0)</f>
        <v>1.49065186941062</v>
      </c>
      <c r="O692" s="14" t="n">
        <f aca="false">IFERROR(H692/K692,0)</f>
        <v>23.4090355329949</v>
      </c>
      <c r="P692" s="15" t="n">
        <f aca="false">IFERROR(L692/H692,0)</f>
        <v>62.2850649885723</v>
      </c>
      <c r="Q692" s="13" t="n">
        <f aca="false">IFERROR(K692/J692,0)</f>
        <v>0.0636784829220989</v>
      </c>
      <c r="R692" s="11" t="str">
        <f aca="false">IF(COUNTIF($A$2:A692,A692)&gt;1,"Duplicate - Remove","Unique")</f>
        <v>Unique</v>
      </c>
      <c r="S692" s="11" t="str">
        <f aca="false">TRIM(IF(Raw_Data!G692="","Region missing; ","")&amp;IF(Raw_Data!H692="","Spend imputed; ","")&amp;IF(Raw_Data!L692="","Revenue imputed; ","")&amp;IF(Raw_Data!J692&lt;0,"Clicks corrected; ",""))</f>
        <v/>
      </c>
    </row>
    <row r="693" customFormat="false" ht="15" hidden="false" customHeight="true" outlineLevel="0" collapsed="false">
      <c r="A693" s="11" t="n">
        <f aca="false">Raw_Data!A693</f>
        <v>1032</v>
      </c>
      <c r="B693" s="11" t="str">
        <f aca="false">PROPER(TRIM(Raw_Data!B693))</f>
        <v>Influencer Collab - Skincare</v>
      </c>
      <c r="C693" s="11" t="str">
        <f aca="false">IFERROR(INDEX(Lookup_Tables!$B$2:$B$26,MATCH(UPPER(TRIM(Raw_Data!C693)),Lookup_Tables!$C$2:$C$26,0)),"Unknown")</f>
        <v>Google Ads</v>
      </c>
      <c r="D693" s="12" t="n">
        <f aca="false">IFERROR(IF(ISNUMBER(SEARCH("/",Raw_Data!D693)),DATE(VALUE(RIGHT(Raw_Data!D693,4)),VALUE(MID(Raw_Data!D693,FIND("/",Raw_Data!D693)+1,FIND("/",Raw_Data!D693,FIND("/",Raw_Data!D693)+1)-FIND("/",Raw_Data!D693)-1)),VALUE(LEFT(Raw_Data!D693,FIND("/",Raw_Data!D693)-1))),IF(ISNUMBER(VALUE(LEFT(Raw_Data!D693,4))),DATE(VALUE(LEFT(Raw_Data!D693,4)),VALUE(MID(Raw_Data!D693,6,2)),VALUE(MID(Raw_Data!D693,9,2))),DATEVALUE(Raw_Data!D693))),"")</f>
        <v>45327</v>
      </c>
      <c r="E693" s="12" t="n">
        <f aca="false">IFERROR(IF(ISNUMBER(SEARCH("/",Raw_Data!E693)),DATE(VALUE(RIGHT(Raw_Data!E693,4)),VALUE(MID(Raw_Data!E693,FIND("/",Raw_Data!E693)+1,FIND("/",Raw_Data!E693,FIND("/",Raw_Data!E693)+1)-FIND("/",Raw_Data!E693)-1)),VALUE(LEFT(Raw_Data!E693,FIND("/",Raw_Data!E693)-1))),IF(ISNUMBER(VALUE(LEFT(Raw_Data!E693,4))),DATE(VALUE(LEFT(Raw_Data!E693,4)),VALUE(MID(Raw_Data!E693,6,2)),VALUE(MID(Raw_Data!E693,9,2))),DATEVALUE(Raw_Data!E693))),"")</f>
        <v>45348</v>
      </c>
      <c r="F693" s="11" t="str">
        <f aca="false">Raw_Data!F693</f>
        <v>Male 35-44</v>
      </c>
      <c r="G693" s="11" t="str">
        <f aca="false">IF(TRIM(Raw_Data!G693)="","Unspecified",IFERROR(INDEX(Lookup_Tables!$F$2:$F$24,MATCH(UPPER(TRIM(Raw_Data!G693)),Lookup_Tables!$G$2:$G$24,0)),"Unknown"))</f>
        <v>North</v>
      </c>
      <c r="H693" s="11" t="n">
        <f aca="false">IF(Raw_Data!H693="",ROUND(AVERAGEIFS(Raw_Data!$H$2:$H$839,Raw_Data!$C$2:$C$839,Raw_Data!C693),2),Raw_Data!H693)</f>
        <v>33886.18</v>
      </c>
      <c r="I693" s="11" t="n">
        <f aca="false">Raw_Data!I693</f>
        <v>1228014</v>
      </c>
      <c r="J693" s="11" t="n">
        <f aca="false">IF(Raw_Data!J693&lt;0,ABS(Raw_Data!J693),Raw_Data!J693)</f>
        <v>36435</v>
      </c>
      <c r="K693" s="11" t="n">
        <f aca="false">Raw_Data!K693</f>
        <v>633</v>
      </c>
      <c r="L693" s="11" t="n">
        <f aca="false">IF(Raw_Data!L693="",ROUND(AVERAGEIFS(Raw_Data!$L$2:$L$839,Raw_Data!$C$2:$C$839,Raw_Data!C693),2),Raw_Data!L693)</f>
        <v>1103408.87</v>
      </c>
      <c r="M693" s="13" t="n">
        <f aca="false">IFERROR(J693/I693,0)</f>
        <v>0.0296698571840386</v>
      </c>
      <c r="N693" s="14" t="n">
        <f aca="false">IFERROR(H693/J693,0)</f>
        <v>0.930044737203239</v>
      </c>
      <c r="O693" s="14" t="n">
        <f aca="false">IFERROR(H693/K693,0)</f>
        <v>53.5326698262243</v>
      </c>
      <c r="P693" s="15" t="n">
        <f aca="false">IFERROR(L693/H693,0)</f>
        <v>32.5622088414805</v>
      </c>
      <c r="Q693" s="13" t="n">
        <f aca="false">IFERROR(K693/J693,0)</f>
        <v>0.0173734046932894</v>
      </c>
      <c r="R693" s="11" t="str">
        <f aca="false">IF(COUNTIF($A$2:A693,A693)&gt;1,"Duplicate - Remove","Unique")</f>
        <v>Duplicate - Remove</v>
      </c>
      <c r="S693" s="11" t="str">
        <f aca="false">TRIM(IF(Raw_Data!G693="","Region missing; ","")&amp;IF(Raw_Data!H693="","Spend imputed; ","")&amp;IF(Raw_Data!L693="","Revenue imputed; ","")&amp;IF(Raw_Data!J693&lt;0,"Clicks corrected; ",""))</f>
        <v/>
      </c>
    </row>
    <row r="694" customFormat="false" ht="15" hidden="false" customHeight="true" outlineLevel="0" collapsed="false">
      <c r="A694" s="11" t="n">
        <f aca="false">Raw_Data!A694</f>
        <v>1708</v>
      </c>
      <c r="B694" s="11" t="str">
        <f aca="false">PROPER(TRIM(Raw_Data!B694))</f>
        <v>Hair Care Revamp</v>
      </c>
      <c r="C694" s="11" t="str">
        <f aca="false">IFERROR(INDEX(Lookup_Tables!$B$2:$B$26,MATCH(UPPER(TRIM(Raw_Data!C694)),Lookup_Tables!$C$2:$C$26,0)),"Unknown")</f>
        <v>Email</v>
      </c>
      <c r="D694" s="12" t="n">
        <f aca="false">IFERROR(IF(ISNUMBER(SEARCH("/",Raw_Data!D694)),DATE(VALUE(RIGHT(Raw_Data!D694,4)),VALUE(MID(Raw_Data!D694,FIND("/",Raw_Data!D694)+1,FIND("/",Raw_Data!D694,FIND("/",Raw_Data!D694)+1)-FIND("/",Raw_Data!D694)-1)),VALUE(LEFT(Raw_Data!D694,FIND("/",Raw_Data!D694)-1))),IF(ISNUMBER(VALUE(LEFT(Raw_Data!D694,4))),DATE(VALUE(LEFT(Raw_Data!D694,4)),VALUE(MID(Raw_Data!D694,6,2)),VALUE(MID(Raw_Data!D694,9,2))),DATEVALUE(Raw_Data!D694))),"")</f>
        <v>45519</v>
      </c>
      <c r="E694" s="12" t="n">
        <f aca="false">IFERROR(IF(ISNUMBER(SEARCH("/",Raw_Data!E694)),DATE(VALUE(RIGHT(Raw_Data!E694,4)),VALUE(MID(Raw_Data!E694,FIND("/",Raw_Data!E694)+1,FIND("/",Raw_Data!E694,FIND("/",Raw_Data!E694)+1)-FIND("/",Raw_Data!E694)-1)),VALUE(LEFT(Raw_Data!E694,FIND("/",Raw_Data!E694)-1))),IF(ISNUMBER(VALUE(LEFT(Raw_Data!E694,4))),DATE(VALUE(LEFT(Raw_Data!E694,4)),VALUE(MID(Raw_Data!E694,6,2)),VALUE(MID(Raw_Data!E694,9,2))),DATEVALUE(Raw_Data!E694))),"")</f>
        <v>45527</v>
      </c>
      <c r="F694" s="11" t="str">
        <f aca="false">Raw_Data!F694</f>
        <v>Female 35-44</v>
      </c>
      <c r="G694" s="11" t="str">
        <f aca="false">IF(TRIM(Raw_Data!G694)="","Unspecified",IFERROR(INDEX(Lookup_Tables!$F$2:$F$24,MATCH(UPPER(TRIM(Raw_Data!G694)),Lookup_Tables!$G$2:$G$24,0)),"Unknown"))</f>
        <v>East</v>
      </c>
      <c r="H694" s="11" t="n">
        <f aca="false">IF(Raw_Data!H694="",ROUND(AVERAGEIFS(Raw_Data!$H$2:$H$839,Raw_Data!$C$2:$C$839,Raw_Data!C694),2),Raw_Data!H694)</f>
        <v>1949.19</v>
      </c>
      <c r="I694" s="11" t="n">
        <f aca="false">Raw_Data!I694</f>
        <v>47801</v>
      </c>
      <c r="J694" s="11" t="n">
        <f aca="false">IF(Raw_Data!J694&lt;0,ABS(Raw_Data!J694),Raw_Data!J694)</f>
        <v>783</v>
      </c>
      <c r="K694" s="11" t="n">
        <f aca="false">Raw_Data!K694</f>
        <v>17</v>
      </c>
      <c r="L694" s="11" t="n">
        <f aca="false">IF(Raw_Data!L694="",ROUND(AVERAGEIFS(Raw_Data!$L$2:$L$839,Raw_Data!$C$2:$C$839,Raw_Data!C694),2),Raw_Data!L694)</f>
        <v>6441.87</v>
      </c>
      <c r="M694" s="13" t="n">
        <f aca="false">IFERROR(J694/I694,0)</f>
        <v>0.0163804104516642</v>
      </c>
      <c r="N694" s="14" t="n">
        <f aca="false">IFERROR(H694/J694,0)</f>
        <v>2.48938697318008</v>
      </c>
      <c r="O694" s="14" t="n">
        <f aca="false">IFERROR(H694/K694,0)</f>
        <v>114.658235294118</v>
      </c>
      <c r="P694" s="15" t="n">
        <f aca="false">IFERROR(L694/H694,0)</f>
        <v>3.304895879827</v>
      </c>
      <c r="Q694" s="13" t="n">
        <f aca="false">IFERROR(K694/J694,0)</f>
        <v>0.0217113665389527</v>
      </c>
      <c r="R694" s="11" t="str">
        <f aca="false">IF(COUNTIF($A$2:A694,A694)&gt;1,"Duplicate - Remove","Unique")</f>
        <v>Duplicate - Remove</v>
      </c>
      <c r="S694" s="11" t="str">
        <f aca="false">TRIM(IF(Raw_Data!G694="","Region missing; ","")&amp;IF(Raw_Data!H694="","Spend imputed; ","")&amp;IF(Raw_Data!L694="","Revenue imputed; ","")&amp;IF(Raw_Data!J694&lt;0,"Clicks corrected; ",""))</f>
        <v/>
      </c>
    </row>
    <row r="695" customFormat="false" ht="15" hidden="false" customHeight="true" outlineLevel="0" collapsed="false">
      <c r="A695" s="11" t="n">
        <f aca="false">Raw_Data!A695</f>
        <v>1193</v>
      </c>
      <c r="B695" s="11" t="str">
        <f aca="false">PROPER(TRIM(Raw_Data!B695))</f>
        <v>Wedding Season Special</v>
      </c>
      <c r="C695" s="11" t="str">
        <f aca="false">IFERROR(INDEX(Lookup_Tables!$B$2:$B$26,MATCH(UPPER(TRIM(Raw_Data!C695)),Lookup_Tables!$C$2:$C$26,0)),"Unknown")</f>
        <v>YouTube</v>
      </c>
      <c r="D695" s="12" t="n">
        <f aca="false">IFERROR(IF(ISNUMBER(SEARCH("/",Raw_Data!D695)),DATE(VALUE(RIGHT(Raw_Data!D695,4)),VALUE(MID(Raw_Data!D695,FIND("/",Raw_Data!D695)+1,FIND("/",Raw_Data!D695,FIND("/",Raw_Data!D695)+1)-FIND("/",Raw_Data!D695)-1)),VALUE(LEFT(Raw_Data!D695,FIND("/",Raw_Data!D695)-1))),IF(ISNUMBER(VALUE(LEFT(Raw_Data!D695,4))),DATE(VALUE(LEFT(Raw_Data!D695,4)),VALUE(MID(Raw_Data!D695,6,2)),VALUE(MID(Raw_Data!D695,9,2))),DATEVALUE(Raw_Data!D695))),"")</f>
        <v>45348</v>
      </c>
      <c r="E695" s="12" t="n">
        <f aca="false">IFERROR(IF(ISNUMBER(SEARCH("/",Raw_Data!E695)),DATE(VALUE(RIGHT(Raw_Data!E695,4)),VALUE(MID(Raw_Data!E695,FIND("/",Raw_Data!E695)+1,FIND("/",Raw_Data!E695,FIND("/",Raw_Data!E695)+1)-FIND("/",Raw_Data!E695)-1)),VALUE(LEFT(Raw_Data!E695,FIND("/",Raw_Data!E695)-1))),IF(ISNUMBER(VALUE(LEFT(Raw_Data!E695,4))),DATE(VALUE(LEFT(Raw_Data!E695,4)),VALUE(MID(Raw_Data!E695,6,2)),VALUE(MID(Raw_Data!E695,9,2))),DATEVALUE(Raw_Data!E695))),"")</f>
        <v>45371</v>
      </c>
      <c r="F695" s="11" t="str">
        <f aca="false">Raw_Data!F695</f>
        <v>Female 25-34</v>
      </c>
      <c r="G695" s="11" t="str">
        <f aca="false">IF(TRIM(Raw_Data!G695)="","Unspecified",IFERROR(INDEX(Lookup_Tables!$F$2:$F$24,MATCH(UPPER(TRIM(Raw_Data!G695)),Lookup_Tables!$G$2:$G$24,0)),"Unknown"))</f>
        <v>Unspecified</v>
      </c>
      <c r="H695" s="11" t="n">
        <f aca="false">IF(Raw_Data!H695="",ROUND(AVERAGEIFS(Raw_Data!$H$2:$H$839,Raw_Data!$C$2:$C$839,Raw_Data!C695),2),Raw_Data!H695)</f>
        <v>52057.8</v>
      </c>
      <c r="I695" s="11" t="n">
        <f aca="false">Raw_Data!I695</f>
        <v>2016518</v>
      </c>
      <c r="J695" s="11" t="n">
        <f aca="false">IF(Raw_Data!J695&lt;0,ABS(Raw_Data!J695),Raw_Data!J695)</f>
        <v>57240</v>
      </c>
      <c r="K695" s="11" t="n">
        <f aca="false">Raw_Data!K695</f>
        <v>873</v>
      </c>
      <c r="L695" s="11" t="n">
        <f aca="false">IF(Raw_Data!L695="",ROUND(AVERAGEIFS(Raw_Data!$L$2:$L$839,Raw_Data!$C$2:$C$839,Raw_Data!C695),2),Raw_Data!L695)</f>
        <v>1221488.99</v>
      </c>
      <c r="M695" s="13" t="n">
        <f aca="false">IFERROR(J695/I695,0)</f>
        <v>0.02838556362998</v>
      </c>
      <c r="N695" s="14" t="n">
        <f aca="false">IFERROR(H695/J695,0)</f>
        <v>0.909465408805032</v>
      </c>
      <c r="O695" s="14" t="n">
        <f aca="false">IFERROR(H695/K695,0)</f>
        <v>59.6309278350516</v>
      </c>
      <c r="P695" s="15" t="n">
        <f aca="false">IFERROR(L695/H695,0)</f>
        <v>23.4640916442877</v>
      </c>
      <c r="Q695" s="13" t="n">
        <f aca="false">IFERROR(K695/J695,0)</f>
        <v>0.015251572327044</v>
      </c>
      <c r="R695" s="11" t="str">
        <f aca="false">IF(COUNTIF($A$2:A695,A695)&gt;1,"Duplicate - Remove","Unique")</f>
        <v>Unique</v>
      </c>
      <c r="S695" s="11" t="str">
        <f aca="false">TRIM(IF(Raw_Data!G695="","Region missing; ","")&amp;IF(Raw_Data!H695="","Spend imputed; ","")&amp;IF(Raw_Data!L695="","Revenue imputed; ","")&amp;IF(Raw_Data!J695&lt;0,"Clicks corrected; ",""))</f>
        <v>Region missing;</v>
      </c>
    </row>
    <row r="696" customFormat="false" ht="15" hidden="false" customHeight="true" outlineLevel="0" collapsed="false">
      <c r="A696" s="11" t="n">
        <f aca="false">Raw_Data!A696</f>
        <v>1388</v>
      </c>
      <c r="B696" s="11" t="str">
        <f aca="false">PROPER(TRIM(Raw_Data!B696))</f>
        <v>Wedding Season Special</v>
      </c>
      <c r="C696" s="11" t="str">
        <f aca="false">IFERROR(INDEX(Lookup_Tables!$B$2:$B$26,MATCH(UPPER(TRIM(Raw_Data!C696)),Lookup_Tables!$C$2:$C$26,0)),"Unknown")</f>
        <v>Instagram</v>
      </c>
      <c r="D696" s="12" t="n">
        <f aca="false">IFERROR(IF(ISNUMBER(SEARCH("/",Raw_Data!D696)),DATE(VALUE(RIGHT(Raw_Data!D696,4)),VALUE(MID(Raw_Data!D696,FIND("/",Raw_Data!D696)+1,FIND("/",Raw_Data!D696,FIND("/",Raw_Data!D696)+1)-FIND("/",Raw_Data!D696)-1)),VALUE(LEFT(Raw_Data!D696,FIND("/",Raw_Data!D696)-1))),IF(ISNUMBER(VALUE(LEFT(Raw_Data!D696,4))),DATE(VALUE(LEFT(Raw_Data!D696,4)),VALUE(MID(Raw_Data!D696,6,2)),VALUE(MID(Raw_Data!D696,9,2))),DATEVALUE(Raw_Data!D696))),"")</f>
        <v>45370</v>
      </c>
      <c r="E696" s="12" t="n">
        <f aca="false">IFERROR(IF(ISNUMBER(SEARCH("/",Raw_Data!E696)),DATE(VALUE(RIGHT(Raw_Data!E696,4)),VALUE(MID(Raw_Data!E696,FIND("/",Raw_Data!E696)+1,FIND("/",Raw_Data!E696,FIND("/",Raw_Data!E696)+1)-FIND("/",Raw_Data!E696)-1)),VALUE(LEFT(Raw_Data!E696,FIND("/",Raw_Data!E696)-1))),IF(ISNUMBER(VALUE(LEFT(Raw_Data!E696,4))),DATE(VALUE(LEFT(Raw_Data!E696,4)),VALUE(MID(Raw_Data!E696,6,2)),VALUE(MID(Raw_Data!E696,9,2))),DATEVALUE(Raw_Data!E696))),"")</f>
        <v>45395</v>
      </c>
      <c r="F696" s="11" t="str">
        <f aca="false">Raw_Data!F696</f>
        <v>Female 25-34</v>
      </c>
      <c r="G696" s="11" t="str">
        <f aca="false">IF(TRIM(Raw_Data!G696)="","Unspecified",IFERROR(INDEX(Lookup_Tables!$F$2:$F$24,MATCH(UPPER(TRIM(Raw_Data!G696)),Lookup_Tables!$G$2:$G$24,0)),"Unknown"))</f>
        <v>West</v>
      </c>
      <c r="H696" s="11" t="n">
        <f aca="false">IF(Raw_Data!H696="",ROUND(AVERAGEIFS(Raw_Data!$H$2:$H$839,Raw_Data!$C$2:$C$839,Raw_Data!C696),2),Raw_Data!H696)</f>
        <v>25399.59</v>
      </c>
      <c r="I696" s="11" t="n">
        <f aca="false">Raw_Data!I696</f>
        <v>468477</v>
      </c>
      <c r="J696" s="11" t="n">
        <f aca="false">IF(Raw_Data!J696&lt;0,ABS(Raw_Data!J696),Raw_Data!J696)</f>
        <v>14268</v>
      </c>
      <c r="K696" s="11" t="n">
        <f aca="false">Raw_Data!K696</f>
        <v>581</v>
      </c>
      <c r="L696" s="11" t="n">
        <f aca="false">IF(Raw_Data!L696="",ROUND(AVERAGEIFS(Raw_Data!$L$2:$L$839,Raw_Data!$C$2:$C$839,Raw_Data!C696),2),Raw_Data!L696)</f>
        <v>553598.45</v>
      </c>
      <c r="M696" s="13" t="n">
        <f aca="false">IFERROR(J696/I696,0)</f>
        <v>0.03045613765457</v>
      </c>
      <c r="N696" s="14" t="n">
        <f aca="false">IFERROR(H696/J696,0)</f>
        <v>1.7801787216148</v>
      </c>
      <c r="O696" s="14" t="n">
        <f aca="false">IFERROR(H696/K696,0)</f>
        <v>43.7170223752151</v>
      </c>
      <c r="P696" s="15" t="n">
        <f aca="false">IFERROR(L696/H696,0)</f>
        <v>21.7955663851267</v>
      </c>
      <c r="Q696" s="13" t="n">
        <f aca="false">IFERROR(K696/J696,0)</f>
        <v>0.0407204934118307</v>
      </c>
      <c r="R696" s="11" t="str">
        <f aca="false">IF(COUNTIF($A$2:A696,A696)&gt;1,"Duplicate - Remove","Unique")</f>
        <v>Unique</v>
      </c>
      <c r="S696" s="11" t="str">
        <f aca="false">TRIM(IF(Raw_Data!G696="","Region missing; ","")&amp;IF(Raw_Data!H696="","Spend imputed; ","")&amp;IF(Raw_Data!L696="","Revenue imputed; ","")&amp;IF(Raw_Data!J696&lt;0,"Clicks corrected; ",""))</f>
        <v/>
      </c>
    </row>
    <row r="697" customFormat="false" ht="15" hidden="false" customHeight="true" outlineLevel="0" collapsed="false">
      <c r="A697" s="11" t="n">
        <f aca="false">Raw_Data!A697</f>
        <v>1199</v>
      </c>
      <c r="B697" s="11" t="str">
        <f aca="false">PROPER(TRIM(Raw_Data!B697))</f>
        <v>Sunscreen Season Campaign</v>
      </c>
      <c r="C697" s="11" t="str">
        <f aca="false">IFERROR(INDEX(Lookup_Tables!$B$2:$B$26,MATCH(UPPER(TRIM(Raw_Data!C697)),Lookup_Tables!$C$2:$C$26,0)),"Unknown")</f>
        <v>Email</v>
      </c>
      <c r="D697" s="12" t="n">
        <f aca="false">IFERROR(IF(ISNUMBER(SEARCH("/",Raw_Data!D697)),DATE(VALUE(RIGHT(Raw_Data!D697,4)),VALUE(MID(Raw_Data!D697,FIND("/",Raw_Data!D697)+1,FIND("/",Raw_Data!D697,FIND("/",Raw_Data!D697)+1)-FIND("/",Raw_Data!D697)-1)),VALUE(LEFT(Raw_Data!D697,FIND("/",Raw_Data!D697)-1))),IF(ISNUMBER(VALUE(LEFT(Raw_Data!D697,4))),DATE(VALUE(LEFT(Raw_Data!D697,4)),VALUE(MID(Raw_Data!D697,6,2)),VALUE(MID(Raw_Data!D697,9,2))),DATEVALUE(Raw_Data!D697))),"")</f>
        <v>45344</v>
      </c>
      <c r="E697" s="12" t="n">
        <f aca="false">IFERROR(IF(ISNUMBER(SEARCH("/",Raw_Data!E697)),DATE(VALUE(RIGHT(Raw_Data!E697,4)),VALUE(MID(Raw_Data!E697,FIND("/",Raw_Data!E697)+1,FIND("/",Raw_Data!E697,FIND("/",Raw_Data!E697)+1)-FIND("/",Raw_Data!E697)-1)),VALUE(LEFT(Raw_Data!E697,FIND("/",Raw_Data!E697)-1))),IF(ISNUMBER(VALUE(LEFT(Raw_Data!E697,4))),DATE(VALUE(LEFT(Raw_Data!E697,4)),VALUE(MID(Raw_Data!E697,6,2)),VALUE(MID(Raw_Data!E697,9,2))),DATEVALUE(Raw_Data!E697))),"")</f>
        <v>45361</v>
      </c>
      <c r="F697" s="11" t="str">
        <f aca="false">Raw_Data!F697</f>
        <v>Female 18-24</v>
      </c>
      <c r="G697" s="11" t="str">
        <f aca="false">IF(TRIM(Raw_Data!G697)="","Unspecified",IFERROR(INDEX(Lookup_Tables!$F$2:$F$24,MATCH(UPPER(TRIM(Raw_Data!G697)),Lookup_Tables!$G$2:$G$24,0)),"Unknown"))</f>
        <v>East</v>
      </c>
      <c r="H697" s="11" t="n">
        <f aca="false">IF(Raw_Data!H697="",ROUND(AVERAGEIFS(Raw_Data!$H$2:$H$839,Raw_Data!$C$2:$C$839,Raw_Data!C697),2),Raw_Data!H697)</f>
        <v>1250.82</v>
      </c>
      <c r="I697" s="11" t="n">
        <f aca="false">Raw_Data!I697</f>
        <v>35932</v>
      </c>
      <c r="J697" s="11" t="n">
        <f aca="false">IF(Raw_Data!J697&lt;0,ABS(Raw_Data!J697),Raw_Data!J697)</f>
        <v>1069</v>
      </c>
      <c r="K697" s="11" t="n">
        <f aca="false">Raw_Data!K697</f>
        <v>69</v>
      </c>
      <c r="L697" s="11" t="n">
        <f aca="false">IF(Raw_Data!L697="",ROUND(AVERAGEIFS(Raw_Data!$L$2:$L$839,Raw_Data!$C$2:$C$839,Raw_Data!C697),2),Raw_Data!L697)</f>
        <v>120515.28</v>
      </c>
      <c r="M697" s="13" t="n">
        <f aca="false">IFERROR(J697/I697,0)</f>
        <v>0.0297506400979628</v>
      </c>
      <c r="N697" s="14" t="n">
        <f aca="false">IFERROR(H697/J697,0)</f>
        <v>1.17008419083255</v>
      </c>
      <c r="O697" s="14" t="n">
        <f aca="false">IFERROR(H697/K697,0)</f>
        <v>18.1278260869565</v>
      </c>
      <c r="P697" s="15" t="n">
        <f aca="false">IFERROR(L697/H697,0)</f>
        <v>96.3490190435075</v>
      </c>
      <c r="Q697" s="13" t="n">
        <f aca="false">IFERROR(K697/J697,0)</f>
        <v>0.0645463049579046</v>
      </c>
      <c r="R697" s="11" t="str">
        <f aca="false">IF(COUNTIF($A$2:A697,A697)&gt;1,"Duplicate - Remove","Unique")</f>
        <v>Unique</v>
      </c>
      <c r="S697" s="11" t="str">
        <f aca="false">TRIM(IF(Raw_Data!G697="","Region missing; ","")&amp;IF(Raw_Data!H697="","Spend imputed; ","")&amp;IF(Raw_Data!L697="","Revenue imputed; ","")&amp;IF(Raw_Data!J697&lt;0,"Clicks corrected; ",""))</f>
        <v/>
      </c>
    </row>
    <row r="698" customFormat="false" ht="15" hidden="false" customHeight="true" outlineLevel="0" collapsed="false">
      <c r="A698" s="11" t="n">
        <f aca="false">Raw_Data!A698</f>
        <v>1764</v>
      </c>
      <c r="B698" s="11" t="str">
        <f aca="false">PROPER(TRIM(Raw_Data!B698))</f>
        <v>Festive Gift Bundle</v>
      </c>
      <c r="C698" s="11" t="str">
        <f aca="false">IFERROR(INDEX(Lookup_Tables!$B$2:$B$26,MATCH(UPPER(TRIM(Raw_Data!C698)),Lookup_Tables!$C$2:$C$26,0)),"Unknown")</f>
        <v>Email</v>
      </c>
      <c r="D698" s="12" t="n">
        <f aca="false">IFERROR(IF(ISNUMBER(SEARCH("/",Raw_Data!D698)),DATE(VALUE(RIGHT(Raw_Data!D698,4)),VALUE(MID(Raw_Data!D698,FIND("/",Raw_Data!D698)+1,FIND("/",Raw_Data!D698,FIND("/",Raw_Data!D698)+1)-FIND("/",Raw_Data!D698)-1)),VALUE(LEFT(Raw_Data!D698,FIND("/",Raw_Data!D698)-1))),IF(ISNUMBER(VALUE(LEFT(Raw_Data!D698,4))),DATE(VALUE(LEFT(Raw_Data!D698,4)),VALUE(MID(Raw_Data!D698,6,2)),VALUE(MID(Raw_Data!D698,9,2))),DATEVALUE(Raw_Data!D698))),"")</f>
        <v>45397</v>
      </c>
      <c r="E698" s="12" t="n">
        <f aca="false">IFERROR(IF(ISNUMBER(SEARCH("/",Raw_Data!E698)),DATE(VALUE(RIGHT(Raw_Data!E698,4)),VALUE(MID(Raw_Data!E698,FIND("/",Raw_Data!E698)+1,FIND("/",Raw_Data!E698,FIND("/",Raw_Data!E698)+1)-FIND("/",Raw_Data!E698)-1)),VALUE(LEFT(Raw_Data!E698,FIND("/",Raw_Data!E698)-1))),IF(ISNUMBER(VALUE(LEFT(Raw_Data!E698,4))),DATE(VALUE(LEFT(Raw_Data!E698,4)),VALUE(MID(Raw_Data!E698,6,2)),VALUE(MID(Raw_Data!E698,9,2))),DATEVALUE(Raw_Data!E698))),"")</f>
        <v>45423</v>
      </c>
      <c r="F698" s="11" t="str">
        <f aca="false">Raw_Data!F698</f>
        <v>Male 25-34</v>
      </c>
      <c r="G698" s="11" t="str">
        <f aca="false">IF(TRIM(Raw_Data!G698)="","Unspecified",IFERROR(INDEX(Lookup_Tables!$F$2:$F$24,MATCH(UPPER(TRIM(Raw_Data!G698)),Lookup_Tables!$G$2:$G$24,0)),"Unknown"))</f>
        <v>Unspecified</v>
      </c>
      <c r="H698" s="11" t="n">
        <f aca="false">IF(Raw_Data!H698="",ROUND(AVERAGEIFS(Raw_Data!$H$2:$H$839,Raw_Data!$C$2:$C$839,Raw_Data!C698),2),Raw_Data!H698)</f>
        <v>4056.55</v>
      </c>
      <c r="I698" s="11" t="n">
        <f aca="false">Raw_Data!I698</f>
        <v>149600</v>
      </c>
      <c r="J698" s="11" t="n">
        <f aca="false">IF(Raw_Data!J698&lt;0,ABS(Raw_Data!J698),Raw_Data!J698)</f>
        <v>2284</v>
      </c>
      <c r="K698" s="11" t="n">
        <f aca="false">Raw_Data!K698</f>
        <v>26</v>
      </c>
      <c r="L698" s="11" t="n">
        <f aca="false">IF(Raw_Data!L698="",ROUND(AVERAGEIFS(Raw_Data!$L$2:$L$839,Raw_Data!$C$2:$C$839,Raw_Data!C698),2),Raw_Data!L698)</f>
        <v>28234.99</v>
      </c>
      <c r="M698" s="13" t="n">
        <f aca="false">IFERROR(J698/I698,0)</f>
        <v>0.0152673796791444</v>
      </c>
      <c r="N698" s="14" t="n">
        <f aca="false">IFERROR(H698/J698,0)</f>
        <v>1.77607267950963</v>
      </c>
      <c r="O698" s="14" t="n">
        <f aca="false">IFERROR(H698/K698,0)</f>
        <v>156.021153846154</v>
      </c>
      <c r="P698" s="15" t="n">
        <f aca="false">IFERROR(L698/H698,0)</f>
        <v>6.96034561388372</v>
      </c>
      <c r="Q698" s="13" t="n">
        <f aca="false">IFERROR(K698/J698,0)</f>
        <v>0.0113835376532399</v>
      </c>
      <c r="R698" s="11" t="str">
        <f aca="false">IF(COUNTIF($A$2:A698,A698)&gt;1,"Duplicate - Remove","Unique")</f>
        <v>Unique</v>
      </c>
      <c r="S698" s="11" t="str">
        <f aca="false">TRIM(IF(Raw_Data!G698="","Region missing; ","")&amp;IF(Raw_Data!H698="","Spend imputed; ","")&amp;IF(Raw_Data!L698="","Revenue imputed; ","")&amp;IF(Raw_Data!J698&lt;0,"Clicks corrected; ",""))</f>
        <v>Region missing;</v>
      </c>
    </row>
    <row r="699" customFormat="false" ht="15" hidden="false" customHeight="true" outlineLevel="0" collapsed="false">
      <c r="A699" s="11" t="n">
        <f aca="false">Raw_Data!A699</f>
        <v>1255</v>
      </c>
      <c r="B699" s="11" t="str">
        <f aca="false">PROPER(TRIM(Raw_Data!B699))</f>
        <v>Summer Glow Launch</v>
      </c>
      <c r="C699" s="11" t="str">
        <f aca="false">IFERROR(INDEX(Lookup_Tables!$B$2:$B$26,MATCH(UPPER(TRIM(Raw_Data!C699)),Lookup_Tables!$C$2:$C$26,0)),"Unknown")</f>
        <v>Google Ads</v>
      </c>
      <c r="D699" s="12" t="n">
        <f aca="false">IFERROR(IF(ISNUMBER(SEARCH("/",Raw_Data!D699)),DATE(VALUE(RIGHT(Raw_Data!D699,4)),VALUE(MID(Raw_Data!D699,FIND("/",Raw_Data!D699)+1,FIND("/",Raw_Data!D699,FIND("/",Raw_Data!D699)+1)-FIND("/",Raw_Data!D699)-1)),VALUE(LEFT(Raw_Data!D699,FIND("/",Raw_Data!D699)-1))),IF(ISNUMBER(VALUE(LEFT(Raw_Data!D699,4))),DATE(VALUE(LEFT(Raw_Data!D699,4)),VALUE(MID(Raw_Data!D699,6,2)),VALUE(MID(Raw_Data!D699,9,2))),DATEVALUE(Raw_Data!D699))),"")</f>
        <v>45609</v>
      </c>
      <c r="E699" s="12" t="n">
        <f aca="false">IFERROR(IF(ISNUMBER(SEARCH("/",Raw_Data!E699)),DATE(VALUE(RIGHT(Raw_Data!E699,4)),VALUE(MID(Raw_Data!E699,FIND("/",Raw_Data!E699)+1,FIND("/",Raw_Data!E699,FIND("/",Raw_Data!E699)+1)-FIND("/",Raw_Data!E699)-1)),VALUE(LEFT(Raw_Data!E699,FIND("/",Raw_Data!E699)-1))),IF(ISNUMBER(VALUE(LEFT(Raw_Data!E699,4))),DATE(VALUE(LEFT(Raw_Data!E699,4)),VALUE(MID(Raw_Data!E699,6,2)),VALUE(MID(Raw_Data!E699,9,2))),DATEVALUE(Raw_Data!E699))),"")</f>
        <v>45621</v>
      </c>
      <c r="F699" s="11" t="str">
        <f aca="false">Raw_Data!F699</f>
        <v>Male 35-44</v>
      </c>
      <c r="G699" s="11" t="str">
        <f aca="false">IF(TRIM(Raw_Data!G699)="","Unspecified",IFERROR(INDEX(Lookup_Tables!$F$2:$F$24,MATCH(UPPER(TRIM(Raw_Data!G699)),Lookup_Tables!$G$2:$G$24,0)),"Unknown"))</f>
        <v>South</v>
      </c>
      <c r="H699" s="11" t="n">
        <f aca="false">IF(Raw_Data!H699="",ROUND(AVERAGEIFS(Raw_Data!$H$2:$H$839,Raw_Data!$C$2:$C$839,Raw_Data!C699),2),Raw_Data!H699)</f>
        <v>60470.25</v>
      </c>
      <c r="I699" s="11" t="n">
        <f aca="false">Raw_Data!I699</f>
        <v>1902226</v>
      </c>
      <c r="J699" s="11" t="n">
        <f aca="false">IF(Raw_Data!J699&lt;0,ABS(Raw_Data!J699),Raw_Data!J699)</f>
        <v>40267</v>
      </c>
      <c r="K699" s="11" t="n">
        <f aca="false">Raw_Data!K699</f>
        <v>1494</v>
      </c>
      <c r="L699" s="11" t="n">
        <f aca="false">IF(Raw_Data!L699="",ROUND(AVERAGEIFS(Raw_Data!$L$2:$L$839,Raw_Data!$C$2:$C$839,Raw_Data!C699),2),Raw_Data!L699)</f>
        <v>1658192.34</v>
      </c>
      <c r="M699" s="13" t="n">
        <f aca="false">IFERROR(J699/I699,0)</f>
        <v>0.021168357492748</v>
      </c>
      <c r="N699" s="14" t="n">
        <f aca="false">IFERROR(H699/J699,0)</f>
        <v>1.50173218764745</v>
      </c>
      <c r="O699" s="14" t="n">
        <f aca="false">IFERROR(H699/K699,0)</f>
        <v>40.4754016064257</v>
      </c>
      <c r="P699" s="15" t="n">
        <f aca="false">IFERROR(L699/H699,0)</f>
        <v>27.4216220372828</v>
      </c>
      <c r="Q699" s="13" t="n">
        <f aca="false">IFERROR(K699/J699,0)</f>
        <v>0.0371023418680309</v>
      </c>
      <c r="R699" s="11" t="str">
        <f aca="false">IF(COUNTIF($A$2:A699,A699)&gt;1,"Duplicate - Remove","Unique")</f>
        <v>Unique</v>
      </c>
      <c r="S699" s="11" t="str">
        <f aca="false">TRIM(IF(Raw_Data!G699="","Region missing; ","")&amp;IF(Raw_Data!H699="","Spend imputed; ","")&amp;IF(Raw_Data!L699="","Revenue imputed; ","")&amp;IF(Raw_Data!J699&lt;0,"Clicks corrected; ",""))</f>
        <v/>
      </c>
    </row>
    <row r="700" customFormat="false" ht="15" hidden="false" customHeight="true" outlineLevel="0" collapsed="false">
      <c r="A700" s="11" t="n">
        <f aca="false">Raw_Data!A700</f>
        <v>1511</v>
      </c>
      <c r="B700" s="11" t="str">
        <f aca="false">PROPER(TRIM(Raw_Data!B700))</f>
        <v>Monsoon Skincare Push</v>
      </c>
      <c r="C700" s="11" t="str">
        <f aca="false">IFERROR(INDEX(Lookup_Tables!$B$2:$B$26,MATCH(UPPER(TRIM(Raw_Data!C700)),Lookup_Tables!$C$2:$C$26,0)),"Unknown")</f>
        <v>Email</v>
      </c>
      <c r="D700" s="12" t="n">
        <f aca="false">IFERROR(IF(ISNUMBER(SEARCH("/",Raw_Data!D700)),DATE(VALUE(RIGHT(Raw_Data!D700,4)),VALUE(MID(Raw_Data!D700,FIND("/",Raw_Data!D700)+1,FIND("/",Raw_Data!D700,FIND("/",Raw_Data!D700)+1)-FIND("/",Raw_Data!D700)-1)),VALUE(LEFT(Raw_Data!D700,FIND("/",Raw_Data!D700)-1))),IF(ISNUMBER(VALUE(LEFT(Raw_Data!D700,4))),DATE(VALUE(LEFT(Raw_Data!D700,4)),VALUE(MID(Raw_Data!D700,6,2)),VALUE(MID(Raw_Data!D700,9,2))),DATEVALUE(Raw_Data!D700))),"")</f>
        <v>45325</v>
      </c>
      <c r="E700" s="12" t="n">
        <f aca="false">IFERROR(IF(ISNUMBER(SEARCH("/",Raw_Data!E700)),DATE(VALUE(RIGHT(Raw_Data!E700,4)),VALUE(MID(Raw_Data!E700,FIND("/",Raw_Data!E700)+1,FIND("/",Raw_Data!E700,FIND("/",Raw_Data!E700)+1)-FIND("/",Raw_Data!E700)-1)),VALUE(LEFT(Raw_Data!E700,FIND("/",Raw_Data!E700)-1))),IF(ISNUMBER(VALUE(LEFT(Raw_Data!E700,4))),DATE(VALUE(LEFT(Raw_Data!E700,4)),VALUE(MID(Raw_Data!E700,6,2)),VALUE(MID(Raw_Data!E700,9,2))),DATEVALUE(Raw_Data!E700))),"")</f>
        <v>45340</v>
      </c>
      <c r="F700" s="11" t="str">
        <f aca="false">Raw_Data!F700</f>
        <v>Male 35-44</v>
      </c>
      <c r="G700" s="11" t="str">
        <f aca="false">IF(TRIM(Raw_Data!G700)="","Unspecified",IFERROR(INDEX(Lookup_Tables!$F$2:$F$24,MATCH(UPPER(TRIM(Raw_Data!G700)),Lookup_Tables!$G$2:$G$24,0)),"Unknown"))</f>
        <v>West</v>
      </c>
      <c r="H700" s="11" t="n">
        <f aca="false">IF(Raw_Data!H700="",ROUND(AVERAGEIFS(Raw_Data!$H$2:$H$839,Raw_Data!$C$2:$C$839,Raw_Data!C700),2),Raw_Data!H700)</f>
        <v>7975.07</v>
      </c>
      <c r="I700" s="11" t="n">
        <f aca="false">Raw_Data!I700</f>
        <v>216581</v>
      </c>
      <c r="J700" s="11" t="n">
        <f aca="false">IF(Raw_Data!J700&lt;0,ABS(Raw_Data!J700),Raw_Data!J700)</f>
        <v>5645</v>
      </c>
      <c r="K700" s="11" t="n">
        <f aca="false">Raw_Data!K700</f>
        <v>244</v>
      </c>
      <c r="L700" s="11" t="n">
        <f aca="false">IF(Raw_Data!L700="",ROUND(AVERAGEIFS(Raw_Data!$L$2:$L$839,Raw_Data!$C$2:$C$839,Raw_Data!C700),2),Raw_Data!L700)</f>
        <v>110861.2</v>
      </c>
      <c r="M700" s="13" t="n">
        <f aca="false">IFERROR(J700/I700,0)</f>
        <v>0.0260641515183696</v>
      </c>
      <c r="N700" s="14" t="n">
        <f aca="false">IFERROR(H700/J700,0)</f>
        <v>1.41276705048716</v>
      </c>
      <c r="O700" s="14" t="n">
        <f aca="false">IFERROR(H700/K700,0)</f>
        <v>32.6847131147541</v>
      </c>
      <c r="P700" s="15" t="n">
        <f aca="false">IFERROR(L700/H700,0)</f>
        <v>13.9009688943169</v>
      </c>
      <c r="Q700" s="13" t="n">
        <f aca="false">IFERROR(K700/J700,0)</f>
        <v>0.0432240921169176</v>
      </c>
      <c r="R700" s="11" t="str">
        <f aca="false">IF(COUNTIF($A$2:A700,A700)&gt;1,"Duplicate - Remove","Unique")</f>
        <v>Unique</v>
      </c>
      <c r="S700" s="11" t="str">
        <f aca="false">TRIM(IF(Raw_Data!G700="","Region missing; ","")&amp;IF(Raw_Data!H700="","Spend imputed; ","")&amp;IF(Raw_Data!L700="","Revenue imputed; ","")&amp;IF(Raw_Data!J700&lt;0,"Clicks corrected; ",""))</f>
        <v>Revenue imputed;</v>
      </c>
    </row>
    <row r="701" customFormat="false" ht="15" hidden="false" customHeight="true" outlineLevel="0" collapsed="false">
      <c r="A701" s="11" t="n">
        <f aca="false">Raw_Data!A701</f>
        <v>1486</v>
      </c>
      <c r="B701" s="11" t="str">
        <f aca="false">PROPER(TRIM(Raw_Data!B701))</f>
        <v>Clearance Sale Push</v>
      </c>
      <c r="C701" s="11" t="str">
        <f aca="false">IFERROR(INDEX(Lookup_Tables!$B$2:$B$26,MATCH(UPPER(TRIM(Raw_Data!C701)),Lookup_Tables!$C$2:$C$26,0)),"Unknown")</f>
        <v>Facebook</v>
      </c>
      <c r="D701" s="12" t="n">
        <f aca="false">IFERROR(IF(ISNUMBER(SEARCH("/",Raw_Data!D701)),DATE(VALUE(RIGHT(Raw_Data!D701,4)),VALUE(MID(Raw_Data!D701,FIND("/",Raw_Data!D701)+1,FIND("/",Raw_Data!D701,FIND("/",Raw_Data!D701)+1)-FIND("/",Raw_Data!D701)-1)),VALUE(LEFT(Raw_Data!D701,FIND("/",Raw_Data!D701)-1))),IF(ISNUMBER(VALUE(LEFT(Raw_Data!D701,4))),DATE(VALUE(LEFT(Raw_Data!D701,4)),VALUE(MID(Raw_Data!D701,6,2)),VALUE(MID(Raw_Data!D701,9,2))),DATEVALUE(Raw_Data!D701))),"")</f>
        <v>45479</v>
      </c>
      <c r="E701" s="12" t="n">
        <f aca="false">IFERROR(IF(ISNUMBER(SEARCH("/",Raw_Data!E701)),DATE(VALUE(RIGHT(Raw_Data!E701,4)),VALUE(MID(Raw_Data!E701,FIND("/",Raw_Data!E701)+1,FIND("/",Raw_Data!E701,FIND("/",Raw_Data!E701)+1)-FIND("/",Raw_Data!E701)-1)),VALUE(LEFT(Raw_Data!E701,FIND("/",Raw_Data!E701)-1))),IF(ISNUMBER(VALUE(LEFT(Raw_Data!E701,4))),DATE(VALUE(LEFT(Raw_Data!E701,4)),VALUE(MID(Raw_Data!E701,6,2)),VALUE(MID(Raw_Data!E701,9,2))),DATEVALUE(Raw_Data!E701))),"")</f>
        <v>45498</v>
      </c>
      <c r="F701" s="11" t="str">
        <f aca="false">Raw_Data!F701</f>
        <v>Male 35-44</v>
      </c>
      <c r="G701" s="11" t="str">
        <f aca="false">IF(TRIM(Raw_Data!G701)="","Unspecified",IFERROR(INDEX(Lookup_Tables!$F$2:$F$24,MATCH(UPPER(TRIM(Raw_Data!G701)),Lookup_Tables!$G$2:$G$24,0)),"Unknown"))</f>
        <v>West</v>
      </c>
      <c r="H701" s="11" t="n">
        <f aca="false">IF(Raw_Data!H701="",ROUND(AVERAGEIFS(Raw_Data!$H$2:$H$839,Raw_Data!$C$2:$C$839,Raw_Data!C701),2),Raw_Data!H701)</f>
        <v>37562.34</v>
      </c>
      <c r="I701" s="11" t="n">
        <f aca="false">Raw_Data!I701</f>
        <v>1418775</v>
      </c>
      <c r="J701" s="11" t="n">
        <f aca="false">IF(Raw_Data!J701&lt;0,ABS(Raw_Data!J701),Raw_Data!J701)</f>
        <v>9975</v>
      </c>
      <c r="K701" s="11" t="n">
        <f aca="false">Raw_Data!K701</f>
        <v>392</v>
      </c>
      <c r="L701" s="11" t="n">
        <f aca="false">IF(Raw_Data!L701="",ROUND(AVERAGEIFS(Raw_Data!$L$2:$L$839,Raw_Data!$C$2:$C$839,Raw_Data!C701),2),Raw_Data!L701)</f>
        <v>666569.29</v>
      </c>
      <c r="M701" s="13" t="n">
        <f aca="false">IFERROR(J701/I701,0)</f>
        <v>0.0070307131151874</v>
      </c>
      <c r="N701" s="14" t="n">
        <f aca="false">IFERROR(H701/J701,0)</f>
        <v>3.76564812030075</v>
      </c>
      <c r="O701" s="14" t="n">
        <f aca="false">IFERROR(H701/K701,0)</f>
        <v>95.8222959183673</v>
      </c>
      <c r="P701" s="15" t="n">
        <f aca="false">IFERROR(L701/H701,0)</f>
        <v>17.7456806471588</v>
      </c>
      <c r="Q701" s="13" t="n">
        <f aca="false">IFERROR(K701/J701,0)</f>
        <v>0.0392982456140351</v>
      </c>
      <c r="R701" s="11" t="str">
        <f aca="false">IF(COUNTIF($A$2:A701,A701)&gt;1,"Duplicate - Remove","Unique")</f>
        <v>Unique</v>
      </c>
      <c r="S701" s="11" t="str">
        <f aca="false">TRIM(IF(Raw_Data!G701="","Region missing; ","")&amp;IF(Raw_Data!H701="","Spend imputed; ","")&amp;IF(Raw_Data!L701="","Revenue imputed; ","")&amp;IF(Raw_Data!J701&lt;0,"Clicks corrected; ",""))</f>
        <v/>
      </c>
    </row>
    <row r="702" customFormat="false" ht="15" hidden="false" customHeight="true" outlineLevel="0" collapsed="false">
      <c r="A702" s="11" t="n">
        <f aca="false">Raw_Data!A702</f>
        <v>1561</v>
      </c>
      <c r="B702" s="11" t="str">
        <f aca="false">PROPER(TRIM(Raw_Data!B702))</f>
        <v>Clearance Sale Push</v>
      </c>
      <c r="C702" s="11" t="str">
        <f aca="false">IFERROR(INDEX(Lookup_Tables!$B$2:$B$26,MATCH(UPPER(TRIM(Raw_Data!C702)),Lookup_Tables!$C$2:$C$26,0)),"Unknown")</f>
        <v>Google Ads</v>
      </c>
      <c r="D702" s="12" t="n">
        <f aca="false">IFERROR(IF(ISNUMBER(SEARCH("/",Raw_Data!D702)),DATE(VALUE(RIGHT(Raw_Data!D702,4)),VALUE(MID(Raw_Data!D702,FIND("/",Raw_Data!D702)+1,FIND("/",Raw_Data!D702,FIND("/",Raw_Data!D702)+1)-FIND("/",Raw_Data!D702)-1)),VALUE(LEFT(Raw_Data!D702,FIND("/",Raw_Data!D702)-1))),IF(ISNUMBER(VALUE(LEFT(Raw_Data!D702,4))),DATE(VALUE(LEFT(Raw_Data!D702,4)),VALUE(MID(Raw_Data!D702,6,2)),VALUE(MID(Raw_Data!D702,9,2))),DATEVALUE(Raw_Data!D702))),"")</f>
        <v>45557</v>
      </c>
      <c r="E702" s="12" t="n">
        <f aca="false">IFERROR(IF(ISNUMBER(SEARCH("/",Raw_Data!E702)),DATE(VALUE(RIGHT(Raw_Data!E702,4)),VALUE(MID(Raw_Data!E702,FIND("/",Raw_Data!E702)+1,FIND("/",Raw_Data!E702,FIND("/",Raw_Data!E702)+1)-FIND("/",Raw_Data!E702)-1)),VALUE(LEFT(Raw_Data!E702,FIND("/",Raw_Data!E702)-1))),IF(ISNUMBER(VALUE(LEFT(Raw_Data!E702,4))),DATE(VALUE(LEFT(Raw_Data!E702,4)),VALUE(MID(Raw_Data!E702,6,2)),VALUE(MID(Raw_Data!E702,9,2))),DATEVALUE(Raw_Data!E702))),"")</f>
        <v>45581</v>
      </c>
      <c r="F702" s="11" t="str">
        <f aca="false">Raw_Data!F702</f>
        <v>Male 18-24</v>
      </c>
      <c r="G702" s="11" t="str">
        <f aca="false">IF(TRIM(Raw_Data!G702)="","Unspecified",IFERROR(INDEX(Lookup_Tables!$F$2:$F$24,MATCH(UPPER(TRIM(Raw_Data!G702)),Lookup_Tables!$G$2:$G$24,0)),"Unknown"))</f>
        <v>South</v>
      </c>
      <c r="H702" s="11" t="n">
        <f aca="false">IF(Raw_Data!H702="",ROUND(AVERAGEIFS(Raw_Data!$H$2:$H$839,Raw_Data!$C$2:$C$839,Raw_Data!C702),2),Raw_Data!H702)</f>
        <v>31856.75</v>
      </c>
      <c r="I702" s="11" t="n">
        <f aca="false">Raw_Data!I702</f>
        <v>970551</v>
      </c>
      <c r="J702" s="11" t="n">
        <f aca="false">IF(Raw_Data!J702&lt;0,ABS(Raw_Data!J702),Raw_Data!J702)</f>
        <v>20748</v>
      </c>
      <c r="K702" s="11" t="n">
        <f aca="false">Raw_Data!K702</f>
        <v>1502</v>
      </c>
      <c r="L702" s="11" t="n">
        <f aca="false">IF(Raw_Data!L702="",ROUND(AVERAGEIFS(Raw_Data!$L$2:$L$839,Raw_Data!$C$2:$C$839,Raw_Data!C702),2),Raw_Data!L702)</f>
        <v>1794920.25</v>
      </c>
      <c r="M702" s="13" t="n">
        <f aca="false">IFERROR(J702/I702,0)</f>
        <v>0.0213775473931818</v>
      </c>
      <c r="N702" s="14" t="n">
        <f aca="false">IFERROR(H702/J702,0)</f>
        <v>1.53541305186042</v>
      </c>
      <c r="O702" s="14" t="n">
        <f aca="false">IFERROR(H702/K702,0)</f>
        <v>21.2095539280959</v>
      </c>
      <c r="P702" s="15" t="n">
        <f aca="false">IFERROR(L702/H702,0)</f>
        <v>56.3434829353277</v>
      </c>
      <c r="Q702" s="13" t="n">
        <f aca="false">IFERROR(K702/J702,0)</f>
        <v>0.0723925197609408</v>
      </c>
      <c r="R702" s="11" t="str">
        <f aca="false">IF(COUNTIF($A$2:A702,A702)&gt;1,"Duplicate - Remove","Unique")</f>
        <v>Unique</v>
      </c>
      <c r="S702" s="11" t="str">
        <f aca="false">TRIM(IF(Raw_Data!G702="","Region missing; ","")&amp;IF(Raw_Data!H702="","Spend imputed; ","")&amp;IF(Raw_Data!L702="","Revenue imputed; ","")&amp;IF(Raw_Data!J702&lt;0,"Clicks corrected; ",""))</f>
        <v/>
      </c>
    </row>
    <row r="703" customFormat="false" ht="15" hidden="false" customHeight="true" outlineLevel="0" collapsed="false">
      <c r="A703" s="11" t="n">
        <f aca="false">Raw_Data!A703</f>
        <v>1182</v>
      </c>
      <c r="B703" s="11" t="str">
        <f aca="false">PROPER(TRIM(Raw_Data!B703))</f>
        <v>Wedding Season Special</v>
      </c>
      <c r="C703" s="11" t="str">
        <f aca="false">IFERROR(INDEX(Lookup_Tables!$B$2:$B$26,MATCH(UPPER(TRIM(Raw_Data!C703)),Lookup_Tables!$C$2:$C$26,0)),"Unknown")</f>
        <v>Instagram</v>
      </c>
      <c r="D703" s="12" t="n">
        <f aca="false">IFERROR(IF(ISNUMBER(SEARCH("/",Raw_Data!D703)),DATE(VALUE(RIGHT(Raw_Data!D703,4)),VALUE(MID(Raw_Data!D703,FIND("/",Raw_Data!D703)+1,FIND("/",Raw_Data!D703,FIND("/",Raw_Data!D703)+1)-FIND("/",Raw_Data!D703)-1)),VALUE(LEFT(Raw_Data!D703,FIND("/",Raw_Data!D703)-1))),IF(ISNUMBER(VALUE(LEFT(Raw_Data!D703,4))),DATE(VALUE(LEFT(Raw_Data!D703,4)),VALUE(MID(Raw_Data!D703,6,2)),VALUE(MID(Raw_Data!D703,9,2))),DATEVALUE(Raw_Data!D703))),"")</f>
        <v>45621</v>
      </c>
      <c r="E703" s="12" t="n">
        <f aca="false">IFERROR(IF(ISNUMBER(SEARCH("/",Raw_Data!E703)),DATE(VALUE(RIGHT(Raw_Data!E703,4)),VALUE(MID(Raw_Data!E703,FIND("/",Raw_Data!E703)+1,FIND("/",Raw_Data!E703,FIND("/",Raw_Data!E703)+1)-FIND("/",Raw_Data!E703)-1)),VALUE(LEFT(Raw_Data!E703,FIND("/",Raw_Data!E703)-1))),IF(ISNUMBER(VALUE(LEFT(Raw_Data!E703,4))),DATE(VALUE(LEFT(Raw_Data!E703,4)),VALUE(MID(Raw_Data!E703,6,2)),VALUE(MID(Raw_Data!E703,9,2))),DATEVALUE(Raw_Data!E703))),"")</f>
        <v>45634</v>
      </c>
      <c r="F703" s="11" t="str">
        <f aca="false">Raw_Data!F703</f>
        <v>Male 25-34</v>
      </c>
      <c r="G703" s="11" t="str">
        <f aca="false">IF(TRIM(Raw_Data!G703)="","Unspecified",IFERROR(INDEX(Lookup_Tables!$F$2:$F$24,MATCH(UPPER(TRIM(Raw_Data!G703)),Lookup_Tables!$G$2:$G$24,0)),"Unknown"))</f>
        <v>North</v>
      </c>
      <c r="H703" s="11" t="n">
        <f aca="false">IF(Raw_Data!H703="",ROUND(AVERAGEIFS(Raw_Data!$H$2:$H$839,Raw_Data!$C$2:$C$839,Raw_Data!C703),2),Raw_Data!H703)</f>
        <v>54565.11</v>
      </c>
      <c r="I703" s="11" t="n">
        <f aca="false">Raw_Data!I703</f>
        <v>1980148</v>
      </c>
      <c r="J703" s="11" t="n">
        <f aca="false">IF(Raw_Data!J703&lt;0,ABS(Raw_Data!J703),Raw_Data!J703)</f>
        <v>37167</v>
      </c>
      <c r="K703" s="11" t="n">
        <f aca="false">Raw_Data!K703</f>
        <v>939</v>
      </c>
      <c r="L703" s="11" t="n">
        <f aca="false">IF(Raw_Data!L703="",ROUND(AVERAGEIFS(Raw_Data!$L$2:$L$839,Raw_Data!$C$2:$C$839,Raw_Data!C703),2),Raw_Data!L703)</f>
        <v>740035.65</v>
      </c>
      <c r="M703" s="13" t="n">
        <f aca="false">IFERROR(J703/I703,0)</f>
        <v>0.0187698091253785</v>
      </c>
      <c r="N703" s="14" t="n">
        <f aca="false">IFERROR(H703/J703,0)</f>
        <v>1.4681063846961</v>
      </c>
      <c r="O703" s="14" t="n">
        <f aca="false">IFERROR(H703/K703,0)</f>
        <v>58.1098083067093</v>
      </c>
      <c r="P703" s="15" t="n">
        <f aca="false">IFERROR(L703/H703,0)</f>
        <v>13.5624330272586</v>
      </c>
      <c r="Q703" s="13" t="n">
        <f aca="false">IFERROR(K703/J703,0)</f>
        <v>0.025264347404956</v>
      </c>
      <c r="R703" s="11" t="str">
        <f aca="false">IF(COUNTIF($A$2:A703,A703)&gt;1,"Duplicate - Remove","Unique")</f>
        <v>Unique</v>
      </c>
      <c r="S703" s="11" t="str">
        <f aca="false">TRIM(IF(Raw_Data!G703="","Region missing; ","")&amp;IF(Raw_Data!H703="","Spend imputed; ","")&amp;IF(Raw_Data!L703="","Revenue imputed; ","")&amp;IF(Raw_Data!J703&lt;0,"Clicks corrected; ",""))</f>
        <v/>
      </c>
    </row>
    <row r="704" customFormat="false" ht="15" hidden="false" customHeight="true" outlineLevel="0" collapsed="false">
      <c r="A704" s="11" t="n">
        <f aca="false">Raw_Data!A704</f>
        <v>1660</v>
      </c>
      <c r="B704" s="11" t="str">
        <f aca="false">PROPER(TRIM(Raw_Data!B704))</f>
        <v>Herbal Range Awareness</v>
      </c>
      <c r="C704" s="11" t="str">
        <f aca="false">IFERROR(INDEX(Lookup_Tables!$B$2:$B$26,MATCH(UPPER(TRIM(Raw_Data!C704)),Lookup_Tables!$C$2:$C$26,0)),"Unknown")</f>
        <v>Facebook</v>
      </c>
      <c r="D704" s="12" t="n">
        <f aca="false">IFERROR(IF(ISNUMBER(SEARCH("/",Raw_Data!D704)),DATE(VALUE(RIGHT(Raw_Data!D704,4)),VALUE(MID(Raw_Data!D704,FIND("/",Raw_Data!D704)+1,FIND("/",Raw_Data!D704,FIND("/",Raw_Data!D704)+1)-FIND("/",Raw_Data!D704)-1)),VALUE(LEFT(Raw_Data!D704,FIND("/",Raw_Data!D704)-1))),IF(ISNUMBER(VALUE(LEFT(Raw_Data!D704,4))),DATE(VALUE(LEFT(Raw_Data!D704,4)),VALUE(MID(Raw_Data!D704,6,2)),VALUE(MID(Raw_Data!D704,9,2))),DATEVALUE(Raw_Data!D704))),"")</f>
        <v>45384</v>
      </c>
      <c r="E704" s="12" t="n">
        <f aca="false">IFERROR(IF(ISNUMBER(SEARCH("/",Raw_Data!E704)),DATE(VALUE(RIGHT(Raw_Data!E704,4)),VALUE(MID(Raw_Data!E704,FIND("/",Raw_Data!E704)+1,FIND("/",Raw_Data!E704,FIND("/",Raw_Data!E704)+1)-FIND("/",Raw_Data!E704)-1)),VALUE(LEFT(Raw_Data!E704,FIND("/",Raw_Data!E704)-1))),IF(ISNUMBER(VALUE(LEFT(Raw_Data!E704,4))),DATE(VALUE(LEFT(Raw_Data!E704,4)),VALUE(MID(Raw_Data!E704,6,2)),VALUE(MID(Raw_Data!E704,9,2))),DATEVALUE(Raw_Data!E704))),"")</f>
        <v>45400</v>
      </c>
      <c r="F704" s="11" t="str">
        <f aca="false">Raw_Data!F704</f>
        <v>Female 35-44</v>
      </c>
      <c r="G704" s="11" t="str">
        <f aca="false">IF(TRIM(Raw_Data!G704)="","Unspecified",IFERROR(INDEX(Lookup_Tables!$F$2:$F$24,MATCH(UPPER(TRIM(Raw_Data!G704)),Lookup_Tables!$G$2:$G$24,0)),"Unknown"))</f>
        <v>West</v>
      </c>
      <c r="H704" s="11" t="n">
        <f aca="false">IF(Raw_Data!H704="",ROUND(AVERAGEIFS(Raw_Data!$H$2:$H$839,Raw_Data!$C$2:$C$839,Raw_Data!C704),2),Raw_Data!H704)</f>
        <v>40608.5</v>
      </c>
      <c r="I704" s="11" t="n">
        <f aca="false">Raw_Data!I704</f>
        <v>639563</v>
      </c>
      <c r="J704" s="11" t="n">
        <f aca="false">IF(Raw_Data!J704&lt;0,ABS(Raw_Data!J704),Raw_Data!J704)</f>
        <v>7113</v>
      </c>
      <c r="K704" s="11" t="n">
        <f aca="false">Raw_Data!K704</f>
        <v>272</v>
      </c>
      <c r="L704" s="11" t="n">
        <f aca="false">IF(Raw_Data!L704="",ROUND(AVERAGEIFS(Raw_Data!$L$2:$L$839,Raw_Data!$C$2:$C$839,Raw_Data!C704),2),Raw_Data!L704)</f>
        <v>242383.82</v>
      </c>
      <c r="M704" s="13" t="n">
        <f aca="false">IFERROR(J704/I704,0)</f>
        <v>0.0111216565060831</v>
      </c>
      <c r="N704" s="14" t="n">
        <f aca="false">IFERROR(H704/J704,0)</f>
        <v>5.7090538450724</v>
      </c>
      <c r="O704" s="14" t="n">
        <f aca="false">IFERROR(H704/K704,0)</f>
        <v>149.295955882353</v>
      </c>
      <c r="P704" s="15" t="n">
        <f aca="false">IFERROR(L704/H704,0)</f>
        <v>5.96879520297475</v>
      </c>
      <c r="Q704" s="13" t="n">
        <f aca="false">IFERROR(K704/J704,0)</f>
        <v>0.0382398425418248</v>
      </c>
      <c r="R704" s="11" t="str">
        <f aca="false">IF(COUNTIF($A$2:A704,A704)&gt;1,"Duplicate - Remove","Unique")</f>
        <v>Unique</v>
      </c>
      <c r="S704" s="11" t="str">
        <f aca="false">TRIM(IF(Raw_Data!G704="","Region missing; ","")&amp;IF(Raw_Data!H704="","Spend imputed; ","")&amp;IF(Raw_Data!L704="","Revenue imputed; ","")&amp;IF(Raw_Data!J704&lt;0,"Clicks corrected; ",""))</f>
        <v/>
      </c>
    </row>
    <row r="705" customFormat="false" ht="15" hidden="false" customHeight="true" outlineLevel="0" collapsed="false">
      <c r="A705" s="11" t="n">
        <f aca="false">Raw_Data!A705</f>
        <v>1265</v>
      </c>
      <c r="B705" s="11" t="str">
        <f aca="false">PROPER(TRIM(Raw_Data!B705))</f>
        <v>New Year Wellness</v>
      </c>
      <c r="C705" s="11" t="str">
        <f aca="false">IFERROR(INDEX(Lookup_Tables!$B$2:$B$26,MATCH(UPPER(TRIM(Raw_Data!C705)),Lookup_Tables!$C$2:$C$26,0)),"Unknown")</f>
        <v>Email</v>
      </c>
      <c r="D705" s="12" t="n">
        <f aca="false">IFERROR(IF(ISNUMBER(SEARCH("/",Raw_Data!D705)),DATE(VALUE(RIGHT(Raw_Data!D705,4)),VALUE(MID(Raw_Data!D705,FIND("/",Raw_Data!D705)+1,FIND("/",Raw_Data!D705,FIND("/",Raw_Data!D705)+1)-FIND("/",Raw_Data!D705)-1)),VALUE(LEFT(Raw_Data!D705,FIND("/",Raw_Data!D705)-1))),IF(ISNUMBER(VALUE(LEFT(Raw_Data!D705,4))),DATE(VALUE(LEFT(Raw_Data!D705,4)),VALUE(MID(Raw_Data!D705,6,2)),VALUE(MID(Raw_Data!D705,9,2))),DATEVALUE(Raw_Data!D705))),"")</f>
        <v>45512</v>
      </c>
      <c r="E705" s="12" t="n">
        <f aca="false">IFERROR(IF(ISNUMBER(SEARCH("/",Raw_Data!E705)),DATE(VALUE(RIGHT(Raw_Data!E705,4)),VALUE(MID(Raw_Data!E705,FIND("/",Raw_Data!E705)+1,FIND("/",Raw_Data!E705,FIND("/",Raw_Data!E705)+1)-FIND("/",Raw_Data!E705)-1)),VALUE(LEFT(Raw_Data!E705,FIND("/",Raw_Data!E705)-1))),IF(ISNUMBER(VALUE(LEFT(Raw_Data!E705,4))),DATE(VALUE(LEFT(Raw_Data!E705,4)),VALUE(MID(Raw_Data!E705,6,2)),VALUE(MID(Raw_Data!E705,9,2))),DATEVALUE(Raw_Data!E705))),"")</f>
        <v>45527</v>
      </c>
      <c r="F705" s="11" t="str">
        <f aca="false">Raw_Data!F705</f>
        <v>Male 25-34</v>
      </c>
      <c r="G705" s="11" t="str">
        <f aca="false">IF(TRIM(Raw_Data!G705)="","Unspecified",IFERROR(INDEX(Lookup_Tables!$F$2:$F$24,MATCH(UPPER(TRIM(Raw_Data!G705)),Lookup_Tables!$G$2:$G$24,0)),"Unknown"))</f>
        <v>Central</v>
      </c>
      <c r="H705" s="11" t="n">
        <f aca="false">IF(Raw_Data!H705="",ROUND(AVERAGEIFS(Raw_Data!$H$2:$H$839,Raw_Data!$C$2:$C$839,Raw_Data!C705),2),Raw_Data!H705)</f>
        <v>7468.97</v>
      </c>
      <c r="I705" s="11" t="n">
        <f aca="false">Raw_Data!I705</f>
        <v>128764</v>
      </c>
      <c r="J705" s="11" t="n">
        <f aca="false">IF(Raw_Data!J705&lt;0,ABS(Raw_Data!J705),Raw_Data!J705)</f>
        <v>3238</v>
      </c>
      <c r="K705" s="11" t="n">
        <f aca="false">Raw_Data!K705</f>
        <v>128</v>
      </c>
      <c r="L705" s="11" t="n">
        <f aca="false">IF(Raw_Data!L705="",ROUND(AVERAGEIFS(Raw_Data!$L$2:$L$839,Raw_Data!$C$2:$C$839,Raw_Data!C705),2),Raw_Data!L705)</f>
        <v>109445.94</v>
      </c>
      <c r="M705" s="13" t="n">
        <f aca="false">IFERROR(J705/I705,0)</f>
        <v>0.0251467801559442</v>
      </c>
      <c r="N705" s="14" t="n">
        <f aca="false">IFERROR(H705/J705,0)</f>
        <v>2.30666151945646</v>
      </c>
      <c r="O705" s="14" t="n">
        <f aca="false">IFERROR(H705/K705,0)</f>
        <v>58.351328125</v>
      </c>
      <c r="P705" s="15" t="n">
        <f aca="false">IFERROR(L705/H705,0)</f>
        <v>14.6534180750492</v>
      </c>
      <c r="Q705" s="13" t="n">
        <f aca="false">IFERROR(K705/J705,0)</f>
        <v>0.0395305744286597</v>
      </c>
      <c r="R705" s="11" t="str">
        <f aca="false">IF(COUNTIF($A$2:A705,A705)&gt;1,"Duplicate - Remove","Unique")</f>
        <v>Unique</v>
      </c>
      <c r="S705" s="11" t="str">
        <f aca="false">TRIM(IF(Raw_Data!G705="","Region missing; ","")&amp;IF(Raw_Data!H705="","Spend imputed; ","")&amp;IF(Raw_Data!L705="","Revenue imputed; ","")&amp;IF(Raw_Data!J705&lt;0,"Clicks corrected; ",""))</f>
        <v/>
      </c>
    </row>
    <row r="706" customFormat="false" ht="15" hidden="false" customHeight="true" outlineLevel="0" collapsed="false">
      <c r="A706" s="11" t="n">
        <f aca="false">Raw_Data!A706</f>
        <v>1012</v>
      </c>
      <c r="B706" s="11" t="str">
        <f aca="false">PROPER(TRIM(Raw_Data!B706))</f>
        <v>Wedding Season Special</v>
      </c>
      <c r="C706" s="11" t="str">
        <f aca="false">IFERROR(INDEX(Lookup_Tables!$B$2:$B$26,MATCH(UPPER(TRIM(Raw_Data!C706)),Lookup_Tables!$C$2:$C$26,0)),"Unknown")</f>
        <v>Instagram</v>
      </c>
      <c r="D706" s="12" t="n">
        <f aca="false">IFERROR(IF(ISNUMBER(SEARCH("/",Raw_Data!D706)),DATE(VALUE(RIGHT(Raw_Data!D706,4)),VALUE(MID(Raw_Data!D706,FIND("/",Raw_Data!D706)+1,FIND("/",Raw_Data!D706,FIND("/",Raw_Data!D706)+1)-FIND("/",Raw_Data!D706)-1)),VALUE(LEFT(Raw_Data!D706,FIND("/",Raw_Data!D706)-1))),IF(ISNUMBER(VALUE(LEFT(Raw_Data!D706,4))),DATE(VALUE(LEFT(Raw_Data!D706,4)),VALUE(MID(Raw_Data!D706,6,2)),VALUE(MID(Raw_Data!D706,9,2))),DATEVALUE(Raw_Data!D706))),"")</f>
        <v>45322</v>
      </c>
      <c r="E706" s="12" t="n">
        <f aca="false">IFERROR(IF(ISNUMBER(SEARCH("/",Raw_Data!E706)),DATE(VALUE(RIGHT(Raw_Data!E706,4)),VALUE(MID(Raw_Data!E706,FIND("/",Raw_Data!E706)+1,FIND("/",Raw_Data!E706,FIND("/",Raw_Data!E706)+1)-FIND("/",Raw_Data!E706)-1)),VALUE(LEFT(Raw_Data!E706,FIND("/",Raw_Data!E706)-1))),IF(ISNUMBER(VALUE(LEFT(Raw_Data!E706,4))),DATE(VALUE(LEFT(Raw_Data!E706,4)),VALUE(MID(Raw_Data!E706,6,2)),VALUE(MID(Raw_Data!E706,9,2))),DATEVALUE(Raw_Data!E706))),"")</f>
        <v>45332</v>
      </c>
      <c r="F706" s="11" t="str">
        <f aca="false">Raw_Data!F706</f>
        <v>Female 45+</v>
      </c>
      <c r="G706" s="11" t="str">
        <f aca="false">IF(TRIM(Raw_Data!G706)="","Unspecified",IFERROR(INDEX(Lookup_Tables!$F$2:$F$24,MATCH(UPPER(TRIM(Raw_Data!G706)),Lookup_Tables!$G$2:$G$24,0)),"Unknown"))</f>
        <v>West</v>
      </c>
      <c r="H706" s="11" t="n">
        <f aca="false">IF(Raw_Data!H706="",ROUND(AVERAGEIFS(Raw_Data!$H$2:$H$839,Raw_Data!$C$2:$C$839,Raw_Data!C706),2),Raw_Data!H706)</f>
        <v>8112.08</v>
      </c>
      <c r="I706" s="11" t="n">
        <f aca="false">Raw_Data!I706</f>
        <v>200859</v>
      </c>
      <c r="J706" s="11" t="n">
        <f aca="false">IF(Raw_Data!J706&lt;0,ABS(Raw_Data!J706),Raw_Data!J706)</f>
        <v>6587</v>
      </c>
      <c r="K706" s="11" t="n">
        <f aca="false">Raw_Data!K706</f>
        <v>427</v>
      </c>
      <c r="L706" s="11" t="n">
        <f aca="false">IF(Raw_Data!L706="",ROUND(AVERAGEIFS(Raw_Data!$L$2:$L$839,Raw_Data!$C$2:$C$839,Raw_Data!C706),2),Raw_Data!L706)</f>
        <v>326062.06</v>
      </c>
      <c r="M706" s="13" t="n">
        <f aca="false">IFERROR(J706/I706,0)</f>
        <v>0.0327941491294888</v>
      </c>
      <c r="N706" s="14" t="n">
        <f aca="false">IFERROR(H706/J706,0)</f>
        <v>1.231528768787</v>
      </c>
      <c r="O706" s="14" t="n">
        <f aca="false">IFERROR(H706/K706,0)</f>
        <v>18.9978454332553</v>
      </c>
      <c r="P706" s="15" t="n">
        <f aca="false">IFERROR(L706/H706,0)</f>
        <v>40.1946307235629</v>
      </c>
      <c r="Q706" s="13" t="n">
        <f aca="false">IFERROR(K706/J706,0)</f>
        <v>0.0648246546227418</v>
      </c>
      <c r="R706" s="11" t="str">
        <f aca="false">IF(COUNTIF($A$2:A706,A706)&gt;1,"Duplicate - Remove","Unique")</f>
        <v>Duplicate - Remove</v>
      </c>
      <c r="S706" s="11" t="str">
        <f aca="false">TRIM(IF(Raw_Data!G706="","Region missing; ","")&amp;IF(Raw_Data!H706="","Spend imputed; ","")&amp;IF(Raw_Data!L706="","Revenue imputed; ","")&amp;IF(Raw_Data!J706&lt;0,"Clicks corrected; ",""))</f>
        <v/>
      </c>
    </row>
    <row r="707" customFormat="false" ht="15" hidden="false" customHeight="true" outlineLevel="0" collapsed="false">
      <c r="A707" s="11" t="n">
        <f aca="false">Raw_Data!A707</f>
        <v>1773</v>
      </c>
      <c r="B707" s="11" t="str">
        <f aca="false">PROPER(TRIM(Raw_Data!B707))</f>
        <v>Ayurvedic Range Launch</v>
      </c>
      <c r="C707" s="11" t="str">
        <f aca="false">IFERROR(INDEX(Lookup_Tables!$B$2:$B$26,MATCH(UPPER(TRIM(Raw_Data!C707)),Lookup_Tables!$C$2:$C$26,0)),"Unknown")</f>
        <v>YouTube</v>
      </c>
      <c r="D707" s="12" t="n">
        <f aca="false">IFERROR(IF(ISNUMBER(SEARCH("/",Raw_Data!D707)),DATE(VALUE(RIGHT(Raw_Data!D707,4)),VALUE(MID(Raw_Data!D707,FIND("/",Raw_Data!D707)+1,FIND("/",Raw_Data!D707,FIND("/",Raw_Data!D707)+1)-FIND("/",Raw_Data!D707)-1)),VALUE(LEFT(Raw_Data!D707,FIND("/",Raw_Data!D707)-1))),IF(ISNUMBER(VALUE(LEFT(Raw_Data!D707,4))),DATE(VALUE(LEFT(Raw_Data!D707,4)),VALUE(MID(Raw_Data!D707,6,2)),VALUE(MID(Raw_Data!D707,9,2))),DATEVALUE(Raw_Data!D707))),"")</f>
        <v>45421</v>
      </c>
      <c r="E707" s="12" t="n">
        <f aca="false">IFERROR(IF(ISNUMBER(SEARCH("/",Raw_Data!E707)),DATE(VALUE(RIGHT(Raw_Data!E707,4)),VALUE(MID(Raw_Data!E707,FIND("/",Raw_Data!E707)+1,FIND("/",Raw_Data!E707,FIND("/",Raw_Data!E707)+1)-FIND("/",Raw_Data!E707)-1)),VALUE(LEFT(Raw_Data!E707,FIND("/",Raw_Data!E707)-1))),IF(ISNUMBER(VALUE(LEFT(Raw_Data!E707,4))),DATE(VALUE(LEFT(Raw_Data!E707,4)),VALUE(MID(Raw_Data!E707,6,2)),VALUE(MID(Raw_Data!E707,9,2))),DATEVALUE(Raw_Data!E707))),"")</f>
        <v>45441</v>
      </c>
      <c r="F707" s="11" t="str">
        <f aca="false">Raw_Data!F707</f>
        <v>Male 45+</v>
      </c>
      <c r="G707" s="11" t="str">
        <f aca="false">IF(TRIM(Raw_Data!G707)="","Unspecified",IFERROR(INDEX(Lookup_Tables!$F$2:$F$24,MATCH(UPPER(TRIM(Raw_Data!G707)),Lookup_Tables!$G$2:$G$24,0)),"Unknown"))</f>
        <v>South</v>
      </c>
      <c r="H707" s="11" t="n">
        <f aca="false">IF(Raw_Data!H707="",ROUND(AVERAGEIFS(Raw_Data!$H$2:$H$839,Raw_Data!$C$2:$C$839,Raw_Data!C707),2),Raw_Data!H707)</f>
        <v>49976.18</v>
      </c>
      <c r="I707" s="11" t="n">
        <f aca="false">Raw_Data!I707</f>
        <v>1330871</v>
      </c>
      <c r="J707" s="11" t="n">
        <f aca="false">IF(Raw_Data!J707&lt;0,ABS(Raw_Data!J707),Raw_Data!J707)</f>
        <v>41884</v>
      </c>
      <c r="K707" s="11" t="n">
        <f aca="false">Raw_Data!K707</f>
        <v>1777</v>
      </c>
      <c r="L707" s="11" t="n">
        <f aca="false">IF(Raw_Data!L707="",ROUND(AVERAGEIFS(Raw_Data!$L$2:$L$839,Raw_Data!$C$2:$C$839,Raw_Data!C707),2),Raw_Data!L707)</f>
        <v>1693321.14</v>
      </c>
      <c r="M707" s="13" t="n">
        <f aca="false">IFERROR(J707/I707,0)</f>
        <v>0.031471119289548</v>
      </c>
      <c r="N707" s="14" t="n">
        <f aca="false">IFERROR(H707/J707,0)</f>
        <v>1.19320456498902</v>
      </c>
      <c r="O707" s="14" t="n">
        <f aca="false">IFERROR(H707/K707,0)</f>
        <v>28.1239054586382</v>
      </c>
      <c r="P707" s="15" t="n">
        <f aca="false">IFERROR(L707/H707,0)</f>
        <v>33.8825644537057</v>
      </c>
      <c r="Q707" s="13" t="n">
        <f aca="false">IFERROR(K707/J707,0)</f>
        <v>0.0424267023206953</v>
      </c>
      <c r="R707" s="11" t="str">
        <f aca="false">IF(COUNTIF($A$2:A707,A707)&gt;1,"Duplicate - Remove","Unique")</f>
        <v>Unique</v>
      </c>
      <c r="S707" s="11" t="str">
        <f aca="false">TRIM(IF(Raw_Data!G707="","Region missing; ","")&amp;IF(Raw_Data!H707="","Spend imputed; ","")&amp;IF(Raw_Data!L707="","Revenue imputed; ","")&amp;IF(Raw_Data!J707&lt;0,"Clicks corrected; ",""))</f>
        <v/>
      </c>
    </row>
    <row r="708" customFormat="false" ht="15" hidden="false" customHeight="true" outlineLevel="0" collapsed="false">
      <c r="A708" s="11" t="n">
        <f aca="false">Raw_Data!A708</f>
        <v>1006</v>
      </c>
      <c r="B708" s="11" t="str">
        <f aca="false">PROPER(TRIM(Raw_Data!B708))</f>
        <v>Monsoon Skincare Push</v>
      </c>
      <c r="C708" s="11" t="str">
        <f aca="false">IFERROR(INDEX(Lookup_Tables!$B$2:$B$26,MATCH(UPPER(TRIM(Raw_Data!C708)),Lookup_Tables!$C$2:$C$26,0)),"Unknown")</f>
        <v>Email</v>
      </c>
      <c r="D708" s="12" t="n">
        <f aca="false">IFERROR(IF(ISNUMBER(SEARCH("/",Raw_Data!D708)),DATE(VALUE(RIGHT(Raw_Data!D708,4)),VALUE(MID(Raw_Data!D708,FIND("/",Raw_Data!D708)+1,FIND("/",Raw_Data!D708,FIND("/",Raw_Data!D708)+1)-FIND("/",Raw_Data!D708)-1)),VALUE(LEFT(Raw_Data!D708,FIND("/",Raw_Data!D708)-1))),IF(ISNUMBER(VALUE(LEFT(Raw_Data!D708,4))),DATE(VALUE(LEFT(Raw_Data!D708,4)),VALUE(MID(Raw_Data!D708,6,2)),VALUE(MID(Raw_Data!D708,9,2))),DATEVALUE(Raw_Data!D708))),"")</f>
        <v>45350</v>
      </c>
      <c r="E708" s="12" t="n">
        <f aca="false">IFERROR(IF(ISNUMBER(SEARCH("/",Raw_Data!E708)),DATE(VALUE(RIGHT(Raw_Data!E708,4)),VALUE(MID(Raw_Data!E708,FIND("/",Raw_Data!E708)+1,FIND("/",Raw_Data!E708,FIND("/",Raw_Data!E708)+1)-FIND("/",Raw_Data!E708)-1)),VALUE(LEFT(Raw_Data!E708,FIND("/",Raw_Data!E708)-1))),IF(ISNUMBER(VALUE(LEFT(Raw_Data!E708,4))),DATE(VALUE(LEFT(Raw_Data!E708,4)),VALUE(MID(Raw_Data!E708,6,2)),VALUE(MID(Raw_Data!E708,9,2))),DATEVALUE(Raw_Data!E708))),"")</f>
        <v>45376</v>
      </c>
      <c r="F708" s="11" t="str">
        <f aca="false">Raw_Data!F708</f>
        <v>Female 18-24</v>
      </c>
      <c r="G708" s="11" t="str">
        <f aca="false">IF(TRIM(Raw_Data!G708)="","Unspecified",IFERROR(INDEX(Lookup_Tables!$F$2:$F$24,MATCH(UPPER(TRIM(Raw_Data!G708)),Lookup_Tables!$G$2:$G$24,0)),"Unknown"))</f>
        <v>West</v>
      </c>
      <c r="H708" s="11" t="n">
        <f aca="false">IF(Raw_Data!H708="",ROUND(AVERAGEIFS(Raw_Data!$H$2:$H$839,Raw_Data!$C$2:$C$839,Raw_Data!C708),2),Raw_Data!H708)</f>
        <v>6256.14</v>
      </c>
      <c r="I708" s="11" t="n">
        <f aca="false">Raw_Data!I708</f>
        <v>214053</v>
      </c>
      <c r="J708" s="11" t="n">
        <f aca="false">IF(Raw_Data!J708&lt;0,ABS(Raw_Data!J708),Raw_Data!J708)</f>
        <v>3254</v>
      </c>
      <c r="K708" s="11" t="n">
        <f aca="false">Raw_Data!K708</f>
        <v>99</v>
      </c>
      <c r="L708" s="11" t="n">
        <f aca="false">IF(Raw_Data!L708="",ROUND(AVERAGEIFS(Raw_Data!$L$2:$L$839,Raw_Data!$C$2:$C$839,Raw_Data!C708),2),Raw_Data!L708)</f>
        <v>113910</v>
      </c>
      <c r="M708" s="13" t="n">
        <f aca="false">IFERROR(J708/I708,0)</f>
        <v>0.0152018425343256</v>
      </c>
      <c r="N708" s="14" t="n">
        <f aca="false">IFERROR(H708/J708,0)</f>
        <v>1.92259987707437</v>
      </c>
      <c r="O708" s="14" t="n">
        <f aca="false">IFERROR(H708/K708,0)</f>
        <v>63.1933333333333</v>
      </c>
      <c r="P708" s="15" t="n">
        <f aca="false">IFERROR(L708/H708,0)</f>
        <v>18.2077127430013</v>
      </c>
      <c r="Q708" s="13" t="n">
        <f aca="false">IFERROR(K708/J708,0)</f>
        <v>0.0304240934234788</v>
      </c>
      <c r="R708" s="11" t="str">
        <f aca="false">IF(COUNTIF($A$2:A708,A708)&gt;1,"Duplicate - Remove","Unique")</f>
        <v>Unique</v>
      </c>
      <c r="S708" s="11" t="str">
        <f aca="false">TRIM(IF(Raw_Data!G708="","Region missing; ","")&amp;IF(Raw_Data!H708="","Spend imputed; ","")&amp;IF(Raw_Data!L708="","Revenue imputed; ","")&amp;IF(Raw_Data!J708&lt;0,"Clicks corrected; ",""))</f>
        <v>Revenue imputed;</v>
      </c>
    </row>
    <row r="709" customFormat="false" ht="15" hidden="false" customHeight="true" outlineLevel="0" collapsed="false">
      <c r="A709" s="11" t="n">
        <f aca="false">Raw_Data!A709</f>
        <v>1711</v>
      </c>
      <c r="B709" s="11" t="str">
        <f aca="false">PROPER(TRIM(Raw_Data!B709))</f>
        <v>Ayurvedic Range Launch</v>
      </c>
      <c r="C709" s="11" t="str">
        <f aca="false">IFERROR(INDEX(Lookup_Tables!$B$2:$B$26,MATCH(UPPER(TRIM(Raw_Data!C709)),Lookup_Tables!$C$2:$C$26,0)),"Unknown")</f>
        <v>Facebook</v>
      </c>
      <c r="D709" s="12" t="n">
        <f aca="false">IFERROR(IF(ISNUMBER(SEARCH("/",Raw_Data!D709)),DATE(VALUE(RIGHT(Raw_Data!D709,4)),VALUE(MID(Raw_Data!D709,FIND("/",Raw_Data!D709)+1,FIND("/",Raw_Data!D709,FIND("/",Raw_Data!D709)+1)-FIND("/",Raw_Data!D709)-1)),VALUE(LEFT(Raw_Data!D709,FIND("/",Raw_Data!D709)-1))),IF(ISNUMBER(VALUE(LEFT(Raw_Data!D709,4))),DATE(VALUE(LEFT(Raw_Data!D709,4)),VALUE(MID(Raw_Data!D709,6,2)),VALUE(MID(Raw_Data!D709,9,2))),DATEVALUE(Raw_Data!D709))),"")</f>
        <v>45526</v>
      </c>
      <c r="E709" s="12" t="n">
        <f aca="false">IFERROR(IF(ISNUMBER(SEARCH("/",Raw_Data!E709)),DATE(VALUE(RIGHT(Raw_Data!E709,4)),VALUE(MID(Raw_Data!E709,FIND("/",Raw_Data!E709)+1,FIND("/",Raw_Data!E709,FIND("/",Raw_Data!E709)+1)-FIND("/",Raw_Data!E709)-1)),VALUE(LEFT(Raw_Data!E709,FIND("/",Raw_Data!E709)-1))),IF(ISNUMBER(VALUE(LEFT(Raw_Data!E709,4))),DATE(VALUE(LEFT(Raw_Data!E709,4)),VALUE(MID(Raw_Data!E709,6,2)),VALUE(MID(Raw_Data!E709,9,2))),DATEVALUE(Raw_Data!E709))),"")</f>
        <v>45552</v>
      </c>
      <c r="F709" s="11" t="str">
        <f aca="false">Raw_Data!F709</f>
        <v>Male 25-34</v>
      </c>
      <c r="G709" s="11" t="str">
        <f aca="false">IF(TRIM(Raw_Data!G709)="","Unspecified",IFERROR(INDEX(Lookup_Tables!$F$2:$F$24,MATCH(UPPER(TRIM(Raw_Data!G709)),Lookup_Tables!$G$2:$G$24,0)),"Unknown"))</f>
        <v>West</v>
      </c>
      <c r="H709" s="11" t="n">
        <f aca="false">IF(Raw_Data!H709="",ROUND(AVERAGEIFS(Raw_Data!$H$2:$H$839,Raw_Data!$C$2:$C$839,Raw_Data!C709),2),Raw_Data!H709)</f>
        <v>20648.43</v>
      </c>
      <c r="I709" s="11" t="n">
        <f aca="false">Raw_Data!I709</f>
        <v>325921</v>
      </c>
      <c r="J709" s="11" t="n">
        <f aca="false">IF(Raw_Data!J709&lt;0,ABS(Raw_Data!J709),Raw_Data!J709)</f>
        <v>10156</v>
      </c>
      <c r="K709" s="11" t="n">
        <f aca="false">Raw_Data!K709</f>
        <v>760</v>
      </c>
      <c r="L709" s="11" t="n">
        <f aca="false">IF(Raw_Data!L709="",ROUND(AVERAGEIFS(Raw_Data!$L$2:$L$839,Raw_Data!$C$2:$C$839,Raw_Data!C709),2),Raw_Data!L709)</f>
        <v>277767.02</v>
      </c>
      <c r="M709" s="13" t="n">
        <f aca="false">IFERROR(J709/I709,0)</f>
        <v>0.0311609255003513</v>
      </c>
      <c r="N709" s="14" t="n">
        <f aca="false">IFERROR(H709/J709,0)</f>
        <v>2.03312623079953</v>
      </c>
      <c r="O709" s="14" t="n">
        <f aca="false">IFERROR(H709/K709,0)</f>
        <v>27.1689868421053</v>
      </c>
      <c r="P709" s="15" t="n">
        <f aca="false">IFERROR(L709/H709,0)</f>
        <v>13.452210168037</v>
      </c>
      <c r="Q709" s="13" t="n">
        <f aca="false">IFERROR(K709/J709,0)</f>
        <v>0.0748326112642773</v>
      </c>
      <c r="R709" s="11" t="str">
        <f aca="false">IF(COUNTIF($A$2:A709,A709)&gt;1,"Duplicate - Remove","Unique")</f>
        <v>Unique</v>
      </c>
      <c r="S709" s="11" t="str">
        <f aca="false">TRIM(IF(Raw_Data!G709="","Region missing; ","")&amp;IF(Raw_Data!H709="","Spend imputed; ","")&amp;IF(Raw_Data!L709="","Revenue imputed; ","")&amp;IF(Raw_Data!J709&lt;0,"Clicks corrected; ",""))</f>
        <v/>
      </c>
    </row>
    <row r="710" customFormat="false" ht="15" hidden="false" customHeight="true" outlineLevel="0" collapsed="false">
      <c r="A710" s="11" t="n">
        <f aca="false">Raw_Data!A710</f>
        <v>1570</v>
      </c>
      <c r="B710" s="11" t="str">
        <f aca="false">PROPER(TRIM(Raw_Data!B710))</f>
        <v>Clearance Sale Push</v>
      </c>
      <c r="C710" s="11" t="str">
        <f aca="false">IFERROR(INDEX(Lookup_Tables!$B$2:$B$26,MATCH(UPPER(TRIM(Raw_Data!C710)),Lookup_Tables!$C$2:$C$26,0)),"Unknown")</f>
        <v>Instagram</v>
      </c>
      <c r="D710" s="12" t="n">
        <f aca="false">IFERROR(IF(ISNUMBER(SEARCH("/",Raw_Data!D710)),DATE(VALUE(RIGHT(Raw_Data!D710,4)),VALUE(MID(Raw_Data!D710,FIND("/",Raw_Data!D710)+1,FIND("/",Raw_Data!D710,FIND("/",Raw_Data!D710)+1)-FIND("/",Raw_Data!D710)-1)),VALUE(LEFT(Raw_Data!D710,FIND("/",Raw_Data!D710)-1))),IF(ISNUMBER(VALUE(LEFT(Raw_Data!D710,4))),DATE(VALUE(LEFT(Raw_Data!D710,4)),VALUE(MID(Raw_Data!D710,6,2)),VALUE(MID(Raw_Data!D710,9,2))),DATEVALUE(Raw_Data!D710))),"")</f>
        <v>45439</v>
      </c>
      <c r="E710" s="12" t="n">
        <f aca="false">IFERROR(IF(ISNUMBER(SEARCH("/",Raw_Data!E710)),DATE(VALUE(RIGHT(Raw_Data!E710,4)),VALUE(MID(Raw_Data!E710,FIND("/",Raw_Data!E710)+1,FIND("/",Raw_Data!E710,FIND("/",Raw_Data!E710)+1)-FIND("/",Raw_Data!E710)-1)),VALUE(LEFT(Raw_Data!E710,FIND("/",Raw_Data!E710)-1))),IF(ISNUMBER(VALUE(LEFT(Raw_Data!E710,4))),DATE(VALUE(LEFT(Raw_Data!E710,4)),VALUE(MID(Raw_Data!E710,6,2)),VALUE(MID(Raw_Data!E710,9,2))),DATEVALUE(Raw_Data!E710))),"")</f>
        <v>45461</v>
      </c>
      <c r="F710" s="11" t="str">
        <f aca="false">Raw_Data!F710</f>
        <v>Female 45+</v>
      </c>
      <c r="G710" s="11" t="str">
        <f aca="false">IF(TRIM(Raw_Data!G710)="","Unspecified",IFERROR(INDEX(Lookup_Tables!$F$2:$F$24,MATCH(UPPER(TRIM(Raw_Data!G710)),Lookup_Tables!$G$2:$G$24,0)),"Unknown"))</f>
        <v>West</v>
      </c>
      <c r="H710" s="11" t="n">
        <f aca="false">IF(Raw_Data!H710="",ROUND(AVERAGEIFS(Raw_Data!$H$2:$H$839,Raw_Data!$C$2:$C$839,Raw_Data!C710),2),Raw_Data!H710)</f>
        <v>30039.42</v>
      </c>
      <c r="I710" s="11" t="n">
        <f aca="false">Raw_Data!I710</f>
        <v>990715</v>
      </c>
      <c r="J710" s="11" t="n">
        <f aca="false">IF(Raw_Data!J710&lt;0,ABS(Raw_Data!J710),Raw_Data!J710)</f>
        <v>27809</v>
      </c>
      <c r="K710" s="11" t="n">
        <f aca="false">Raw_Data!K710</f>
        <v>784</v>
      </c>
      <c r="L710" s="11" t="n">
        <f aca="false">IF(Raw_Data!L710="",ROUND(AVERAGEIFS(Raw_Data!$L$2:$L$839,Raw_Data!$C$2:$C$839,Raw_Data!C710),2),Raw_Data!L710)</f>
        <v>1366074.73</v>
      </c>
      <c r="M710" s="13" t="n">
        <f aca="false">IFERROR(J710/I710,0)</f>
        <v>0.0280696264818843</v>
      </c>
      <c r="N710" s="14" t="n">
        <f aca="false">IFERROR(H710/J710,0)</f>
        <v>1.08020496961415</v>
      </c>
      <c r="O710" s="14" t="n">
        <f aca="false">IFERROR(H710/K710,0)</f>
        <v>38.3155867346939</v>
      </c>
      <c r="P710" s="15" t="n">
        <f aca="false">IFERROR(L710/H710,0)</f>
        <v>45.4760687789578</v>
      </c>
      <c r="Q710" s="13" t="n">
        <f aca="false">IFERROR(K710/J710,0)</f>
        <v>0.0281923118414902</v>
      </c>
      <c r="R710" s="11" t="str">
        <f aca="false">IF(COUNTIF($A$2:A710,A710)&gt;1,"Duplicate - Remove","Unique")</f>
        <v>Unique</v>
      </c>
      <c r="S710" s="11" t="str">
        <f aca="false">TRIM(IF(Raw_Data!G710="","Region missing; ","")&amp;IF(Raw_Data!H710="","Spend imputed; ","")&amp;IF(Raw_Data!L710="","Revenue imputed; ","")&amp;IF(Raw_Data!J710&lt;0,"Clicks corrected; ",""))</f>
        <v/>
      </c>
    </row>
    <row r="711" customFormat="false" ht="15" hidden="false" customHeight="true" outlineLevel="0" collapsed="false">
      <c r="A711" s="11" t="n">
        <f aca="false">Raw_Data!A711</f>
        <v>1128</v>
      </c>
      <c r="B711" s="11" t="str">
        <f aca="false">PROPER(TRIM(Raw_Data!B711))</f>
        <v>Sunscreen Season Campaign</v>
      </c>
      <c r="C711" s="11" t="str">
        <f aca="false">IFERROR(INDEX(Lookup_Tables!$B$2:$B$26,MATCH(UPPER(TRIM(Raw_Data!C711)),Lookup_Tables!$C$2:$C$26,0)),"Unknown")</f>
        <v>YouTube</v>
      </c>
      <c r="D711" s="12" t="n">
        <f aca="false">IFERROR(IF(ISNUMBER(SEARCH("/",Raw_Data!D711)),DATE(VALUE(RIGHT(Raw_Data!D711,4)),VALUE(MID(Raw_Data!D711,FIND("/",Raw_Data!D711)+1,FIND("/",Raw_Data!D711,FIND("/",Raw_Data!D711)+1)-FIND("/",Raw_Data!D711)-1)),VALUE(LEFT(Raw_Data!D711,FIND("/",Raw_Data!D711)-1))),IF(ISNUMBER(VALUE(LEFT(Raw_Data!D711,4))),DATE(VALUE(LEFT(Raw_Data!D711,4)),VALUE(MID(Raw_Data!D711,6,2)),VALUE(MID(Raw_Data!D711,9,2))),DATEVALUE(Raw_Data!D711))),"")</f>
        <v>45460</v>
      </c>
      <c r="E711" s="12" t="n">
        <f aca="false">IFERROR(IF(ISNUMBER(SEARCH("/",Raw_Data!E711)),DATE(VALUE(RIGHT(Raw_Data!E711,4)),VALUE(MID(Raw_Data!E711,FIND("/",Raw_Data!E711)+1,FIND("/",Raw_Data!E711,FIND("/",Raw_Data!E711)+1)-FIND("/",Raw_Data!E711)-1)),VALUE(LEFT(Raw_Data!E711,FIND("/",Raw_Data!E711)-1))),IF(ISNUMBER(VALUE(LEFT(Raw_Data!E711,4))),DATE(VALUE(LEFT(Raw_Data!E711,4)),VALUE(MID(Raw_Data!E711,6,2)),VALUE(MID(Raw_Data!E711,9,2))),DATEVALUE(Raw_Data!E711))),"")</f>
        <v>45479</v>
      </c>
      <c r="F711" s="11" t="str">
        <f aca="false">Raw_Data!F711</f>
        <v>Female 45+</v>
      </c>
      <c r="G711" s="11" t="str">
        <f aca="false">IF(TRIM(Raw_Data!G711)="","Unspecified",IFERROR(INDEX(Lookup_Tables!$F$2:$F$24,MATCH(UPPER(TRIM(Raw_Data!G711)),Lookup_Tables!$G$2:$G$24,0)),"Unknown"))</f>
        <v>West</v>
      </c>
      <c r="H711" s="11" t="n">
        <f aca="false">IF(Raw_Data!H711="",ROUND(AVERAGEIFS(Raw_Data!$H$2:$H$839,Raw_Data!$C$2:$C$839,Raw_Data!C711),2),Raw_Data!H711)</f>
        <v>47296.22</v>
      </c>
      <c r="I711" s="11" t="n">
        <f aca="false">Raw_Data!I711</f>
        <v>1683195</v>
      </c>
      <c r="J711" s="11" t="n">
        <f aca="false">IF(Raw_Data!J711&lt;0,ABS(Raw_Data!J711),Raw_Data!J711)</f>
        <v>41290</v>
      </c>
      <c r="K711" s="11" t="n">
        <f aca="false">Raw_Data!K711</f>
        <v>2130</v>
      </c>
      <c r="L711" s="11" t="n">
        <f aca="false">IF(Raw_Data!L711="",ROUND(AVERAGEIFS(Raw_Data!$L$2:$L$839,Raw_Data!$C$2:$C$839,Raw_Data!C711),2),Raw_Data!L711)</f>
        <v>1673394.38</v>
      </c>
      <c r="M711" s="13" t="n">
        <f aca="false">IFERROR(J711/I711,0)</f>
        <v>0.0245307287628587</v>
      </c>
      <c r="N711" s="14" t="n">
        <f aca="false">IFERROR(H711/J711,0)</f>
        <v>1.14546427706466</v>
      </c>
      <c r="O711" s="14" t="n">
        <f aca="false">IFERROR(H711/K711,0)</f>
        <v>22.2047981220657</v>
      </c>
      <c r="P711" s="15" t="n">
        <f aca="false">IFERROR(L711/H711,0)</f>
        <v>35.3811442013759</v>
      </c>
      <c r="Q711" s="13" t="n">
        <f aca="false">IFERROR(K711/J711,0)</f>
        <v>0.0515863405182853</v>
      </c>
      <c r="R711" s="11" t="str">
        <f aca="false">IF(COUNTIF($A$2:A711,A711)&gt;1,"Duplicate - Remove","Unique")</f>
        <v>Unique</v>
      </c>
      <c r="S711" s="11" t="str">
        <f aca="false">TRIM(IF(Raw_Data!G711="","Region missing; ","")&amp;IF(Raw_Data!H711="","Spend imputed; ","")&amp;IF(Raw_Data!L711="","Revenue imputed; ","")&amp;IF(Raw_Data!J711&lt;0,"Clicks corrected; ",""))</f>
        <v/>
      </c>
    </row>
    <row r="712" customFormat="false" ht="15" hidden="false" customHeight="true" outlineLevel="0" collapsed="false">
      <c r="A712" s="11" t="n">
        <f aca="false">Raw_Data!A712</f>
        <v>1542</v>
      </c>
      <c r="B712" s="11" t="str">
        <f aca="false">PROPER(TRIM(Raw_Data!B712))</f>
        <v>Monsoon Skincare Push</v>
      </c>
      <c r="C712" s="11" t="str">
        <f aca="false">IFERROR(INDEX(Lookup_Tables!$B$2:$B$26,MATCH(UPPER(TRIM(Raw_Data!C712)),Lookup_Tables!$C$2:$C$26,0)),"Unknown")</f>
        <v>Facebook</v>
      </c>
      <c r="D712" s="12" t="n">
        <f aca="false">IFERROR(IF(ISNUMBER(SEARCH("/",Raw_Data!D712)),DATE(VALUE(RIGHT(Raw_Data!D712,4)),VALUE(MID(Raw_Data!D712,FIND("/",Raw_Data!D712)+1,FIND("/",Raw_Data!D712,FIND("/",Raw_Data!D712)+1)-FIND("/",Raw_Data!D712)-1)),VALUE(LEFT(Raw_Data!D712,FIND("/",Raw_Data!D712)-1))),IF(ISNUMBER(VALUE(LEFT(Raw_Data!D712,4))),DATE(VALUE(LEFT(Raw_Data!D712,4)),VALUE(MID(Raw_Data!D712,6,2)),VALUE(MID(Raw_Data!D712,9,2))),DATEVALUE(Raw_Data!D712))),"")</f>
        <v>45541</v>
      </c>
      <c r="E712" s="12" t="n">
        <f aca="false">IFERROR(IF(ISNUMBER(SEARCH("/",Raw_Data!E712)),DATE(VALUE(RIGHT(Raw_Data!E712,4)),VALUE(MID(Raw_Data!E712,FIND("/",Raw_Data!E712)+1,FIND("/",Raw_Data!E712,FIND("/",Raw_Data!E712)+1)-FIND("/",Raw_Data!E712)-1)),VALUE(LEFT(Raw_Data!E712,FIND("/",Raw_Data!E712)-1))),IF(ISNUMBER(VALUE(LEFT(Raw_Data!E712,4))),DATE(VALUE(LEFT(Raw_Data!E712,4)),VALUE(MID(Raw_Data!E712,6,2)),VALUE(MID(Raw_Data!E712,9,2))),DATEVALUE(Raw_Data!E712))),"")</f>
        <v>45554</v>
      </c>
      <c r="F712" s="11" t="str">
        <f aca="false">Raw_Data!F712</f>
        <v>Male 25-34</v>
      </c>
      <c r="G712" s="11" t="str">
        <f aca="false">IF(TRIM(Raw_Data!G712)="","Unspecified",IFERROR(INDEX(Lookup_Tables!$F$2:$F$24,MATCH(UPPER(TRIM(Raw_Data!G712)),Lookup_Tables!$G$2:$G$24,0)),"Unknown"))</f>
        <v>West</v>
      </c>
      <c r="H712" s="11" t="n">
        <f aca="false">IF(Raw_Data!H712="",ROUND(AVERAGEIFS(Raw_Data!$H$2:$H$839,Raw_Data!$C$2:$C$839,Raw_Data!C712),2),Raw_Data!H712)</f>
        <v>26185.03</v>
      </c>
      <c r="I712" s="11" t="n">
        <f aca="false">Raw_Data!I712</f>
        <v>934641</v>
      </c>
      <c r="J712" s="11" t="n">
        <f aca="false">IF(Raw_Data!J712&lt;0,ABS(Raw_Data!J712),Raw_Data!J712)</f>
        <v>13116</v>
      </c>
      <c r="K712" s="11" t="n">
        <f aca="false">Raw_Data!K712</f>
        <v>437</v>
      </c>
      <c r="L712" s="11" t="n">
        <f aca="false">IF(Raw_Data!L712="",ROUND(AVERAGEIFS(Raw_Data!$L$2:$L$839,Raw_Data!$C$2:$C$839,Raw_Data!C712),2),Raw_Data!L712)</f>
        <v>481073.65</v>
      </c>
      <c r="M712" s="13" t="n">
        <f aca="false">IFERROR(J712/I712,0)</f>
        <v>0.0140331956334036</v>
      </c>
      <c r="N712" s="14" t="n">
        <f aca="false">IFERROR(H712/J712,0)</f>
        <v>1.99641887770662</v>
      </c>
      <c r="O712" s="14" t="n">
        <f aca="false">IFERROR(H712/K712,0)</f>
        <v>59.9199771167048</v>
      </c>
      <c r="P712" s="15" t="n">
        <f aca="false">IFERROR(L712/H712,0)</f>
        <v>18.3720870283517</v>
      </c>
      <c r="Q712" s="13" t="n">
        <f aca="false">IFERROR(K712/J712,0)</f>
        <v>0.0333180847819457</v>
      </c>
      <c r="R712" s="11" t="str">
        <f aca="false">IF(COUNTIF($A$2:A712,A712)&gt;1,"Duplicate - Remove","Unique")</f>
        <v>Unique</v>
      </c>
      <c r="S712" s="11" t="str">
        <f aca="false">TRIM(IF(Raw_Data!G712="","Region missing; ","")&amp;IF(Raw_Data!H712="","Spend imputed; ","")&amp;IF(Raw_Data!L712="","Revenue imputed; ","")&amp;IF(Raw_Data!J712&lt;0,"Clicks corrected; ",""))</f>
        <v/>
      </c>
    </row>
    <row r="713" customFormat="false" ht="15" hidden="false" customHeight="true" outlineLevel="0" collapsed="false">
      <c r="A713" s="11" t="n">
        <f aca="false">Raw_Data!A713</f>
        <v>1259</v>
      </c>
      <c r="B713" s="11" t="str">
        <f aca="false">PROPER(TRIM(Raw_Data!B713))</f>
        <v>Ayurvedic Range Launch</v>
      </c>
      <c r="C713" s="11" t="str">
        <f aca="false">IFERROR(INDEX(Lookup_Tables!$B$2:$B$26,MATCH(UPPER(TRIM(Raw_Data!C713)),Lookup_Tables!$C$2:$C$26,0)),"Unknown")</f>
        <v>YouTube</v>
      </c>
      <c r="D713" s="12" t="n">
        <f aca="false">IFERROR(IF(ISNUMBER(SEARCH("/",Raw_Data!D713)),DATE(VALUE(RIGHT(Raw_Data!D713,4)),VALUE(MID(Raw_Data!D713,FIND("/",Raw_Data!D713)+1,FIND("/",Raw_Data!D713,FIND("/",Raw_Data!D713)+1)-FIND("/",Raw_Data!D713)-1)),VALUE(LEFT(Raw_Data!D713,FIND("/",Raw_Data!D713)-1))),IF(ISNUMBER(VALUE(LEFT(Raw_Data!D713,4))),DATE(VALUE(LEFT(Raw_Data!D713,4)),VALUE(MID(Raw_Data!D713,6,2)),VALUE(MID(Raw_Data!D713,9,2))),DATEVALUE(Raw_Data!D713))),"")</f>
        <v>45550</v>
      </c>
      <c r="E713" s="12" t="n">
        <f aca="false">IFERROR(IF(ISNUMBER(SEARCH("/",Raw_Data!E713)),DATE(VALUE(RIGHT(Raw_Data!E713,4)),VALUE(MID(Raw_Data!E713,FIND("/",Raw_Data!E713)+1,FIND("/",Raw_Data!E713,FIND("/",Raw_Data!E713)+1)-FIND("/",Raw_Data!E713)-1)),VALUE(LEFT(Raw_Data!E713,FIND("/",Raw_Data!E713)-1))),IF(ISNUMBER(VALUE(LEFT(Raw_Data!E713,4))),DATE(VALUE(LEFT(Raw_Data!E713,4)),VALUE(MID(Raw_Data!E713,6,2)),VALUE(MID(Raw_Data!E713,9,2))),DATEVALUE(Raw_Data!E713))),"")</f>
        <v>45565</v>
      </c>
      <c r="F713" s="11" t="str">
        <f aca="false">Raw_Data!F713</f>
        <v>Female 45+</v>
      </c>
      <c r="G713" s="11" t="str">
        <f aca="false">IF(TRIM(Raw_Data!G713)="","Unspecified",IFERROR(INDEX(Lookup_Tables!$F$2:$F$24,MATCH(UPPER(TRIM(Raw_Data!G713)),Lookup_Tables!$G$2:$G$24,0)),"Unknown"))</f>
        <v>North</v>
      </c>
      <c r="H713" s="11" t="n">
        <f aca="false">IF(Raw_Data!H713="",ROUND(AVERAGEIFS(Raw_Data!$H$2:$H$839,Raw_Data!$C$2:$C$839,Raw_Data!C713),2),Raw_Data!H713)</f>
        <v>26863.23</v>
      </c>
      <c r="I713" s="11" t="n">
        <f aca="false">Raw_Data!I713</f>
        <v>1073477</v>
      </c>
      <c r="J713" s="11" t="n">
        <f aca="false">IF(Raw_Data!J713&lt;0,ABS(Raw_Data!J713),Raw_Data!J713)</f>
        <v>19634</v>
      </c>
      <c r="K713" s="11" t="n">
        <f aca="false">Raw_Data!K713</f>
        <v>680</v>
      </c>
      <c r="L713" s="11" t="n">
        <f aca="false">IF(Raw_Data!L713="",ROUND(AVERAGEIFS(Raw_Data!$L$2:$L$839,Raw_Data!$C$2:$C$839,Raw_Data!C713),2),Raw_Data!L713)</f>
        <v>548742.83</v>
      </c>
      <c r="M713" s="13" t="n">
        <f aca="false">IFERROR(J713/I713,0)</f>
        <v>0.0182900984371347</v>
      </c>
      <c r="N713" s="14" t="n">
        <f aca="false">IFERROR(H713/J713,0)</f>
        <v>1.3681995517979</v>
      </c>
      <c r="O713" s="14" t="n">
        <f aca="false">IFERROR(H713/K713,0)</f>
        <v>39.50475</v>
      </c>
      <c r="P713" s="15" t="n">
        <f aca="false">IFERROR(L713/H713,0)</f>
        <v>20.4272840607775</v>
      </c>
      <c r="Q713" s="13" t="n">
        <f aca="false">IFERROR(K713/J713,0)</f>
        <v>0.034633798512784</v>
      </c>
      <c r="R713" s="11" t="str">
        <f aca="false">IF(COUNTIF($A$2:A713,A713)&gt;1,"Duplicate - Remove","Unique")</f>
        <v>Unique</v>
      </c>
      <c r="S713" s="11" t="str">
        <f aca="false">TRIM(IF(Raw_Data!G713="","Region missing; ","")&amp;IF(Raw_Data!H713="","Spend imputed; ","")&amp;IF(Raw_Data!L713="","Revenue imputed; ","")&amp;IF(Raw_Data!J713&lt;0,"Clicks corrected; ",""))</f>
        <v/>
      </c>
    </row>
    <row r="714" customFormat="false" ht="15" hidden="false" customHeight="true" outlineLevel="0" collapsed="false">
      <c r="A714" s="11" t="n">
        <f aca="false">Raw_Data!A714</f>
        <v>1402</v>
      </c>
      <c r="B714" s="11" t="str">
        <f aca="false">PROPER(TRIM(Raw_Data!B714))</f>
        <v>Festive Gift Bundle</v>
      </c>
      <c r="C714" s="11" t="str">
        <f aca="false">IFERROR(INDEX(Lookup_Tables!$B$2:$B$26,MATCH(UPPER(TRIM(Raw_Data!C714)),Lookup_Tables!$C$2:$C$26,0)),"Unknown")</f>
        <v>Google Ads</v>
      </c>
      <c r="D714" s="12" t="n">
        <f aca="false">IFERROR(IF(ISNUMBER(SEARCH("/",Raw_Data!D714)),DATE(VALUE(RIGHT(Raw_Data!D714,4)),VALUE(MID(Raw_Data!D714,FIND("/",Raw_Data!D714)+1,FIND("/",Raw_Data!D714,FIND("/",Raw_Data!D714)+1)-FIND("/",Raw_Data!D714)-1)),VALUE(LEFT(Raw_Data!D714,FIND("/",Raw_Data!D714)-1))),IF(ISNUMBER(VALUE(LEFT(Raw_Data!D714,4))),DATE(VALUE(LEFT(Raw_Data!D714,4)),VALUE(MID(Raw_Data!D714,6,2)),VALUE(MID(Raw_Data!D714,9,2))),DATEVALUE(Raw_Data!D714))),"")</f>
        <v>45384</v>
      </c>
      <c r="E714" s="12" t="n">
        <f aca="false">IFERROR(IF(ISNUMBER(SEARCH("/",Raw_Data!E714)),DATE(VALUE(RIGHT(Raw_Data!E714,4)),VALUE(MID(Raw_Data!E714,FIND("/",Raw_Data!E714)+1,FIND("/",Raw_Data!E714,FIND("/",Raw_Data!E714)+1)-FIND("/",Raw_Data!E714)-1)),VALUE(LEFT(Raw_Data!E714,FIND("/",Raw_Data!E714)-1))),IF(ISNUMBER(VALUE(LEFT(Raw_Data!E714,4))),DATE(VALUE(LEFT(Raw_Data!E714,4)),VALUE(MID(Raw_Data!E714,6,2)),VALUE(MID(Raw_Data!E714,9,2))),DATEVALUE(Raw_Data!E714))),"")</f>
        <v>45389</v>
      </c>
      <c r="F714" s="11" t="str">
        <f aca="false">Raw_Data!F714</f>
        <v>Male 35-44</v>
      </c>
      <c r="G714" s="11" t="str">
        <f aca="false">IF(TRIM(Raw_Data!G714)="","Unspecified",IFERROR(INDEX(Lookup_Tables!$F$2:$F$24,MATCH(UPPER(TRIM(Raw_Data!G714)),Lookup_Tables!$G$2:$G$24,0)),"Unknown"))</f>
        <v>South</v>
      </c>
      <c r="H714" s="11" t="n">
        <f aca="false">IF(Raw_Data!H714="",ROUND(AVERAGEIFS(Raw_Data!$H$2:$H$839,Raw_Data!$C$2:$C$839,Raw_Data!C714),2),Raw_Data!H714)</f>
        <v>14095.12</v>
      </c>
      <c r="I714" s="11" t="n">
        <f aca="false">Raw_Data!I714</f>
        <v>348832</v>
      </c>
      <c r="J714" s="11" t="n">
        <f aca="false">IF(Raw_Data!J714&lt;0,ABS(Raw_Data!J714),Raw_Data!J714)</f>
        <v>5093</v>
      </c>
      <c r="K714" s="11" t="n">
        <f aca="false">Raw_Data!K714</f>
        <v>198</v>
      </c>
      <c r="L714" s="11" t="n">
        <f aca="false">IF(Raw_Data!L714="",ROUND(AVERAGEIFS(Raw_Data!$L$2:$L$839,Raw_Data!$C$2:$C$839,Raw_Data!C714),2),Raw_Data!L714)</f>
        <v>162382.93</v>
      </c>
      <c r="M714" s="13" t="n">
        <f aca="false">IFERROR(J714/I714,0)</f>
        <v>0.0146001513622603</v>
      </c>
      <c r="N714" s="14" t="n">
        <f aca="false">IFERROR(H714/J714,0)</f>
        <v>2.76754761437267</v>
      </c>
      <c r="O714" s="14" t="n">
        <f aca="false">IFERROR(H714/K714,0)</f>
        <v>71.1874747474748</v>
      </c>
      <c r="P714" s="15" t="n">
        <f aca="false">IFERROR(L714/H714,0)</f>
        <v>11.5205070974919</v>
      </c>
      <c r="Q714" s="13" t="n">
        <f aca="false">IFERROR(K714/J714,0)</f>
        <v>0.0388768898488121</v>
      </c>
      <c r="R714" s="11" t="str">
        <f aca="false">IF(COUNTIF($A$2:A714,A714)&gt;1,"Duplicate - Remove","Unique")</f>
        <v>Unique</v>
      </c>
      <c r="S714" s="11" t="str">
        <f aca="false">TRIM(IF(Raw_Data!G714="","Region missing; ","")&amp;IF(Raw_Data!H714="","Spend imputed; ","")&amp;IF(Raw_Data!L714="","Revenue imputed; ","")&amp;IF(Raw_Data!J714&lt;0,"Clicks corrected; ",""))</f>
        <v/>
      </c>
    </row>
    <row r="715" customFormat="false" ht="15" hidden="false" customHeight="true" outlineLevel="0" collapsed="false">
      <c r="A715" s="11" t="n">
        <f aca="false">Raw_Data!A715</f>
        <v>1757</v>
      </c>
      <c r="B715" s="11" t="str">
        <f aca="false">PROPER(TRIM(Raw_Data!B715))</f>
        <v>Ayurvedic Range Launch</v>
      </c>
      <c r="C715" s="11" t="str">
        <f aca="false">IFERROR(INDEX(Lookup_Tables!$B$2:$B$26,MATCH(UPPER(TRIM(Raw_Data!C715)),Lookup_Tables!$C$2:$C$26,0)),"Unknown")</f>
        <v>YouTube</v>
      </c>
      <c r="D715" s="12" t="n">
        <f aca="false">IFERROR(IF(ISNUMBER(SEARCH("/",Raw_Data!D715)),DATE(VALUE(RIGHT(Raw_Data!D715,4)),VALUE(MID(Raw_Data!D715,FIND("/",Raw_Data!D715)+1,FIND("/",Raw_Data!D715,FIND("/",Raw_Data!D715)+1)-FIND("/",Raw_Data!D715)-1)),VALUE(LEFT(Raw_Data!D715,FIND("/",Raw_Data!D715)-1))),IF(ISNUMBER(VALUE(LEFT(Raw_Data!D715,4))),DATE(VALUE(LEFT(Raw_Data!D715,4)),VALUE(MID(Raw_Data!D715,6,2)),VALUE(MID(Raw_Data!D715,9,2))),DATEVALUE(Raw_Data!D715))),"")</f>
        <v>45452</v>
      </c>
      <c r="E715" s="12" t="n">
        <f aca="false">IFERROR(IF(ISNUMBER(SEARCH("/",Raw_Data!E715)),DATE(VALUE(RIGHT(Raw_Data!E715,4)),VALUE(MID(Raw_Data!E715,FIND("/",Raw_Data!E715)+1,FIND("/",Raw_Data!E715,FIND("/",Raw_Data!E715)+1)-FIND("/",Raw_Data!E715)-1)),VALUE(LEFT(Raw_Data!E715,FIND("/",Raw_Data!E715)-1))),IF(ISNUMBER(VALUE(LEFT(Raw_Data!E715,4))),DATE(VALUE(LEFT(Raw_Data!E715,4)),VALUE(MID(Raw_Data!E715,6,2)),VALUE(MID(Raw_Data!E715,9,2))),DATEVALUE(Raw_Data!E715))),"")</f>
        <v>45467</v>
      </c>
      <c r="F715" s="11" t="str">
        <f aca="false">Raw_Data!F715</f>
        <v>Male 18-24</v>
      </c>
      <c r="G715" s="11" t="str">
        <f aca="false">IF(TRIM(Raw_Data!G715)="","Unspecified",IFERROR(INDEX(Lookup_Tables!$F$2:$F$24,MATCH(UPPER(TRIM(Raw_Data!G715)),Lookup_Tables!$G$2:$G$24,0)),"Unknown"))</f>
        <v>East</v>
      </c>
      <c r="H715" s="11" t="n">
        <f aca="false">IF(Raw_Data!H715="",ROUND(AVERAGEIFS(Raw_Data!$H$2:$H$839,Raw_Data!$C$2:$C$839,Raw_Data!C715),2),Raw_Data!H715)</f>
        <v>57451.12</v>
      </c>
      <c r="I715" s="11" t="n">
        <f aca="false">Raw_Data!I715</f>
        <v>1362328</v>
      </c>
      <c r="J715" s="11" t="n">
        <f aca="false">IF(Raw_Data!J715&lt;0,ABS(Raw_Data!J715),Raw_Data!J715)</f>
        <v>19332</v>
      </c>
      <c r="K715" s="11" t="n">
        <f aca="false">Raw_Data!K715</f>
        <v>1310</v>
      </c>
      <c r="L715" s="11" t="n">
        <f aca="false">IF(Raw_Data!L715="",ROUND(AVERAGEIFS(Raw_Data!$L$2:$L$839,Raw_Data!$C$2:$C$839,Raw_Data!C715),2),Raw_Data!L715)</f>
        <v>1441817.51</v>
      </c>
      <c r="M715" s="13" t="n">
        <f aca="false">IFERROR(J715/I715,0)</f>
        <v>0.0141904152303997</v>
      </c>
      <c r="N715" s="14" t="n">
        <f aca="false">IFERROR(H715/J715,0)</f>
        <v>2.97181460790399</v>
      </c>
      <c r="O715" s="14" t="n">
        <f aca="false">IFERROR(H715/K715,0)</f>
        <v>43.8558167938931</v>
      </c>
      <c r="P715" s="15" t="n">
        <f aca="false">IFERROR(L715/H715,0)</f>
        <v>25.0964212708125</v>
      </c>
      <c r="Q715" s="13" t="n">
        <f aca="false">IFERROR(K715/J715,0)</f>
        <v>0.0677632940202773</v>
      </c>
      <c r="R715" s="11" t="str">
        <f aca="false">IF(COUNTIF($A$2:A715,A715)&gt;1,"Duplicate - Remove","Unique")</f>
        <v>Unique</v>
      </c>
      <c r="S715" s="11" t="str">
        <f aca="false">TRIM(IF(Raw_Data!G715="","Region missing; ","")&amp;IF(Raw_Data!H715="","Spend imputed; ","")&amp;IF(Raw_Data!L715="","Revenue imputed; ","")&amp;IF(Raw_Data!J715&lt;0,"Clicks corrected; ",""))</f>
        <v/>
      </c>
    </row>
    <row r="716" customFormat="false" ht="15" hidden="false" customHeight="true" outlineLevel="0" collapsed="false">
      <c r="A716" s="11" t="n">
        <f aca="false">Raw_Data!A716</f>
        <v>1049</v>
      </c>
      <c r="B716" s="11" t="str">
        <f aca="false">PROPER(TRIM(Raw_Data!B716))</f>
        <v>Clearance Sale Push</v>
      </c>
      <c r="C716" s="11" t="str">
        <f aca="false">IFERROR(INDEX(Lookup_Tables!$B$2:$B$26,MATCH(UPPER(TRIM(Raw_Data!C716)),Lookup_Tables!$C$2:$C$26,0)),"Unknown")</f>
        <v>Google Ads</v>
      </c>
      <c r="D716" s="12" t="n">
        <f aca="false">IFERROR(IF(ISNUMBER(SEARCH("/",Raw_Data!D716)),DATE(VALUE(RIGHT(Raw_Data!D716,4)),VALUE(MID(Raw_Data!D716,FIND("/",Raw_Data!D716)+1,FIND("/",Raw_Data!D716,FIND("/",Raw_Data!D716)+1)-FIND("/",Raw_Data!D716)-1)),VALUE(LEFT(Raw_Data!D716,FIND("/",Raw_Data!D716)-1))),IF(ISNUMBER(VALUE(LEFT(Raw_Data!D716,4))),DATE(VALUE(LEFT(Raw_Data!D716,4)),VALUE(MID(Raw_Data!D716,6,2)),VALUE(MID(Raw_Data!D716,9,2))),DATEVALUE(Raw_Data!D716))),"")</f>
        <v>45306</v>
      </c>
      <c r="E716" s="12" t="n">
        <f aca="false">IFERROR(IF(ISNUMBER(SEARCH("/",Raw_Data!E716)),DATE(VALUE(RIGHT(Raw_Data!E716,4)),VALUE(MID(Raw_Data!E716,FIND("/",Raw_Data!E716)+1,FIND("/",Raw_Data!E716,FIND("/",Raw_Data!E716)+1)-FIND("/",Raw_Data!E716)-1)),VALUE(LEFT(Raw_Data!E716,FIND("/",Raw_Data!E716)-1))),IF(ISNUMBER(VALUE(LEFT(Raw_Data!E716,4))),DATE(VALUE(LEFT(Raw_Data!E716,4)),VALUE(MID(Raw_Data!E716,6,2)),VALUE(MID(Raw_Data!E716,9,2))),DATEVALUE(Raw_Data!E716))),"")</f>
        <v>45312</v>
      </c>
      <c r="F716" s="11" t="str">
        <f aca="false">Raw_Data!F716</f>
        <v>Male 25-34</v>
      </c>
      <c r="G716" s="11" t="str">
        <f aca="false">IF(TRIM(Raw_Data!G716)="","Unspecified",IFERROR(INDEX(Lookup_Tables!$F$2:$F$24,MATCH(UPPER(TRIM(Raw_Data!G716)),Lookup_Tables!$G$2:$G$24,0)),"Unknown"))</f>
        <v>North</v>
      </c>
      <c r="H716" s="11" t="n">
        <f aca="false">IF(Raw_Data!H716="",ROUND(AVERAGEIFS(Raw_Data!$H$2:$H$839,Raw_Data!$C$2:$C$839,Raw_Data!C716),2),Raw_Data!H716)</f>
        <v>65730.04</v>
      </c>
      <c r="I716" s="11" t="n">
        <f aca="false">Raw_Data!I716</f>
        <v>1468027</v>
      </c>
      <c r="J716" s="11" t="n">
        <f aca="false">IF(Raw_Data!J716&lt;0,ABS(Raw_Data!J716),Raw_Data!J716)</f>
        <v>23848</v>
      </c>
      <c r="K716" s="11" t="n">
        <f aca="false">Raw_Data!K716</f>
        <v>481</v>
      </c>
      <c r="L716" s="11" t="n">
        <f aca="false">IF(Raw_Data!L716="",ROUND(AVERAGEIFS(Raw_Data!$L$2:$L$839,Raw_Data!$C$2:$C$839,Raw_Data!C716),2),Raw_Data!L716)</f>
        <v>538811.95</v>
      </c>
      <c r="M716" s="13" t="n">
        <f aca="false">IFERROR(J716/I716,0)</f>
        <v>0.016244932824805</v>
      </c>
      <c r="N716" s="14" t="n">
        <f aca="false">IFERROR(H716/J716,0)</f>
        <v>2.75620764844012</v>
      </c>
      <c r="O716" s="14" t="n">
        <f aca="false">IFERROR(H716/K716,0)</f>
        <v>136.65288981289</v>
      </c>
      <c r="P716" s="15" t="n">
        <f aca="false">IFERROR(L716/H716,0)</f>
        <v>8.1973470577532</v>
      </c>
      <c r="Q716" s="13" t="n">
        <f aca="false">IFERROR(K716/J716,0)</f>
        <v>0.0201694062395169</v>
      </c>
      <c r="R716" s="11" t="str">
        <f aca="false">IF(COUNTIF($A$2:A716,A716)&gt;1,"Duplicate - Remove","Unique")</f>
        <v>Unique</v>
      </c>
      <c r="S716" s="11" t="str">
        <f aca="false">TRIM(IF(Raw_Data!G716="","Region missing; ","")&amp;IF(Raw_Data!H716="","Spend imputed; ","")&amp;IF(Raw_Data!L716="","Revenue imputed; ","")&amp;IF(Raw_Data!J716&lt;0,"Clicks corrected; ",""))</f>
        <v/>
      </c>
    </row>
    <row r="717" customFormat="false" ht="15" hidden="false" customHeight="true" outlineLevel="0" collapsed="false">
      <c r="A717" s="11" t="n">
        <f aca="false">Raw_Data!A717</f>
        <v>1275</v>
      </c>
      <c r="B717" s="11" t="str">
        <f aca="false">PROPER(TRIM(Raw_Data!B717))</f>
        <v>Wedding Season Special</v>
      </c>
      <c r="C717" s="11" t="str">
        <f aca="false">IFERROR(INDEX(Lookup_Tables!$B$2:$B$26,MATCH(UPPER(TRIM(Raw_Data!C717)),Lookup_Tables!$C$2:$C$26,0)),"Unknown")</f>
        <v>Google Ads</v>
      </c>
      <c r="D717" s="12" t="n">
        <f aca="false">IFERROR(IF(ISNUMBER(SEARCH("/",Raw_Data!D717)),DATE(VALUE(RIGHT(Raw_Data!D717,4)),VALUE(MID(Raw_Data!D717,FIND("/",Raw_Data!D717)+1,FIND("/",Raw_Data!D717,FIND("/",Raw_Data!D717)+1)-FIND("/",Raw_Data!D717)-1)),VALUE(LEFT(Raw_Data!D717,FIND("/",Raw_Data!D717)-1))),IF(ISNUMBER(VALUE(LEFT(Raw_Data!D717,4))),DATE(VALUE(LEFT(Raw_Data!D717,4)),VALUE(MID(Raw_Data!D717,6,2)),VALUE(MID(Raw_Data!D717,9,2))),DATEVALUE(Raw_Data!D717))),"")</f>
        <v>45452</v>
      </c>
      <c r="E717" s="12" t="n">
        <f aca="false">IFERROR(IF(ISNUMBER(SEARCH("/",Raw_Data!E717)),DATE(VALUE(RIGHT(Raw_Data!E717,4)),VALUE(MID(Raw_Data!E717,FIND("/",Raw_Data!E717)+1,FIND("/",Raw_Data!E717,FIND("/",Raw_Data!E717)+1)-FIND("/",Raw_Data!E717)-1)),VALUE(LEFT(Raw_Data!E717,FIND("/",Raw_Data!E717)-1))),IF(ISNUMBER(VALUE(LEFT(Raw_Data!E717,4))),DATE(VALUE(LEFT(Raw_Data!E717,4)),VALUE(MID(Raw_Data!E717,6,2)),VALUE(MID(Raw_Data!E717,9,2))),DATEVALUE(Raw_Data!E717))),"")</f>
        <v>45469</v>
      </c>
      <c r="F717" s="11" t="str">
        <f aca="false">Raw_Data!F717</f>
        <v>Female 45+</v>
      </c>
      <c r="G717" s="11" t="str">
        <f aca="false">IF(TRIM(Raw_Data!G717)="","Unspecified",IFERROR(INDEX(Lookup_Tables!$F$2:$F$24,MATCH(UPPER(TRIM(Raw_Data!G717)),Lookup_Tables!$G$2:$G$24,0)),"Unknown"))</f>
        <v>North</v>
      </c>
      <c r="H717" s="11" t="n">
        <f aca="false">IF(Raw_Data!H717="",ROUND(AVERAGEIFS(Raw_Data!$H$2:$H$839,Raw_Data!$C$2:$C$839,Raw_Data!C717),2),Raw_Data!H717)</f>
        <v>75739.74</v>
      </c>
      <c r="I717" s="11" t="n">
        <f aca="false">Raw_Data!I717</f>
        <v>2219050</v>
      </c>
      <c r="J717" s="11" t="n">
        <f aca="false">IF(Raw_Data!J717&lt;0,ABS(Raw_Data!J717),Raw_Data!J717)</f>
        <v>46788</v>
      </c>
      <c r="K717" s="11" t="n">
        <f aca="false">Raw_Data!K717</f>
        <v>2568</v>
      </c>
      <c r="L717" s="11" t="n">
        <f aca="false">IF(Raw_Data!L717="",ROUND(AVERAGEIFS(Raw_Data!$L$2:$L$839,Raw_Data!$C$2:$C$839,Raw_Data!C717),2),Raw_Data!L717)</f>
        <v>1376716.55</v>
      </c>
      <c r="M717" s="13" t="n">
        <f aca="false">IFERROR(J717/I717,0)</f>
        <v>0.021084698406976</v>
      </c>
      <c r="N717" s="14" t="n">
        <f aca="false">IFERROR(H717/J717,0)</f>
        <v>1.6187855860477</v>
      </c>
      <c r="O717" s="14" t="n">
        <f aca="false">IFERROR(H717/K717,0)</f>
        <v>29.4936682242991</v>
      </c>
      <c r="P717" s="15" t="n">
        <f aca="false">IFERROR(L717/H717,0)</f>
        <v>18.176937892842</v>
      </c>
      <c r="Q717" s="13" t="n">
        <f aca="false">IFERROR(K717/J717,0)</f>
        <v>0.054885868171326</v>
      </c>
      <c r="R717" s="11" t="str">
        <f aca="false">IF(COUNTIF($A$2:A717,A717)&gt;1,"Duplicate - Remove","Unique")</f>
        <v>Unique</v>
      </c>
      <c r="S717" s="11" t="str">
        <f aca="false">TRIM(IF(Raw_Data!G717="","Region missing; ","")&amp;IF(Raw_Data!H717="","Spend imputed; ","")&amp;IF(Raw_Data!L717="","Revenue imputed; ","")&amp;IF(Raw_Data!J717&lt;0,"Clicks corrected; ",""))</f>
        <v>Revenue imputed;</v>
      </c>
    </row>
    <row r="718" customFormat="false" ht="15" hidden="false" customHeight="true" outlineLevel="0" collapsed="false">
      <c r="A718" s="11" t="n">
        <f aca="false">Raw_Data!A718</f>
        <v>1063</v>
      </c>
      <c r="B718" s="11" t="str">
        <f aca="false">PROPER(TRIM(Raw_Data!B718))</f>
        <v>Herbal Range Awareness</v>
      </c>
      <c r="C718" s="11" t="str">
        <f aca="false">IFERROR(INDEX(Lookup_Tables!$B$2:$B$26,MATCH(UPPER(TRIM(Raw_Data!C718)),Lookup_Tables!$C$2:$C$26,0)),"Unknown")</f>
        <v>YouTube</v>
      </c>
      <c r="D718" s="12" t="n">
        <f aca="false">IFERROR(IF(ISNUMBER(SEARCH("/",Raw_Data!D718)),DATE(VALUE(RIGHT(Raw_Data!D718,4)),VALUE(MID(Raw_Data!D718,FIND("/",Raw_Data!D718)+1,FIND("/",Raw_Data!D718,FIND("/",Raw_Data!D718)+1)-FIND("/",Raw_Data!D718)-1)),VALUE(LEFT(Raw_Data!D718,FIND("/",Raw_Data!D718)-1))),IF(ISNUMBER(VALUE(LEFT(Raw_Data!D718,4))),DATE(VALUE(LEFT(Raw_Data!D718,4)),VALUE(MID(Raw_Data!D718,6,2)),VALUE(MID(Raw_Data!D718,9,2))),DATEVALUE(Raw_Data!D718))),"")</f>
        <v>45471</v>
      </c>
      <c r="E718" s="12" t="n">
        <f aca="false">IFERROR(IF(ISNUMBER(SEARCH("/",Raw_Data!E718)),DATE(VALUE(RIGHT(Raw_Data!E718,4)),VALUE(MID(Raw_Data!E718,FIND("/",Raw_Data!E718)+1,FIND("/",Raw_Data!E718,FIND("/",Raw_Data!E718)+1)-FIND("/",Raw_Data!E718)-1)),VALUE(LEFT(Raw_Data!E718,FIND("/",Raw_Data!E718)-1))),IF(ISNUMBER(VALUE(LEFT(Raw_Data!E718,4))),DATE(VALUE(LEFT(Raw_Data!E718,4)),VALUE(MID(Raw_Data!E718,6,2)),VALUE(MID(Raw_Data!E718,9,2))),DATEVALUE(Raw_Data!E718))),"")</f>
        <v>45493</v>
      </c>
      <c r="F718" s="11" t="str">
        <f aca="false">Raw_Data!F718</f>
        <v>Female 25-34</v>
      </c>
      <c r="G718" s="11" t="str">
        <f aca="false">IF(TRIM(Raw_Data!G718)="","Unspecified",IFERROR(INDEX(Lookup_Tables!$F$2:$F$24,MATCH(UPPER(TRIM(Raw_Data!G718)),Lookup_Tables!$G$2:$G$24,0)),"Unknown"))</f>
        <v>South</v>
      </c>
      <c r="H718" s="11" t="n">
        <f aca="false">IF(Raw_Data!H718="",ROUND(AVERAGEIFS(Raw_Data!$H$2:$H$839,Raw_Data!$C$2:$C$839,Raw_Data!C718),2),Raw_Data!H718)</f>
        <v>23616.4</v>
      </c>
      <c r="I718" s="11" t="n">
        <f aca="false">Raw_Data!I718</f>
        <v>518715</v>
      </c>
      <c r="J718" s="11" t="n">
        <f aca="false">IF(Raw_Data!J718&lt;0,ABS(Raw_Data!J718),Raw_Data!J718)</f>
        <v>6112</v>
      </c>
      <c r="K718" s="11" t="n">
        <f aca="false">Raw_Data!K718</f>
        <v>244</v>
      </c>
      <c r="L718" s="11" t="n">
        <f aca="false">IF(Raw_Data!L718="",ROUND(AVERAGEIFS(Raw_Data!$L$2:$L$839,Raw_Data!$C$2:$C$839,Raw_Data!C718),2),Raw_Data!L718)</f>
        <v>283869.67</v>
      </c>
      <c r="M718" s="13" t="n">
        <f aca="false">IFERROR(J718/I718,0)</f>
        <v>0.011782963669838</v>
      </c>
      <c r="N718" s="14" t="n">
        <f aca="false">IFERROR(H718/J718,0)</f>
        <v>3.86393979057592</v>
      </c>
      <c r="O718" s="14" t="n">
        <f aca="false">IFERROR(H718/K718,0)</f>
        <v>96.788524590164</v>
      </c>
      <c r="P718" s="15" t="n">
        <f aca="false">IFERROR(L718/H718,0)</f>
        <v>12.0200229501533</v>
      </c>
      <c r="Q718" s="13" t="n">
        <f aca="false">IFERROR(K718/J718,0)</f>
        <v>0.0399214659685864</v>
      </c>
      <c r="R718" s="11" t="str">
        <f aca="false">IF(COUNTIF($A$2:A718,A718)&gt;1,"Duplicate - Remove","Unique")</f>
        <v>Unique</v>
      </c>
      <c r="S718" s="11" t="str">
        <f aca="false">TRIM(IF(Raw_Data!G718="","Region missing; ","")&amp;IF(Raw_Data!H718="","Spend imputed; ","")&amp;IF(Raw_Data!L718="","Revenue imputed; ","")&amp;IF(Raw_Data!J718&lt;0,"Clicks corrected; ",""))</f>
        <v/>
      </c>
    </row>
    <row r="719" customFormat="false" ht="15" hidden="false" customHeight="true" outlineLevel="0" collapsed="false">
      <c r="A719" s="11" t="n">
        <f aca="false">Raw_Data!A719</f>
        <v>1067</v>
      </c>
      <c r="B719" s="11" t="str">
        <f aca="false">PROPER(TRIM(Raw_Data!B719))</f>
        <v>Festive Gift Bundle</v>
      </c>
      <c r="C719" s="11" t="str">
        <f aca="false">IFERROR(INDEX(Lookup_Tables!$B$2:$B$26,MATCH(UPPER(TRIM(Raw_Data!C719)),Lookup_Tables!$C$2:$C$26,0)),"Unknown")</f>
        <v>Email</v>
      </c>
      <c r="D719" s="12" t="n">
        <f aca="false">IFERROR(IF(ISNUMBER(SEARCH("/",Raw_Data!D719)),DATE(VALUE(RIGHT(Raw_Data!D719,4)),VALUE(MID(Raw_Data!D719,FIND("/",Raw_Data!D719)+1,FIND("/",Raw_Data!D719,FIND("/",Raw_Data!D719)+1)-FIND("/",Raw_Data!D719)-1)),VALUE(LEFT(Raw_Data!D719,FIND("/",Raw_Data!D719)-1))),IF(ISNUMBER(VALUE(LEFT(Raw_Data!D719,4))),DATE(VALUE(LEFT(Raw_Data!D719,4)),VALUE(MID(Raw_Data!D719,6,2)),VALUE(MID(Raw_Data!D719,9,2))),DATEVALUE(Raw_Data!D719))),"")</f>
        <v>45328</v>
      </c>
      <c r="E719" s="12" t="n">
        <f aca="false">IFERROR(IF(ISNUMBER(SEARCH("/",Raw_Data!E719)),DATE(VALUE(RIGHT(Raw_Data!E719,4)),VALUE(MID(Raw_Data!E719,FIND("/",Raw_Data!E719)+1,FIND("/",Raw_Data!E719,FIND("/",Raw_Data!E719)+1)-FIND("/",Raw_Data!E719)-1)),VALUE(LEFT(Raw_Data!E719,FIND("/",Raw_Data!E719)-1))),IF(ISNUMBER(VALUE(LEFT(Raw_Data!E719,4))),DATE(VALUE(LEFT(Raw_Data!E719,4)),VALUE(MID(Raw_Data!E719,6,2)),VALUE(MID(Raw_Data!E719,9,2))),DATEVALUE(Raw_Data!E719))),"")</f>
        <v>45345</v>
      </c>
      <c r="F719" s="11" t="str">
        <f aca="false">Raw_Data!F719</f>
        <v>Male 35-44</v>
      </c>
      <c r="G719" s="11" t="str">
        <f aca="false">IF(TRIM(Raw_Data!G719)="","Unspecified",IFERROR(INDEX(Lookup_Tables!$F$2:$F$24,MATCH(UPPER(TRIM(Raw_Data!G719)),Lookup_Tables!$G$2:$G$24,0)),"Unknown"))</f>
        <v>Central</v>
      </c>
      <c r="H719" s="11" t="n">
        <f aca="false">IF(Raw_Data!H719="",ROUND(AVERAGEIFS(Raw_Data!$H$2:$H$839,Raw_Data!$C$2:$C$839,Raw_Data!C719),2),Raw_Data!H719)</f>
        <v>1296.12</v>
      </c>
      <c r="I719" s="11" t="n">
        <f aca="false">Raw_Data!I719</f>
        <v>20049</v>
      </c>
      <c r="J719" s="11" t="n">
        <f aca="false">IF(Raw_Data!J719&lt;0,ABS(Raw_Data!J719),Raw_Data!J719)</f>
        <v>654</v>
      </c>
      <c r="K719" s="11" t="n">
        <f aca="false">Raw_Data!K719</f>
        <v>46</v>
      </c>
      <c r="L719" s="11" t="n">
        <f aca="false">IF(Raw_Data!L719="",ROUND(AVERAGEIFS(Raw_Data!$L$2:$L$839,Raw_Data!$C$2:$C$839,Raw_Data!C719),2),Raw_Data!L719)</f>
        <v>54503.14</v>
      </c>
      <c r="M719" s="13" t="n">
        <f aca="false">IFERROR(J719/I719,0)</f>
        <v>0.032620080802035</v>
      </c>
      <c r="N719" s="14" t="n">
        <f aca="false">IFERROR(H719/J719,0)</f>
        <v>1.98183486238532</v>
      </c>
      <c r="O719" s="14" t="n">
        <f aca="false">IFERROR(H719/K719,0)</f>
        <v>28.1765217391304</v>
      </c>
      <c r="P719" s="15" t="n">
        <f aca="false">IFERROR(L719/H719,0)</f>
        <v>42.050998364349</v>
      </c>
      <c r="Q719" s="13" t="n">
        <f aca="false">IFERROR(K719/J719,0)</f>
        <v>0.0703363914373089</v>
      </c>
      <c r="R719" s="11" t="str">
        <f aca="false">IF(COUNTIF($A$2:A719,A719)&gt;1,"Duplicate - Remove","Unique")</f>
        <v>Unique</v>
      </c>
      <c r="S719" s="11" t="str">
        <f aca="false">TRIM(IF(Raw_Data!G719="","Region missing; ","")&amp;IF(Raw_Data!H719="","Spend imputed; ","")&amp;IF(Raw_Data!L719="","Revenue imputed; ","")&amp;IF(Raw_Data!J719&lt;0,"Clicks corrected; ",""))</f>
        <v/>
      </c>
    </row>
    <row r="720" customFormat="false" ht="15" hidden="false" customHeight="true" outlineLevel="0" collapsed="false">
      <c r="A720" s="11" t="n">
        <f aca="false">Raw_Data!A720</f>
        <v>1129</v>
      </c>
      <c r="B720" s="11" t="str">
        <f aca="false">PROPER(TRIM(Raw_Data!B720))</f>
        <v>Herbal Range Awareness</v>
      </c>
      <c r="C720" s="11" t="str">
        <f aca="false">IFERROR(INDEX(Lookup_Tables!$B$2:$B$26,MATCH(UPPER(TRIM(Raw_Data!C720)),Lookup_Tables!$C$2:$C$26,0)),"Unknown")</f>
        <v>Facebook</v>
      </c>
      <c r="D720" s="12" t="n">
        <f aca="false">IFERROR(IF(ISNUMBER(SEARCH("/",Raw_Data!D720)),DATE(VALUE(RIGHT(Raw_Data!D720,4)),VALUE(MID(Raw_Data!D720,FIND("/",Raw_Data!D720)+1,FIND("/",Raw_Data!D720,FIND("/",Raw_Data!D720)+1)-FIND("/",Raw_Data!D720)-1)),VALUE(LEFT(Raw_Data!D720,FIND("/",Raw_Data!D720)-1))),IF(ISNUMBER(VALUE(LEFT(Raw_Data!D720,4))),DATE(VALUE(LEFT(Raw_Data!D720,4)),VALUE(MID(Raw_Data!D720,6,2)),VALUE(MID(Raw_Data!D720,9,2))),DATEVALUE(Raw_Data!D720))),"")</f>
        <v>45484</v>
      </c>
      <c r="E720" s="12" t="n">
        <f aca="false">IFERROR(IF(ISNUMBER(SEARCH("/",Raw_Data!E720)),DATE(VALUE(RIGHT(Raw_Data!E720,4)),VALUE(MID(Raw_Data!E720,FIND("/",Raw_Data!E720)+1,FIND("/",Raw_Data!E720,FIND("/",Raw_Data!E720)+1)-FIND("/",Raw_Data!E720)-1)),VALUE(LEFT(Raw_Data!E720,FIND("/",Raw_Data!E720)-1))),IF(ISNUMBER(VALUE(LEFT(Raw_Data!E720,4))),DATE(VALUE(LEFT(Raw_Data!E720,4)),VALUE(MID(Raw_Data!E720,6,2)),VALUE(MID(Raw_Data!E720,9,2))),DATEVALUE(Raw_Data!E720))),"")</f>
        <v>45497</v>
      </c>
      <c r="F720" s="11" t="str">
        <f aca="false">Raw_Data!F720</f>
        <v>Male 35-44</v>
      </c>
      <c r="G720" s="11" t="str">
        <f aca="false">IF(TRIM(Raw_Data!G720)="","Unspecified",IFERROR(INDEX(Lookup_Tables!$F$2:$F$24,MATCH(UPPER(TRIM(Raw_Data!G720)),Lookup_Tables!$G$2:$G$24,0)),"Unknown"))</f>
        <v>West</v>
      </c>
      <c r="H720" s="11" t="n">
        <f aca="false">IF(Raw_Data!H720="",ROUND(AVERAGEIFS(Raw_Data!$H$2:$H$839,Raw_Data!$C$2:$C$839,Raw_Data!C720),2),Raw_Data!H720)</f>
        <v>22060.68</v>
      </c>
      <c r="I720" s="11" t="n">
        <f aca="false">Raw_Data!I720</f>
        <v>844961</v>
      </c>
      <c r="J720" s="11" t="n">
        <f aca="false">IF(Raw_Data!J720&lt;0,ABS(Raw_Data!J720),Raw_Data!J720)</f>
        <v>9289</v>
      </c>
      <c r="K720" s="11" t="n">
        <f aca="false">Raw_Data!K720</f>
        <v>741</v>
      </c>
      <c r="L720" s="11" t="n">
        <f aca="false">IF(Raw_Data!L720="",ROUND(AVERAGEIFS(Raw_Data!$L$2:$L$839,Raw_Data!$C$2:$C$839,Raw_Data!C720),2),Raw_Data!L720)</f>
        <v>452672.79</v>
      </c>
      <c r="M720" s="13" t="n">
        <f aca="false">IFERROR(J720/I720,0)</f>
        <v>0.01099340679629</v>
      </c>
      <c r="N720" s="14" t="n">
        <f aca="false">IFERROR(H720/J720,0)</f>
        <v>2.37492518032081</v>
      </c>
      <c r="O720" s="14" t="n">
        <f aca="false">IFERROR(H720/K720,0)</f>
        <v>29.7714979757085</v>
      </c>
      <c r="P720" s="15" t="n">
        <f aca="false">IFERROR(L720/H720,0)</f>
        <v>20.5194395639663</v>
      </c>
      <c r="Q720" s="13" t="n">
        <f aca="false">IFERROR(K720/J720,0)</f>
        <v>0.0797717730649155</v>
      </c>
      <c r="R720" s="11" t="str">
        <f aca="false">IF(COUNTIF($A$2:A720,A720)&gt;1,"Duplicate - Remove","Unique")</f>
        <v>Unique</v>
      </c>
      <c r="S720" s="11" t="str">
        <f aca="false">TRIM(IF(Raw_Data!G720="","Region missing; ","")&amp;IF(Raw_Data!H720="","Spend imputed; ","")&amp;IF(Raw_Data!L720="","Revenue imputed; ","")&amp;IF(Raw_Data!J720&lt;0,"Clicks corrected; ",""))</f>
        <v/>
      </c>
    </row>
    <row r="721" customFormat="false" ht="15" hidden="false" customHeight="true" outlineLevel="0" collapsed="false">
      <c r="A721" s="11" t="n">
        <f aca="false">Raw_Data!A721</f>
        <v>1190</v>
      </c>
      <c r="B721" s="11" t="str">
        <f aca="false">PROPER(TRIM(Raw_Data!B721))</f>
        <v>Influencer Collab - Skincare</v>
      </c>
      <c r="C721" s="11" t="str">
        <f aca="false">IFERROR(INDEX(Lookup_Tables!$B$2:$B$26,MATCH(UPPER(TRIM(Raw_Data!C721)),Lookup_Tables!$C$2:$C$26,0)),"Unknown")</f>
        <v>Email</v>
      </c>
      <c r="D721" s="12" t="n">
        <f aca="false">IFERROR(IF(ISNUMBER(SEARCH("/",Raw_Data!D721)),DATE(VALUE(RIGHT(Raw_Data!D721,4)),VALUE(MID(Raw_Data!D721,FIND("/",Raw_Data!D721)+1,FIND("/",Raw_Data!D721,FIND("/",Raw_Data!D721)+1)-FIND("/",Raw_Data!D721)-1)),VALUE(LEFT(Raw_Data!D721,FIND("/",Raw_Data!D721)-1))),IF(ISNUMBER(VALUE(LEFT(Raw_Data!D721,4))),DATE(VALUE(LEFT(Raw_Data!D721,4)),VALUE(MID(Raw_Data!D721,6,2)),VALUE(MID(Raw_Data!D721,9,2))),DATEVALUE(Raw_Data!D721))),"")</f>
        <v>45400</v>
      </c>
      <c r="E721" s="12" t="n">
        <f aca="false">IFERROR(IF(ISNUMBER(SEARCH("/",Raw_Data!E721)),DATE(VALUE(RIGHT(Raw_Data!E721,4)),VALUE(MID(Raw_Data!E721,FIND("/",Raw_Data!E721)+1,FIND("/",Raw_Data!E721,FIND("/",Raw_Data!E721)+1)-FIND("/",Raw_Data!E721)-1)),VALUE(LEFT(Raw_Data!E721,FIND("/",Raw_Data!E721)-1))),IF(ISNUMBER(VALUE(LEFT(Raw_Data!E721,4))),DATE(VALUE(LEFT(Raw_Data!E721,4)),VALUE(MID(Raw_Data!E721,6,2)),VALUE(MID(Raw_Data!E721,9,2))),DATEVALUE(Raw_Data!E721))),"")</f>
        <v>45428</v>
      </c>
      <c r="F721" s="11" t="str">
        <f aca="false">Raw_Data!F721</f>
        <v>Female 35-44</v>
      </c>
      <c r="G721" s="11" t="str">
        <f aca="false">IF(TRIM(Raw_Data!G721)="","Unspecified",IFERROR(INDEX(Lookup_Tables!$F$2:$F$24,MATCH(UPPER(TRIM(Raw_Data!G721)),Lookup_Tables!$G$2:$G$24,0)),"Unknown"))</f>
        <v>West</v>
      </c>
      <c r="H721" s="11" t="n">
        <f aca="false">IF(Raw_Data!H721="",ROUND(AVERAGEIFS(Raw_Data!$H$2:$H$839,Raw_Data!$C$2:$C$839,Raw_Data!C721),2),Raw_Data!H721)</f>
        <v>5127.85</v>
      </c>
      <c r="I721" s="11" t="n">
        <f aca="false">Raw_Data!I721</f>
        <v>98580</v>
      </c>
      <c r="J721" s="11" t="n">
        <f aca="false">IF(Raw_Data!J721&lt;0,ABS(Raw_Data!J721),Raw_Data!J721)</f>
        <v>1577</v>
      </c>
      <c r="K721" s="11" t="n">
        <f aca="false">Raw_Data!K721</f>
        <v>87</v>
      </c>
      <c r="L721" s="11" t="n">
        <f aca="false">IF(Raw_Data!L721="",ROUND(AVERAGEIFS(Raw_Data!$L$2:$L$839,Raw_Data!$C$2:$C$839,Raw_Data!C721),2),Raw_Data!L721)</f>
        <v>35163.4</v>
      </c>
      <c r="M721" s="13" t="n">
        <f aca="false">IFERROR(J721/I721,0)</f>
        <v>0.0159971596672753</v>
      </c>
      <c r="N721" s="14" t="n">
        <f aca="false">IFERROR(H721/J721,0)</f>
        <v>3.25164870006341</v>
      </c>
      <c r="O721" s="14" t="n">
        <f aca="false">IFERROR(H721/K721,0)</f>
        <v>58.9408045977012</v>
      </c>
      <c r="P721" s="15" t="n">
        <f aca="false">IFERROR(L721/H721,0)</f>
        <v>6.85733787064754</v>
      </c>
      <c r="Q721" s="13" t="n">
        <f aca="false">IFERROR(K721/J721,0)</f>
        <v>0.0551680405833862</v>
      </c>
      <c r="R721" s="11" t="str">
        <f aca="false">IF(COUNTIF($A$2:A721,A721)&gt;1,"Duplicate - Remove","Unique")</f>
        <v>Unique</v>
      </c>
      <c r="S721" s="11" t="str">
        <f aca="false">TRIM(IF(Raw_Data!G721="","Region missing; ","")&amp;IF(Raw_Data!H721="","Spend imputed; ","")&amp;IF(Raw_Data!L721="","Revenue imputed; ","")&amp;IF(Raw_Data!J721&lt;0,"Clicks corrected; ",""))</f>
        <v/>
      </c>
    </row>
    <row r="722" customFormat="false" ht="15" hidden="false" customHeight="true" outlineLevel="0" collapsed="false">
      <c r="A722" s="11" t="n">
        <f aca="false">Raw_Data!A722</f>
        <v>1539</v>
      </c>
      <c r="B722" s="11" t="str">
        <f aca="false">PROPER(TRIM(Raw_Data!B722))</f>
        <v>Monsoon Skincare Push</v>
      </c>
      <c r="C722" s="11" t="str">
        <f aca="false">IFERROR(INDEX(Lookup_Tables!$B$2:$B$26,MATCH(UPPER(TRIM(Raw_Data!C722)),Lookup_Tables!$C$2:$C$26,0)),"Unknown")</f>
        <v>Instagram</v>
      </c>
      <c r="D722" s="12" t="n">
        <f aca="false">IFERROR(IF(ISNUMBER(SEARCH("/",Raw_Data!D722)),DATE(VALUE(RIGHT(Raw_Data!D722,4)),VALUE(MID(Raw_Data!D722,FIND("/",Raw_Data!D722)+1,FIND("/",Raw_Data!D722,FIND("/",Raw_Data!D722)+1)-FIND("/",Raw_Data!D722)-1)),VALUE(LEFT(Raw_Data!D722,FIND("/",Raw_Data!D722)-1))),IF(ISNUMBER(VALUE(LEFT(Raw_Data!D722,4))),DATE(VALUE(LEFT(Raw_Data!D722,4)),VALUE(MID(Raw_Data!D722,6,2)),VALUE(MID(Raw_Data!D722,9,2))),DATEVALUE(Raw_Data!D722))),"")</f>
        <v>45433</v>
      </c>
      <c r="E722" s="12" t="n">
        <f aca="false">IFERROR(IF(ISNUMBER(SEARCH("/",Raw_Data!E722)),DATE(VALUE(RIGHT(Raw_Data!E722,4)),VALUE(MID(Raw_Data!E722,FIND("/",Raw_Data!E722)+1,FIND("/",Raw_Data!E722,FIND("/",Raw_Data!E722)+1)-FIND("/",Raw_Data!E722)-1)),VALUE(LEFT(Raw_Data!E722,FIND("/",Raw_Data!E722)-1))),IF(ISNUMBER(VALUE(LEFT(Raw_Data!E722,4))),DATE(VALUE(LEFT(Raw_Data!E722,4)),VALUE(MID(Raw_Data!E722,6,2)),VALUE(MID(Raw_Data!E722,9,2))),DATEVALUE(Raw_Data!E722))),"")</f>
        <v>45445</v>
      </c>
      <c r="F722" s="11" t="str">
        <f aca="false">Raw_Data!F722</f>
        <v>Female 25-34</v>
      </c>
      <c r="G722" s="11" t="str">
        <f aca="false">IF(TRIM(Raw_Data!G722)="","Unspecified",IFERROR(INDEX(Lookup_Tables!$F$2:$F$24,MATCH(UPPER(TRIM(Raw_Data!G722)),Lookup_Tables!$G$2:$G$24,0)),"Unknown"))</f>
        <v>East</v>
      </c>
      <c r="H722" s="11" t="n">
        <f aca="false">IF(Raw_Data!H722="",ROUND(AVERAGEIFS(Raw_Data!$H$2:$H$839,Raw_Data!$C$2:$C$839,Raw_Data!C722),2),Raw_Data!H722)</f>
        <v>44374.64</v>
      </c>
      <c r="I722" s="11" t="n">
        <f aca="false">Raw_Data!I722</f>
        <v>1114424</v>
      </c>
      <c r="J722" s="11" t="n">
        <f aca="false">IF(Raw_Data!J722&lt;0,ABS(Raw_Data!J722),Raw_Data!J722)</f>
        <v>18707</v>
      </c>
      <c r="K722" s="11" t="n">
        <f aca="false">Raw_Data!K722</f>
        <v>475</v>
      </c>
      <c r="L722" s="11" t="n">
        <f aca="false">IF(Raw_Data!L722="",ROUND(AVERAGEIFS(Raw_Data!$L$2:$L$839,Raw_Data!$C$2:$C$839,Raw_Data!C722),2),Raw_Data!L722)</f>
        <v>733827.29</v>
      </c>
      <c r="M722" s="13" t="n">
        <f aca="false">IFERROR(J722/I722,0)</f>
        <v>0.0167862501166522</v>
      </c>
      <c r="N722" s="14" t="n">
        <f aca="false">IFERROR(H722/J722,0)</f>
        <v>2.37208745389426</v>
      </c>
      <c r="O722" s="14" t="n">
        <f aca="false">IFERROR(H722/K722,0)</f>
        <v>93.4202947368421</v>
      </c>
      <c r="P722" s="15" t="n">
        <f aca="false">IFERROR(L722/H722,0)</f>
        <v>16.5370871741157</v>
      </c>
      <c r="Q722" s="13" t="n">
        <f aca="false">IFERROR(K722/J722,0)</f>
        <v>0.025391564654942</v>
      </c>
      <c r="R722" s="11" t="str">
        <f aca="false">IF(COUNTIF($A$2:A722,A722)&gt;1,"Duplicate - Remove","Unique")</f>
        <v>Unique</v>
      </c>
      <c r="S722" s="11" t="str">
        <f aca="false">TRIM(IF(Raw_Data!G722="","Region missing; ","")&amp;IF(Raw_Data!H722="","Spend imputed; ","")&amp;IF(Raw_Data!L722="","Revenue imputed; ","")&amp;IF(Raw_Data!J722&lt;0,"Clicks corrected; ",""))</f>
        <v/>
      </c>
    </row>
    <row r="723" customFormat="false" ht="15" hidden="false" customHeight="true" outlineLevel="0" collapsed="false">
      <c r="A723" s="11" t="n">
        <f aca="false">Raw_Data!A723</f>
        <v>1769</v>
      </c>
      <c r="B723" s="11" t="str">
        <f aca="false">PROPER(TRIM(Raw_Data!B723))</f>
        <v>Men'S Grooming Drive</v>
      </c>
      <c r="C723" s="11" t="str">
        <f aca="false">IFERROR(INDEX(Lookup_Tables!$B$2:$B$26,MATCH(UPPER(TRIM(Raw_Data!C723)),Lookup_Tables!$C$2:$C$26,0)),"Unknown")</f>
        <v>Instagram</v>
      </c>
      <c r="D723" s="12" t="n">
        <f aca="false">IFERROR(IF(ISNUMBER(SEARCH("/",Raw_Data!D723)),DATE(VALUE(RIGHT(Raw_Data!D723,4)),VALUE(MID(Raw_Data!D723,FIND("/",Raw_Data!D723)+1,FIND("/",Raw_Data!D723,FIND("/",Raw_Data!D723)+1)-FIND("/",Raw_Data!D723)-1)),VALUE(LEFT(Raw_Data!D723,FIND("/",Raw_Data!D723)-1))),IF(ISNUMBER(VALUE(LEFT(Raw_Data!D723,4))),DATE(VALUE(LEFT(Raw_Data!D723,4)),VALUE(MID(Raw_Data!D723,6,2)),VALUE(MID(Raw_Data!D723,9,2))),DATEVALUE(Raw_Data!D723))),"")</f>
        <v>45383</v>
      </c>
      <c r="E723" s="12" t="n">
        <f aca="false">IFERROR(IF(ISNUMBER(SEARCH("/",Raw_Data!E723)),DATE(VALUE(RIGHT(Raw_Data!E723,4)),VALUE(MID(Raw_Data!E723,FIND("/",Raw_Data!E723)+1,FIND("/",Raw_Data!E723,FIND("/",Raw_Data!E723)+1)-FIND("/",Raw_Data!E723)-1)),VALUE(LEFT(Raw_Data!E723,FIND("/",Raw_Data!E723)-1))),IF(ISNUMBER(VALUE(LEFT(Raw_Data!E723,4))),DATE(VALUE(LEFT(Raw_Data!E723,4)),VALUE(MID(Raw_Data!E723,6,2)),VALUE(MID(Raw_Data!E723,9,2))),DATEVALUE(Raw_Data!E723))),"")</f>
        <v>45392</v>
      </c>
      <c r="F723" s="11" t="str">
        <f aca="false">Raw_Data!F723</f>
        <v>Male 35-44</v>
      </c>
      <c r="G723" s="11" t="str">
        <f aca="false">IF(TRIM(Raw_Data!G723)="","Unspecified",IFERROR(INDEX(Lookup_Tables!$F$2:$F$24,MATCH(UPPER(TRIM(Raw_Data!G723)),Lookup_Tables!$G$2:$G$24,0)),"Unknown"))</f>
        <v>North</v>
      </c>
      <c r="H723" s="11" t="n">
        <f aca="false">IF(Raw_Data!H723="",ROUND(AVERAGEIFS(Raw_Data!$H$2:$H$839,Raw_Data!$C$2:$C$839,Raw_Data!C723),2),Raw_Data!H723)</f>
        <v>56471.81</v>
      </c>
      <c r="I723" s="11" t="n">
        <f aca="false">Raw_Data!I723</f>
        <v>1193879</v>
      </c>
      <c r="J723" s="11" t="n">
        <f aca="false">IF(Raw_Data!J723&lt;0,ABS(Raw_Data!J723),Raw_Data!J723)</f>
        <v>6282</v>
      </c>
      <c r="K723" s="11" t="n">
        <f aca="false">Raw_Data!K723</f>
        <v>438</v>
      </c>
      <c r="L723" s="11" t="n">
        <f aca="false">IF(Raw_Data!L723="",ROUND(AVERAGEIFS(Raw_Data!$L$2:$L$839,Raw_Data!$C$2:$C$839,Raw_Data!C723),2),Raw_Data!L723)</f>
        <v>640008.65</v>
      </c>
      <c r="M723" s="13" t="n">
        <f aca="false">IFERROR(J723/I723,0)</f>
        <v>0.00526183976768165</v>
      </c>
      <c r="N723" s="14" t="n">
        <f aca="false">IFERROR(H723/J723,0)</f>
        <v>8.9894635466412</v>
      </c>
      <c r="O723" s="14" t="n">
        <f aca="false">IFERROR(H723/K723,0)</f>
        <v>128.931073059361</v>
      </c>
      <c r="P723" s="15" t="n">
        <f aca="false">IFERROR(L723/H723,0)</f>
        <v>11.3332413110187</v>
      </c>
      <c r="Q723" s="13" t="n">
        <f aca="false">IFERROR(K723/J723,0)</f>
        <v>0.0697230181470869</v>
      </c>
      <c r="R723" s="11" t="str">
        <f aca="false">IF(COUNTIF($A$2:A723,A723)&gt;1,"Duplicate - Remove","Unique")</f>
        <v>Unique</v>
      </c>
      <c r="S723" s="11" t="str">
        <f aca="false">TRIM(IF(Raw_Data!G723="","Region missing; ","")&amp;IF(Raw_Data!H723="","Spend imputed; ","")&amp;IF(Raw_Data!L723="","Revenue imputed; ","")&amp;IF(Raw_Data!J723&lt;0,"Clicks corrected; ",""))</f>
        <v/>
      </c>
    </row>
    <row r="724" customFormat="false" ht="15" hidden="false" customHeight="true" outlineLevel="0" collapsed="false">
      <c r="A724" s="11" t="n">
        <f aca="false">Raw_Data!A724</f>
        <v>1640</v>
      </c>
      <c r="B724" s="11" t="str">
        <f aca="false">PROPER(TRIM(Raw_Data!B724))</f>
        <v>Men'S Grooming Drive</v>
      </c>
      <c r="C724" s="11" t="str">
        <f aca="false">IFERROR(INDEX(Lookup_Tables!$B$2:$B$26,MATCH(UPPER(TRIM(Raw_Data!C724)),Lookup_Tables!$C$2:$C$26,0)),"Unknown")</f>
        <v>Google Ads</v>
      </c>
      <c r="D724" s="12" t="n">
        <f aca="false">IFERROR(IF(ISNUMBER(SEARCH("/",Raw_Data!D724)),DATE(VALUE(RIGHT(Raw_Data!D724,4)),VALUE(MID(Raw_Data!D724,FIND("/",Raw_Data!D724)+1,FIND("/",Raw_Data!D724,FIND("/",Raw_Data!D724)+1)-FIND("/",Raw_Data!D724)-1)),VALUE(LEFT(Raw_Data!D724,FIND("/",Raw_Data!D724)-1))),IF(ISNUMBER(VALUE(LEFT(Raw_Data!D724,4))),DATE(VALUE(LEFT(Raw_Data!D724,4)),VALUE(MID(Raw_Data!D724,6,2)),VALUE(MID(Raw_Data!D724,9,2))),DATEVALUE(Raw_Data!D724))),"")</f>
        <v>45547</v>
      </c>
      <c r="E724" s="12" t="n">
        <f aca="false">IFERROR(IF(ISNUMBER(SEARCH("/",Raw_Data!E724)),DATE(VALUE(RIGHT(Raw_Data!E724,4)),VALUE(MID(Raw_Data!E724,FIND("/",Raw_Data!E724)+1,FIND("/",Raw_Data!E724,FIND("/",Raw_Data!E724)+1)-FIND("/",Raw_Data!E724)-1)),VALUE(LEFT(Raw_Data!E724,FIND("/",Raw_Data!E724)-1))),IF(ISNUMBER(VALUE(LEFT(Raw_Data!E724,4))),DATE(VALUE(LEFT(Raw_Data!E724,4)),VALUE(MID(Raw_Data!E724,6,2)),VALUE(MID(Raw_Data!E724,9,2))),DATEVALUE(Raw_Data!E724))),"")</f>
        <v>45566</v>
      </c>
      <c r="F724" s="11" t="str">
        <f aca="false">Raw_Data!F724</f>
        <v>Male 35-44</v>
      </c>
      <c r="G724" s="11" t="str">
        <f aca="false">IF(TRIM(Raw_Data!G724)="","Unspecified",IFERROR(INDEX(Lookup_Tables!$F$2:$F$24,MATCH(UPPER(TRIM(Raw_Data!G724)),Lookup_Tables!$G$2:$G$24,0)),"Unknown"))</f>
        <v>Central</v>
      </c>
      <c r="H724" s="11" t="n">
        <f aca="false">IF(Raw_Data!H724="",ROUND(AVERAGEIFS(Raw_Data!$H$2:$H$839,Raw_Data!$C$2:$C$839,Raw_Data!C724),2),Raw_Data!H724)</f>
        <v>73889.18</v>
      </c>
      <c r="I724" s="11" t="n">
        <f aca="false">Raw_Data!I724</f>
        <v>2782485</v>
      </c>
      <c r="J724" s="11" t="n">
        <f aca="false">IF(Raw_Data!J724&lt;0,ABS(Raw_Data!J724),Raw_Data!J724)</f>
        <v>84029</v>
      </c>
      <c r="K724" s="11" t="n">
        <f aca="false">Raw_Data!K724</f>
        <v>5814</v>
      </c>
      <c r="L724" s="11" t="n">
        <f aca="false">IF(Raw_Data!L724="",ROUND(AVERAGEIFS(Raw_Data!$L$2:$L$839,Raw_Data!$C$2:$C$839,Raw_Data!C724),2),Raw_Data!L724)</f>
        <v>8636562.03</v>
      </c>
      <c r="M724" s="13" t="n">
        <f aca="false">IFERROR(J724/I724,0)</f>
        <v>0.030199264326672</v>
      </c>
      <c r="N724" s="14" t="n">
        <f aca="false">IFERROR(H724/J724,0)</f>
        <v>0.879329517190494</v>
      </c>
      <c r="O724" s="14" t="n">
        <f aca="false">IFERROR(H724/K724,0)</f>
        <v>12.7088372893017</v>
      </c>
      <c r="P724" s="15" t="n">
        <f aca="false">IFERROR(L724/H724,0)</f>
        <v>116.885341399106</v>
      </c>
      <c r="Q724" s="13" t="n">
        <f aca="false">IFERROR(K724/J724,0)</f>
        <v>0.0691903985528806</v>
      </c>
      <c r="R724" s="11" t="str">
        <f aca="false">IF(COUNTIF($A$2:A724,A724)&gt;1,"Duplicate - Remove","Unique")</f>
        <v>Unique</v>
      </c>
      <c r="S724" s="11" t="str">
        <f aca="false">TRIM(IF(Raw_Data!G724="","Region missing; ","")&amp;IF(Raw_Data!H724="","Spend imputed; ","")&amp;IF(Raw_Data!L724="","Revenue imputed; ","")&amp;IF(Raw_Data!J724&lt;0,"Clicks corrected; ",""))</f>
        <v/>
      </c>
    </row>
    <row r="725" customFormat="false" ht="15" hidden="false" customHeight="true" outlineLevel="0" collapsed="false">
      <c r="A725" s="11" t="n">
        <f aca="false">Raw_Data!A725</f>
        <v>1018</v>
      </c>
      <c r="B725" s="11" t="str">
        <f aca="false">PROPER(TRIM(Raw_Data!B725))</f>
        <v>Summer Glow Launch</v>
      </c>
      <c r="C725" s="11" t="str">
        <f aca="false">IFERROR(INDEX(Lookup_Tables!$B$2:$B$26,MATCH(UPPER(TRIM(Raw_Data!C725)),Lookup_Tables!$C$2:$C$26,0)),"Unknown")</f>
        <v>Facebook</v>
      </c>
      <c r="D725" s="12" t="n">
        <f aca="false">IFERROR(IF(ISNUMBER(SEARCH("/",Raw_Data!D725)),DATE(VALUE(RIGHT(Raw_Data!D725,4)),VALUE(MID(Raw_Data!D725,FIND("/",Raw_Data!D725)+1,FIND("/",Raw_Data!D725,FIND("/",Raw_Data!D725)+1)-FIND("/",Raw_Data!D725)-1)),VALUE(LEFT(Raw_Data!D725,FIND("/",Raw_Data!D725)-1))),IF(ISNUMBER(VALUE(LEFT(Raw_Data!D725,4))),DATE(VALUE(LEFT(Raw_Data!D725,4)),VALUE(MID(Raw_Data!D725,6,2)),VALUE(MID(Raw_Data!D725,9,2))),DATEVALUE(Raw_Data!D725))),"")</f>
        <v>45478</v>
      </c>
      <c r="E725" s="12" t="n">
        <f aca="false">IFERROR(IF(ISNUMBER(SEARCH("/",Raw_Data!E725)),DATE(VALUE(RIGHT(Raw_Data!E725,4)),VALUE(MID(Raw_Data!E725,FIND("/",Raw_Data!E725)+1,FIND("/",Raw_Data!E725,FIND("/",Raw_Data!E725)+1)-FIND("/",Raw_Data!E725)-1)),VALUE(LEFT(Raw_Data!E725,FIND("/",Raw_Data!E725)-1))),IF(ISNUMBER(VALUE(LEFT(Raw_Data!E725,4))),DATE(VALUE(LEFT(Raw_Data!E725,4)),VALUE(MID(Raw_Data!E725,6,2)),VALUE(MID(Raw_Data!E725,9,2))),DATEVALUE(Raw_Data!E725))),"")</f>
        <v>45508</v>
      </c>
      <c r="F725" s="11" t="str">
        <f aca="false">Raw_Data!F725</f>
        <v>Male 25-34</v>
      </c>
      <c r="G725" s="11" t="str">
        <f aca="false">IF(TRIM(Raw_Data!G725)="","Unspecified",IFERROR(INDEX(Lookup_Tables!$F$2:$F$24,MATCH(UPPER(TRIM(Raw_Data!G725)),Lookup_Tables!$G$2:$G$24,0)),"Unknown"))</f>
        <v>South</v>
      </c>
      <c r="H725" s="11" t="n">
        <f aca="false">IF(Raw_Data!H725="",ROUND(AVERAGEIFS(Raw_Data!$H$2:$H$839,Raw_Data!$C$2:$C$839,Raw_Data!C725),2),Raw_Data!H725)</f>
        <v>45552.68</v>
      </c>
      <c r="I725" s="11" t="n">
        <f aca="false">Raw_Data!I725</f>
        <v>922528</v>
      </c>
      <c r="J725" s="11" t="n">
        <f aca="false">IF(Raw_Data!J725&lt;0,ABS(Raw_Data!J725),Raw_Data!J725)</f>
        <v>11518</v>
      </c>
      <c r="K725" s="11" t="n">
        <f aca="false">Raw_Data!K725</f>
        <v>198</v>
      </c>
      <c r="L725" s="11" t="n">
        <f aca="false">IF(Raw_Data!L725="",ROUND(AVERAGEIFS(Raw_Data!$L$2:$L$839,Raw_Data!$C$2:$C$839,Raw_Data!C725),2),Raw_Data!L725)</f>
        <v>293271.37</v>
      </c>
      <c r="M725" s="13" t="n">
        <f aca="false">IFERROR(J725/I725,0)</f>
        <v>0.0124852579000312</v>
      </c>
      <c r="N725" s="14" t="n">
        <f aca="false">IFERROR(H725/J725,0)</f>
        <v>3.95491231116513</v>
      </c>
      <c r="O725" s="14" t="n">
        <f aca="false">IFERROR(H725/K725,0)</f>
        <v>230.06404040404</v>
      </c>
      <c r="P725" s="15" t="n">
        <f aca="false">IFERROR(L725/H725,0)</f>
        <v>6.43807060309075</v>
      </c>
      <c r="Q725" s="13" t="n">
        <f aca="false">IFERROR(K725/J725,0)</f>
        <v>0.0171904844591075</v>
      </c>
      <c r="R725" s="11" t="str">
        <f aca="false">IF(COUNTIF($A$2:A725,A725)&gt;1,"Duplicate - Remove","Unique")</f>
        <v>Unique</v>
      </c>
      <c r="S725" s="11" t="str">
        <f aca="false">TRIM(IF(Raw_Data!G725="","Region missing; ","")&amp;IF(Raw_Data!H725="","Spend imputed; ","")&amp;IF(Raw_Data!L725="","Revenue imputed; ","")&amp;IF(Raw_Data!J725&lt;0,"Clicks corrected; ",""))</f>
        <v/>
      </c>
    </row>
    <row r="726" customFormat="false" ht="15" hidden="false" customHeight="true" outlineLevel="0" collapsed="false">
      <c r="A726" s="11" t="n">
        <f aca="false">Raw_Data!A726</f>
        <v>1364</v>
      </c>
      <c r="B726" s="11" t="str">
        <f aca="false">PROPER(TRIM(Raw_Data!B726))</f>
        <v>Baby Care Trust Campaign</v>
      </c>
      <c r="C726" s="11" t="str">
        <f aca="false">IFERROR(INDEX(Lookup_Tables!$B$2:$B$26,MATCH(UPPER(TRIM(Raw_Data!C726)),Lookup_Tables!$C$2:$C$26,0)),"Unknown")</f>
        <v>Google Ads</v>
      </c>
      <c r="D726" s="12" t="n">
        <f aca="false">IFERROR(IF(ISNUMBER(SEARCH("/",Raw_Data!D726)),DATE(VALUE(RIGHT(Raw_Data!D726,4)),VALUE(MID(Raw_Data!D726,FIND("/",Raw_Data!D726)+1,FIND("/",Raw_Data!D726,FIND("/",Raw_Data!D726)+1)-FIND("/",Raw_Data!D726)-1)),VALUE(LEFT(Raw_Data!D726,FIND("/",Raw_Data!D726)-1))),IF(ISNUMBER(VALUE(LEFT(Raw_Data!D726,4))),DATE(VALUE(LEFT(Raw_Data!D726,4)),VALUE(MID(Raw_Data!D726,6,2)),VALUE(MID(Raw_Data!D726,9,2))),DATEVALUE(Raw_Data!D726))),"")</f>
        <v>45620</v>
      </c>
      <c r="E726" s="12" t="n">
        <f aca="false">IFERROR(IF(ISNUMBER(SEARCH("/",Raw_Data!E726)),DATE(VALUE(RIGHT(Raw_Data!E726,4)),VALUE(MID(Raw_Data!E726,FIND("/",Raw_Data!E726)+1,FIND("/",Raw_Data!E726,FIND("/",Raw_Data!E726)+1)-FIND("/",Raw_Data!E726)-1)),VALUE(LEFT(Raw_Data!E726,FIND("/",Raw_Data!E726)-1))),IF(ISNUMBER(VALUE(LEFT(Raw_Data!E726,4))),DATE(VALUE(LEFT(Raw_Data!E726,4)),VALUE(MID(Raw_Data!E726,6,2)),VALUE(MID(Raw_Data!E726,9,2))),DATEVALUE(Raw_Data!E726))),"")</f>
        <v>45645</v>
      </c>
      <c r="F726" s="11" t="str">
        <f aca="false">Raw_Data!F726</f>
        <v>Female 18-24</v>
      </c>
      <c r="G726" s="11" t="str">
        <f aca="false">IF(TRIM(Raw_Data!G726)="","Unspecified",IFERROR(INDEX(Lookup_Tables!$F$2:$F$24,MATCH(UPPER(TRIM(Raw_Data!G726)),Lookup_Tables!$G$2:$G$24,0)),"Unknown"))</f>
        <v>East</v>
      </c>
      <c r="H726" s="11" t="n">
        <f aca="false">IF(Raw_Data!H726="",ROUND(AVERAGEIFS(Raw_Data!$H$2:$H$839,Raw_Data!$C$2:$C$839,Raw_Data!C726),2),Raw_Data!H726)</f>
        <v>54110.94</v>
      </c>
      <c r="I726" s="11" t="n">
        <f aca="false">Raw_Data!I726</f>
        <v>1881734</v>
      </c>
      <c r="J726" s="11" t="n">
        <f aca="false">IF(Raw_Data!J726&lt;0,ABS(Raw_Data!J726),Raw_Data!J726)</f>
        <v>17091</v>
      </c>
      <c r="K726" s="11" t="n">
        <f aca="false">Raw_Data!K726</f>
        <v>650</v>
      </c>
      <c r="L726" s="11" t="n">
        <f aca="false">IF(Raw_Data!L726="",ROUND(AVERAGEIFS(Raw_Data!$L$2:$L$839,Raw_Data!$C$2:$C$839,Raw_Data!C726),2),Raw_Data!L726)</f>
        <v>819669.24</v>
      </c>
      <c r="M726" s="13" t="n">
        <f aca="false">IFERROR(J726/I726,0)</f>
        <v>0.00908258021590724</v>
      </c>
      <c r="N726" s="14" t="n">
        <f aca="false">IFERROR(H726/J726,0)</f>
        <v>3.16604879761278</v>
      </c>
      <c r="O726" s="14" t="n">
        <f aca="false">IFERROR(H726/K726,0)</f>
        <v>83.2476</v>
      </c>
      <c r="P726" s="15" t="n">
        <f aca="false">IFERROR(L726/H726,0)</f>
        <v>15.1479394000548</v>
      </c>
      <c r="Q726" s="13" t="n">
        <f aca="false">IFERROR(K726/J726,0)</f>
        <v>0.0380317125972734</v>
      </c>
      <c r="R726" s="11" t="str">
        <f aca="false">IF(COUNTIF($A$2:A726,A726)&gt;1,"Duplicate - Remove","Unique")</f>
        <v>Unique</v>
      </c>
      <c r="S726" s="11" t="str">
        <f aca="false">TRIM(IF(Raw_Data!G726="","Region missing; ","")&amp;IF(Raw_Data!H726="","Spend imputed; ","")&amp;IF(Raw_Data!L726="","Revenue imputed; ","")&amp;IF(Raw_Data!J726&lt;0,"Clicks corrected; ",""))</f>
        <v/>
      </c>
    </row>
    <row r="727" customFormat="false" ht="15" hidden="false" customHeight="true" outlineLevel="0" collapsed="false">
      <c r="A727" s="11" t="n">
        <f aca="false">Raw_Data!A727</f>
        <v>1633</v>
      </c>
      <c r="B727" s="11" t="str">
        <f aca="false">PROPER(TRIM(Raw_Data!B727))</f>
        <v>Hair Care Revamp</v>
      </c>
      <c r="C727" s="11" t="str">
        <f aca="false">IFERROR(INDEX(Lookup_Tables!$B$2:$B$26,MATCH(UPPER(TRIM(Raw_Data!C727)),Lookup_Tables!$C$2:$C$26,0)),"Unknown")</f>
        <v>YouTube</v>
      </c>
      <c r="D727" s="12" t="n">
        <f aca="false">IFERROR(IF(ISNUMBER(SEARCH("/",Raw_Data!D727)),DATE(VALUE(RIGHT(Raw_Data!D727,4)),VALUE(MID(Raw_Data!D727,FIND("/",Raw_Data!D727)+1,FIND("/",Raw_Data!D727,FIND("/",Raw_Data!D727)+1)-FIND("/",Raw_Data!D727)-1)),VALUE(LEFT(Raw_Data!D727,FIND("/",Raw_Data!D727)-1))),IF(ISNUMBER(VALUE(LEFT(Raw_Data!D727,4))),DATE(VALUE(LEFT(Raw_Data!D727,4)),VALUE(MID(Raw_Data!D727,6,2)),VALUE(MID(Raw_Data!D727,9,2))),DATEVALUE(Raw_Data!D727))),"")</f>
        <v>45381</v>
      </c>
      <c r="E727" s="12" t="n">
        <f aca="false">IFERROR(IF(ISNUMBER(SEARCH("/",Raw_Data!E727)),DATE(VALUE(RIGHT(Raw_Data!E727,4)),VALUE(MID(Raw_Data!E727,FIND("/",Raw_Data!E727)+1,FIND("/",Raw_Data!E727,FIND("/",Raw_Data!E727)+1)-FIND("/",Raw_Data!E727)-1)),VALUE(LEFT(Raw_Data!E727,FIND("/",Raw_Data!E727)-1))),IF(ISNUMBER(VALUE(LEFT(Raw_Data!E727,4))),DATE(VALUE(LEFT(Raw_Data!E727,4)),VALUE(MID(Raw_Data!E727,6,2)),VALUE(MID(Raw_Data!E727,9,2))),DATEVALUE(Raw_Data!E727))),"")</f>
        <v>45401</v>
      </c>
      <c r="F727" s="11" t="str">
        <f aca="false">Raw_Data!F727</f>
        <v>Male 18-24</v>
      </c>
      <c r="G727" s="11" t="str">
        <f aca="false">IF(TRIM(Raw_Data!G727)="","Unspecified",IFERROR(INDEX(Lookup_Tables!$F$2:$F$24,MATCH(UPPER(TRIM(Raw_Data!G727)),Lookup_Tables!$G$2:$G$24,0)),"Unknown"))</f>
        <v>South</v>
      </c>
      <c r="H727" s="11" t="n">
        <f aca="false">IF(Raw_Data!H727="",ROUND(AVERAGEIFS(Raw_Data!$H$2:$H$839,Raw_Data!$C$2:$C$839,Raw_Data!C727),2),Raw_Data!H727)</f>
        <v>84103.93</v>
      </c>
      <c r="I727" s="11" t="n">
        <f aca="false">Raw_Data!I727</f>
        <v>1940118</v>
      </c>
      <c r="J727" s="11" t="n">
        <f aca="false">IF(Raw_Data!J727&lt;0,ABS(Raw_Data!J727),Raw_Data!J727)</f>
        <v>26753</v>
      </c>
      <c r="K727" s="11" t="n">
        <f aca="false">Raw_Data!K727</f>
        <v>1942</v>
      </c>
      <c r="L727" s="11" t="n">
        <f aca="false">IF(Raw_Data!L727="",ROUND(AVERAGEIFS(Raw_Data!$L$2:$L$839,Raw_Data!$C$2:$C$839,Raw_Data!C727),2),Raw_Data!L727)</f>
        <v>1262611.77</v>
      </c>
      <c r="M727" s="13" t="n">
        <f aca="false">IFERROR(J727/I727,0)</f>
        <v>0.0137893674508458</v>
      </c>
      <c r="N727" s="14" t="n">
        <f aca="false">IFERROR(H727/J727,0)</f>
        <v>3.14371958285052</v>
      </c>
      <c r="O727" s="14" t="n">
        <f aca="false">IFERROR(H727/K727,0)</f>
        <v>43.3078939237899</v>
      </c>
      <c r="P727" s="15" t="n">
        <f aca="false">IFERROR(L727/H727,0)</f>
        <v>15.012518083281</v>
      </c>
      <c r="Q727" s="13" t="n">
        <f aca="false">IFERROR(K727/J727,0)</f>
        <v>0.0725899899076739</v>
      </c>
      <c r="R727" s="11" t="str">
        <f aca="false">IF(COUNTIF($A$2:A727,A727)&gt;1,"Duplicate - Remove","Unique")</f>
        <v>Unique</v>
      </c>
      <c r="S727" s="11" t="str">
        <f aca="false">TRIM(IF(Raw_Data!G727="","Region missing; ","")&amp;IF(Raw_Data!H727="","Spend imputed; ","")&amp;IF(Raw_Data!L727="","Revenue imputed; ","")&amp;IF(Raw_Data!J727&lt;0,"Clicks corrected; ",""))</f>
        <v/>
      </c>
    </row>
    <row r="728" customFormat="false" ht="15" hidden="false" customHeight="true" outlineLevel="0" collapsed="false">
      <c r="A728" s="11" t="n">
        <f aca="false">Raw_Data!A728</f>
        <v>1472</v>
      </c>
      <c r="B728" s="11" t="str">
        <f aca="false">PROPER(TRIM(Raw_Data!B728))</f>
        <v>Festive Gift Bundle</v>
      </c>
      <c r="C728" s="11" t="str">
        <f aca="false">IFERROR(INDEX(Lookup_Tables!$B$2:$B$26,MATCH(UPPER(TRIM(Raw_Data!C728)),Lookup_Tables!$C$2:$C$26,0)),"Unknown")</f>
        <v>Instagram</v>
      </c>
      <c r="D728" s="12" t="n">
        <f aca="false">IFERROR(IF(ISNUMBER(SEARCH("/",Raw_Data!D728)),DATE(VALUE(RIGHT(Raw_Data!D728,4)),VALUE(MID(Raw_Data!D728,FIND("/",Raw_Data!D728)+1,FIND("/",Raw_Data!D728,FIND("/",Raw_Data!D728)+1)-FIND("/",Raw_Data!D728)-1)),VALUE(LEFT(Raw_Data!D728,FIND("/",Raw_Data!D728)-1))),IF(ISNUMBER(VALUE(LEFT(Raw_Data!D728,4))),DATE(VALUE(LEFT(Raw_Data!D728,4)),VALUE(MID(Raw_Data!D728,6,2)),VALUE(MID(Raw_Data!D728,9,2))),DATEVALUE(Raw_Data!D728))),"")</f>
        <v>45536</v>
      </c>
      <c r="E728" s="12" t="n">
        <f aca="false">IFERROR(IF(ISNUMBER(SEARCH("/",Raw_Data!E728)),DATE(VALUE(RIGHT(Raw_Data!E728,4)),VALUE(MID(Raw_Data!E728,FIND("/",Raw_Data!E728)+1,FIND("/",Raw_Data!E728,FIND("/",Raw_Data!E728)+1)-FIND("/",Raw_Data!E728)-1)),VALUE(LEFT(Raw_Data!E728,FIND("/",Raw_Data!E728)-1))),IF(ISNUMBER(VALUE(LEFT(Raw_Data!E728,4))),DATE(VALUE(LEFT(Raw_Data!E728,4)),VALUE(MID(Raw_Data!E728,6,2)),VALUE(MID(Raw_Data!E728,9,2))),DATEVALUE(Raw_Data!E728))),"")</f>
        <v>45559</v>
      </c>
      <c r="F728" s="11" t="str">
        <f aca="false">Raw_Data!F728</f>
        <v>Female 45+</v>
      </c>
      <c r="G728" s="11" t="str">
        <f aca="false">IF(TRIM(Raw_Data!G728)="","Unspecified",IFERROR(INDEX(Lookup_Tables!$F$2:$F$24,MATCH(UPPER(TRIM(Raw_Data!G728)),Lookup_Tables!$G$2:$G$24,0)),"Unknown"))</f>
        <v>South</v>
      </c>
      <c r="H728" s="11" t="n">
        <f aca="false">IF(Raw_Data!H728="",ROUND(AVERAGEIFS(Raw_Data!$H$2:$H$839,Raw_Data!$C$2:$C$839,Raw_Data!C728),2),Raw_Data!H728)</f>
        <v>21471.17</v>
      </c>
      <c r="I728" s="11" t="n">
        <f aca="false">Raw_Data!I728</f>
        <v>690651</v>
      </c>
      <c r="J728" s="11" t="n">
        <f aca="false">IF(Raw_Data!J728&lt;0,ABS(Raw_Data!J728),Raw_Data!J728)</f>
        <v>18230</v>
      </c>
      <c r="K728" s="11" t="n">
        <f aca="false">Raw_Data!K728</f>
        <v>1021</v>
      </c>
      <c r="L728" s="11" t="n">
        <f aca="false">IF(Raw_Data!L728="",ROUND(AVERAGEIFS(Raw_Data!$L$2:$L$839,Raw_Data!$C$2:$C$839,Raw_Data!C728),2),Raw_Data!L728)</f>
        <v>568566.01</v>
      </c>
      <c r="M728" s="13" t="n">
        <f aca="false">IFERROR(J728/I728,0)</f>
        <v>0.026395386381834</v>
      </c>
      <c r="N728" s="14" t="n">
        <f aca="false">IFERROR(H728/J728,0)</f>
        <v>1.17779319802523</v>
      </c>
      <c r="O728" s="14" t="n">
        <f aca="false">IFERROR(H728/K728,0)</f>
        <v>21.0295494613124</v>
      </c>
      <c r="P728" s="15" t="n">
        <f aca="false">IFERROR(L728/H728,0)</f>
        <v>26.4804391190606</v>
      </c>
      <c r="Q728" s="13" t="n">
        <f aca="false">IFERROR(K728/J728,0)</f>
        <v>0.056006582556226</v>
      </c>
      <c r="R728" s="11" t="str">
        <f aca="false">IF(COUNTIF($A$2:A728,A728)&gt;1,"Duplicate - Remove","Unique")</f>
        <v>Unique</v>
      </c>
      <c r="S728" s="11" t="str">
        <f aca="false">TRIM(IF(Raw_Data!G728="","Region missing; ","")&amp;IF(Raw_Data!H728="","Spend imputed; ","")&amp;IF(Raw_Data!L728="","Revenue imputed; ","")&amp;IF(Raw_Data!J728&lt;0,"Clicks corrected; ",""))</f>
        <v/>
      </c>
    </row>
    <row r="729" customFormat="false" ht="15" hidden="false" customHeight="true" outlineLevel="0" collapsed="false">
      <c r="A729" s="11" t="n">
        <f aca="false">Raw_Data!A729</f>
        <v>1572</v>
      </c>
      <c r="B729" s="11" t="str">
        <f aca="false">PROPER(TRIM(Raw_Data!B729))</f>
        <v>Sunscreen Season Campaign</v>
      </c>
      <c r="C729" s="11" t="str">
        <f aca="false">IFERROR(INDEX(Lookup_Tables!$B$2:$B$26,MATCH(UPPER(TRIM(Raw_Data!C729)),Lookup_Tables!$C$2:$C$26,0)),"Unknown")</f>
        <v>Google Ads</v>
      </c>
      <c r="D729" s="12" t="n">
        <f aca="false">IFERROR(IF(ISNUMBER(SEARCH("/",Raw_Data!D729)),DATE(VALUE(RIGHT(Raw_Data!D729,4)),VALUE(MID(Raw_Data!D729,FIND("/",Raw_Data!D729)+1,FIND("/",Raw_Data!D729,FIND("/",Raw_Data!D729)+1)-FIND("/",Raw_Data!D729)-1)),VALUE(LEFT(Raw_Data!D729,FIND("/",Raw_Data!D729)-1))),IF(ISNUMBER(VALUE(LEFT(Raw_Data!D729,4))),DATE(VALUE(LEFT(Raw_Data!D729,4)),VALUE(MID(Raw_Data!D729,6,2)),VALUE(MID(Raw_Data!D729,9,2))),DATEVALUE(Raw_Data!D729))),"")</f>
        <v>45618</v>
      </c>
      <c r="E729" s="12" t="n">
        <f aca="false">IFERROR(IF(ISNUMBER(SEARCH("/",Raw_Data!E729)),DATE(VALUE(RIGHT(Raw_Data!E729,4)),VALUE(MID(Raw_Data!E729,FIND("/",Raw_Data!E729)+1,FIND("/",Raw_Data!E729,FIND("/",Raw_Data!E729)+1)-FIND("/",Raw_Data!E729)-1)),VALUE(LEFT(Raw_Data!E729,FIND("/",Raw_Data!E729)-1))),IF(ISNUMBER(VALUE(LEFT(Raw_Data!E729,4))),DATE(VALUE(LEFT(Raw_Data!E729,4)),VALUE(MID(Raw_Data!E729,6,2)),VALUE(MID(Raw_Data!E729,9,2))),DATEVALUE(Raw_Data!E729))),"")</f>
        <v>45640</v>
      </c>
      <c r="F729" s="11" t="str">
        <f aca="false">Raw_Data!F729</f>
        <v>Male 45+</v>
      </c>
      <c r="G729" s="11" t="str">
        <f aca="false">IF(TRIM(Raw_Data!G729)="","Unspecified",IFERROR(INDEX(Lookup_Tables!$F$2:$F$24,MATCH(UPPER(TRIM(Raw_Data!G729)),Lookup_Tables!$G$2:$G$24,0)),"Unknown"))</f>
        <v>West</v>
      </c>
      <c r="H729" s="11" t="n">
        <f aca="false">IF(Raw_Data!H729="",ROUND(AVERAGEIFS(Raw_Data!$H$2:$H$839,Raw_Data!$C$2:$C$839,Raw_Data!C729),2),Raw_Data!H729)</f>
        <v>38602.76</v>
      </c>
      <c r="I729" s="11" t="n">
        <f aca="false">Raw_Data!I729</f>
        <v>1138366</v>
      </c>
      <c r="J729" s="11" t="n">
        <f aca="false">IF(Raw_Data!J729&lt;0,ABS(Raw_Data!J729),Raw_Data!J729)</f>
        <v>8408</v>
      </c>
      <c r="K729" s="11" t="n">
        <f aca="false">Raw_Data!K729</f>
        <v>612</v>
      </c>
      <c r="L729" s="11" t="n">
        <f aca="false">IF(Raw_Data!L729="",ROUND(AVERAGEIFS(Raw_Data!$L$2:$L$839,Raw_Data!$C$2:$C$839,Raw_Data!C729),2),Raw_Data!L729)</f>
        <v>703554.84</v>
      </c>
      <c r="M729" s="13" t="n">
        <f aca="false">IFERROR(J729/I729,0)</f>
        <v>0.00738602523265804</v>
      </c>
      <c r="N729" s="14" t="n">
        <f aca="false">IFERROR(H729/J729,0)</f>
        <v>4.59119410085633</v>
      </c>
      <c r="O729" s="14" t="n">
        <f aca="false">IFERROR(H729/K729,0)</f>
        <v>63.0764052287582</v>
      </c>
      <c r="P729" s="15" t="n">
        <f aca="false">IFERROR(L729/H729,0)</f>
        <v>18.2255061555184</v>
      </c>
      <c r="Q729" s="13" t="n">
        <f aca="false">IFERROR(K729/J729,0)</f>
        <v>0.0727878211227403</v>
      </c>
      <c r="R729" s="11" t="str">
        <f aca="false">IF(COUNTIF($A$2:A729,A729)&gt;1,"Duplicate - Remove","Unique")</f>
        <v>Unique</v>
      </c>
      <c r="S729" s="11" t="str">
        <f aca="false">TRIM(IF(Raw_Data!G729="","Region missing; ","")&amp;IF(Raw_Data!H729="","Spend imputed; ","")&amp;IF(Raw_Data!L729="","Revenue imputed; ","")&amp;IF(Raw_Data!J729&lt;0,"Clicks corrected; ",""))</f>
        <v/>
      </c>
    </row>
    <row r="730" customFormat="false" ht="15" hidden="false" customHeight="true" outlineLevel="0" collapsed="false">
      <c r="A730" s="11" t="n">
        <f aca="false">Raw_Data!A730</f>
        <v>1629</v>
      </c>
      <c r="B730" s="11" t="str">
        <f aca="false">PROPER(TRIM(Raw_Data!B730))</f>
        <v>Baby Care Trust Campaign</v>
      </c>
      <c r="C730" s="11" t="str">
        <f aca="false">IFERROR(INDEX(Lookup_Tables!$B$2:$B$26,MATCH(UPPER(TRIM(Raw_Data!C730)),Lookup_Tables!$C$2:$C$26,0)),"Unknown")</f>
        <v>Facebook</v>
      </c>
      <c r="D730" s="12" t="n">
        <f aca="false">IFERROR(IF(ISNUMBER(SEARCH("/",Raw_Data!D730)),DATE(VALUE(RIGHT(Raw_Data!D730,4)),VALUE(MID(Raw_Data!D730,FIND("/",Raw_Data!D730)+1,FIND("/",Raw_Data!D730,FIND("/",Raw_Data!D730)+1)-FIND("/",Raw_Data!D730)-1)),VALUE(LEFT(Raw_Data!D730,FIND("/",Raw_Data!D730)-1))),IF(ISNUMBER(VALUE(LEFT(Raw_Data!D730,4))),DATE(VALUE(LEFT(Raw_Data!D730,4)),VALUE(MID(Raw_Data!D730,6,2)),VALUE(MID(Raw_Data!D730,9,2))),DATEVALUE(Raw_Data!D730))),"")</f>
        <v>45437</v>
      </c>
      <c r="E730" s="12" t="n">
        <f aca="false">IFERROR(IF(ISNUMBER(SEARCH("/",Raw_Data!E730)),DATE(VALUE(RIGHT(Raw_Data!E730,4)),VALUE(MID(Raw_Data!E730,FIND("/",Raw_Data!E730)+1,FIND("/",Raw_Data!E730,FIND("/",Raw_Data!E730)+1)-FIND("/",Raw_Data!E730)-1)),VALUE(LEFT(Raw_Data!E730,FIND("/",Raw_Data!E730)-1))),IF(ISNUMBER(VALUE(LEFT(Raw_Data!E730,4))),DATE(VALUE(LEFT(Raw_Data!E730,4)),VALUE(MID(Raw_Data!E730,6,2)),VALUE(MID(Raw_Data!E730,9,2))),DATEVALUE(Raw_Data!E730))),"")</f>
        <v>45459</v>
      </c>
      <c r="F730" s="11" t="str">
        <f aca="false">Raw_Data!F730</f>
        <v>Female 18-24</v>
      </c>
      <c r="G730" s="11" t="str">
        <f aca="false">IF(TRIM(Raw_Data!G730)="","Unspecified",IFERROR(INDEX(Lookup_Tables!$F$2:$F$24,MATCH(UPPER(TRIM(Raw_Data!G730)),Lookup_Tables!$G$2:$G$24,0)),"Unknown"))</f>
        <v>West</v>
      </c>
      <c r="H730" s="11" t="n">
        <f aca="false">IF(Raw_Data!H730="",ROUND(AVERAGEIFS(Raw_Data!$H$2:$H$839,Raw_Data!$C$2:$C$839,Raw_Data!C730),2),Raw_Data!H730)</f>
        <v>27593.3</v>
      </c>
      <c r="I730" s="11" t="n">
        <f aca="false">Raw_Data!I730</f>
        <v>575815</v>
      </c>
      <c r="J730" s="11" t="n">
        <f aca="false">IF(Raw_Data!J730&lt;0,ABS(Raw_Data!J730),Raw_Data!J730)</f>
        <v>18791</v>
      </c>
      <c r="K730" s="11" t="n">
        <f aca="false">Raw_Data!K730</f>
        <v>361</v>
      </c>
      <c r="L730" s="11" t="n">
        <f aca="false">IF(Raw_Data!L730="",ROUND(AVERAGEIFS(Raw_Data!$L$2:$L$839,Raw_Data!$C$2:$C$839,Raw_Data!C730),2),Raw_Data!L730)</f>
        <v>444147.88</v>
      </c>
      <c r="M730" s="13" t="n">
        <f aca="false">IFERROR(J730/I730,0)</f>
        <v>0.0326337452133064</v>
      </c>
      <c r="N730" s="14" t="n">
        <f aca="false">IFERROR(H730/J730,0)</f>
        <v>1.46843169602469</v>
      </c>
      <c r="O730" s="14" t="n">
        <f aca="false">IFERROR(H730/K730,0)</f>
        <v>76.4357340720222</v>
      </c>
      <c r="P730" s="15" t="n">
        <f aca="false">IFERROR(L730/H730,0)</f>
        <v>16.0962219089417</v>
      </c>
      <c r="Q730" s="13" t="n">
        <f aca="false">IFERROR(K730/J730,0)</f>
        <v>0.019211324570273</v>
      </c>
      <c r="R730" s="11" t="str">
        <f aca="false">IF(COUNTIF($A$2:A730,A730)&gt;1,"Duplicate - Remove","Unique")</f>
        <v>Unique</v>
      </c>
      <c r="S730" s="11" t="str">
        <f aca="false">TRIM(IF(Raw_Data!G730="","Region missing; ","")&amp;IF(Raw_Data!H730="","Spend imputed; ","")&amp;IF(Raw_Data!L730="","Revenue imputed; ","")&amp;IF(Raw_Data!J730&lt;0,"Clicks corrected; ",""))</f>
        <v/>
      </c>
    </row>
    <row r="731" customFormat="false" ht="15" hidden="false" customHeight="true" outlineLevel="0" collapsed="false">
      <c r="A731" s="11" t="n">
        <f aca="false">Raw_Data!A731</f>
        <v>1617</v>
      </c>
      <c r="B731" s="11" t="str">
        <f aca="false">PROPER(TRIM(Raw_Data!B731))</f>
        <v>Festive Gift Bundle</v>
      </c>
      <c r="C731" s="11" t="str">
        <f aca="false">IFERROR(INDEX(Lookup_Tables!$B$2:$B$26,MATCH(UPPER(TRIM(Raw_Data!C731)),Lookup_Tables!$C$2:$C$26,0)),"Unknown")</f>
        <v>Instagram</v>
      </c>
      <c r="D731" s="12" t="n">
        <f aca="false">IFERROR(IF(ISNUMBER(SEARCH("/",Raw_Data!D731)),DATE(VALUE(RIGHT(Raw_Data!D731,4)),VALUE(MID(Raw_Data!D731,FIND("/",Raw_Data!D731)+1,FIND("/",Raw_Data!D731,FIND("/",Raw_Data!D731)+1)-FIND("/",Raw_Data!D731)-1)),VALUE(LEFT(Raw_Data!D731,FIND("/",Raw_Data!D731)-1))),IF(ISNUMBER(VALUE(LEFT(Raw_Data!D731,4))),DATE(VALUE(LEFT(Raw_Data!D731,4)),VALUE(MID(Raw_Data!D731,6,2)),VALUE(MID(Raw_Data!D731,9,2))),DATEVALUE(Raw_Data!D731))),"")</f>
        <v>45343</v>
      </c>
      <c r="E731" s="12" t="n">
        <f aca="false">IFERROR(IF(ISNUMBER(SEARCH("/",Raw_Data!E731)),DATE(VALUE(RIGHT(Raw_Data!E731,4)),VALUE(MID(Raw_Data!E731,FIND("/",Raw_Data!E731)+1,FIND("/",Raw_Data!E731,FIND("/",Raw_Data!E731)+1)-FIND("/",Raw_Data!E731)-1)),VALUE(LEFT(Raw_Data!E731,FIND("/",Raw_Data!E731)-1))),IF(ISNUMBER(VALUE(LEFT(Raw_Data!E731,4))),DATE(VALUE(LEFT(Raw_Data!E731,4)),VALUE(MID(Raw_Data!E731,6,2)),VALUE(MID(Raw_Data!E731,9,2))),DATEVALUE(Raw_Data!E731))),"")</f>
        <v>45363</v>
      </c>
      <c r="F731" s="11" t="str">
        <f aca="false">Raw_Data!F731</f>
        <v>Male 35-44</v>
      </c>
      <c r="G731" s="11" t="str">
        <f aca="false">IF(TRIM(Raw_Data!G731)="","Unspecified",IFERROR(INDEX(Lookup_Tables!$F$2:$F$24,MATCH(UPPER(TRIM(Raw_Data!G731)),Lookup_Tables!$G$2:$G$24,0)),"Unknown"))</f>
        <v>East</v>
      </c>
      <c r="H731" s="11" t="n">
        <f aca="false">IF(Raw_Data!H731="",ROUND(AVERAGEIFS(Raw_Data!$H$2:$H$839,Raw_Data!$C$2:$C$839,Raw_Data!C731),2),Raw_Data!H731)</f>
        <v>43712.89</v>
      </c>
      <c r="I731" s="11" t="n">
        <f aca="false">Raw_Data!I731</f>
        <v>1419335</v>
      </c>
      <c r="J731" s="11" t="n">
        <f aca="false">IF(Raw_Data!J731&lt;0,ABS(Raw_Data!J731),Raw_Data!J731)</f>
        <v>45965</v>
      </c>
      <c r="K731" s="11" t="n">
        <f aca="false">Raw_Data!K731</f>
        <v>2610</v>
      </c>
      <c r="L731" s="11" t="n">
        <f aca="false">IF(Raw_Data!L731="",ROUND(AVERAGEIFS(Raw_Data!$L$2:$L$839,Raw_Data!$C$2:$C$839,Raw_Data!C731),2),Raw_Data!L731)</f>
        <v>4059732.69</v>
      </c>
      <c r="M731" s="13" t="n">
        <f aca="false">IFERROR(J731/I731,0)</f>
        <v>0.0323848844705443</v>
      </c>
      <c r="N731" s="14" t="n">
        <f aca="false">IFERROR(H731/J731,0)</f>
        <v>0.951003807244643</v>
      </c>
      <c r="O731" s="14" t="n">
        <f aca="false">IFERROR(H731/K731,0)</f>
        <v>16.7482337164751</v>
      </c>
      <c r="P731" s="15" t="n">
        <f aca="false">IFERROR(L731/H731,0)</f>
        <v>92.8726673070575</v>
      </c>
      <c r="Q731" s="13" t="n">
        <f aca="false">IFERROR(K731/J731,0)</f>
        <v>0.056782334384858</v>
      </c>
      <c r="R731" s="11" t="str">
        <f aca="false">IF(COUNTIF($A$2:A731,A731)&gt;1,"Duplicate - Remove","Unique")</f>
        <v>Unique</v>
      </c>
      <c r="S731" s="11" t="str">
        <f aca="false">TRIM(IF(Raw_Data!G731="","Region missing; ","")&amp;IF(Raw_Data!H731="","Spend imputed; ","")&amp;IF(Raw_Data!L731="","Revenue imputed; ","")&amp;IF(Raw_Data!J731&lt;0,"Clicks corrected; ",""))</f>
        <v/>
      </c>
    </row>
    <row r="732" customFormat="false" ht="15" hidden="false" customHeight="true" outlineLevel="0" collapsed="false">
      <c r="A732" s="11" t="n">
        <f aca="false">Raw_Data!A732</f>
        <v>1421</v>
      </c>
      <c r="B732" s="11" t="str">
        <f aca="false">PROPER(TRIM(Raw_Data!B732))</f>
        <v>Sunscreen Season Campaign</v>
      </c>
      <c r="C732" s="11" t="str">
        <f aca="false">IFERROR(INDEX(Lookup_Tables!$B$2:$B$26,MATCH(UPPER(TRIM(Raw_Data!C732)),Lookup_Tables!$C$2:$C$26,0)),"Unknown")</f>
        <v>Facebook</v>
      </c>
      <c r="D732" s="12" t="n">
        <f aca="false">IFERROR(IF(ISNUMBER(SEARCH("/",Raw_Data!D732)),DATE(VALUE(RIGHT(Raw_Data!D732,4)),VALUE(MID(Raw_Data!D732,FIND("/",Raw_Data!D732)+1,FIND("/",Raw_Data!D732,FIND("/",Raw_Data!D732)+1)-FIND("/",Raw_Data!D732)-1)),VALUE(LEFT(Raw_Data!D732,FIND("/",Raw_Data!D732)-1))),IF(ISNUMBER(VALUE(LEFT(Raw_Data!D732,4))),DATE(VALUE(LEFT(Raw_Data!D732,4)),VALUE(MID(Raw_Data!D732,6,2)),VALUE(MID(Raw_Data!D732,9,2))),DATEVALUE(Raw_Data!D732))),"")</f>
        <v>45325</v>
      </c>
      <c r="E732" s="12" t="n">
        <f aca="false">IFERROR(IF(ISNUMBER(SEARCH("/",Raw_Data!E732)),DATE(VALUE(RIGHT(Raw_Data!E732,4)),VALUE(MID(Raw_Data!E732,FIND("/",Raw_Data!E732)+1,FIND("/",Raw_Data!E732,FIND("/",Raw_Data!E732)+1)-FIND("/",Raw_Data!E732)-1)),VALUE(LEFT(Raw_Data!E732,FIND("/",Raw_Data!E732)-1))),IF(ISNUMBER(VALUE(LEFT(Raw_Data!E732,4))),DATE(VALUE(LEFT(Raw_Data!E732,4)),VALUE(MID(Raw_Data!E732,6,2)),VALUE(MID(Raw_Data!E732,9,2))),DATEVALUE(Raw_Data!E732))),"")</f>
        <v>45333</v>
      </c>
      <c r="F732" s="11" t="str">
        <f aca="false">Raw_Data!F732</f>
        <v>Female 45+</v>
      </c>
      <c r="G732" s="11" t="str">
        <f aca="false">IF(TRIM(Raw_Data!G732)="","Unspecified",IFERROR(INDEX(Lookup_Tables!$F$2:$F$24,MATCH(UPPER(TRIM(Raw_Data!G732)),Lookup_Tables!$G$2:$G$24,0)),"Unknown"))</f>
        <v>South</v>
      </c>
      <c r="H732" s="11" t="n">
        <f aca="false">IF(Raw_Data!H732="",ROUND(AVERAGEIFS(Raw_Data!$H$2:$H$839,Raw_Data!$C$2:$C$839,Raw_Data!C732),2),Raw_Data!H732)</f>
        <v>44839.82</v>
      </c>
      <c r="I732" s="11" t="n">
        <f aca="false">Raw_Data!I732</f>
        <v>819217</v>
      </c>
      <c r="J732" s="11" t="n">
        <f aca="false">IF(Raw_Data!J732&lt;0,ABS(Raw_Data!J732),Raw_Data!J732)</f>
        <v>8756</v>
      </c>
      <c r="K732" s="11" t="n">
        <f aca="false">Raw_Data!K732</f>
        <v>413</v>
      </c>
      <c r="L732" s="11" t="n">
        <f aca="false">IF(Raw_Data!L732="",ROUND(AVERAGEIFS(Raw_Data!$L$2:$L$839,Raw_Data!$C$2:$C$839,Raw_Data!C732),2),Raw_Data!L732)</f>
        <v>560363.83</v>
      </c>
      <c r="M732" s="13" t="n">
        <f aca="false">IFERROR(J732/I732,0)</f>
        <v>0.0106882547603382</v>
      </c>
      <c r="N732" s="14" t="n">
        <f aca="false">IFERROR(H732/J732,0)</f>
        <v>5.12103928734582</v>
      </c>
      <c r="O732" s="14" t="n">
        <f aca="false">IFERROR(H732/K732,0)</f>
        <v>108.570992736077</v>
      </c>
      <c r="P732" s="15" t="n">
        <f aca="false">IFERROR(L732/H732,0)</f>
        <v>12.4970133689207</v>
      </c>
      <c r="Q732" s="13" t="n">
        <f aca="false">IFERROR(K732/J732,0)</f>
        <v>0.0471676564641389</v>
      </c>
      <c r="R732" s="11" t="str">
        <f aca="false">IF(COUNTIF($A$2:A732,A732)&gt;1,"Duplicate - Remove","Unique")</f>
        <v>Unique</v>
      </c>
      <c r="S732" s="11" t="str">
        <f aca="false">TRIM(IF(Raw_Data!G732="","Region missing; ","")&amp;IF(Raw_Data!H732="","Spend imputed; ","")&amp;IF(Raw_Data!L732="","Revenue imputed; ","")&amp;IF(Raw_Data!J732&lt;0,"Clicks corrected; ",""))</f>
        <v/>
      </c>
    </row>
    <row r="733" customFormat="false" ht="15" hidden="false" customHeight="true" outlineLevel="0" collapsed="false">
      <c r="A733" s="11" t="n">
        <f aca="false">Raw_Data!A733</f>
        <v>1247</v>
      </c>
      <c r="B733" s="11" t="str">
        <f aca="false">PROPER(TRIM(Raw_Data!B733))</f>
        <v>Summer Glow Launch</v>
      </c>
      <c r="C733" s="11" t="str">
        <f aca="false">IFERROR(INDEX(Lookup_Tables!$B$2:$B$26,MATCH(UPPER(TRIM(Raw_Data!C733)),Lookup_Tables!$C$2:$C$26,0)),"Unknown")</f>
        <v>Email</v>
      </c>
      <c r="D733" s="12" t="n">
        <f aca="false">IFERROR(IF(ISNUMBER(SEARCH("/",Raw_Data!D733)),DATE(VALUE(RIGHT(Raw_Data!D733,4)),VALUE(MID(Raw_Data!D733,FIND("/",Raw_Data!D733)+1,FIND("/",Raw_Data!D733,FIND("/",Raw_Data!D733)+1)-FIND("/",Raw_Data!D733)-1)),VALUE(LEFT(Raw_Data!D733,FIND("/",Raw_Data!D733)-1))),IF(ISNUMBER(VALUE(LEFT(Raw_Data!D733,4))),DATE(VALUE(LEFT(Raw_Data!D733,4)),VALUE(MID(Raw_Data!D733,6,2)),VALUE(MID(Raw_Data!D733,9,2))),DATEVALUE(Raw_Data!D733))),"")</f>
        <v>45388</v>
      </c>
      <c r="E733" s="12" t="n">
        <f aca="false">IFERROR(IF(ISNUMBER(SEARCH("/",Raw_Data!E733)),DATE(VALUE(RIGHT(Raw_Data!E733,4)),VALUE(MID(Raw_Data!E733,FIND("/",Raw_Data!E733)+1,FIND("/",Raw_Data!E733,FIND("/",Raw_Data!E733)+1)-FIND("/",Raw_Data!E733)-1)),VALUE(LEFT(Raw_Data!E733,FIND("/",Raw_Data!E733)-1))),IF(ISNUMBER(VALUE(LEFT(Raw_Data!E733,4))),DATE(VALUE(LEFT(Raw_Data!E733,4)),VALUE(MID(Raw_Data!E733,6,2)),VALUE(MID(Raw_Data!E733,9,2))),DATEVALUE(Raw_Data!E733))),"")</f>
        <v>45406</v>
      </c>
      <c r="F733" s="11" t="str">
        <f aca="false">Raw_Data!F733</f>
        <v>Male 35-44</v>
      </c>
      <c r="G733" s="11" t="str">
        <f aca="false">IF(TRIM(Raw_Data!G733)="","Unspecified",IFERROR(INDEX(Lookup_Tables!$F$2:$F$24,MATCH(UPPER(TRIM(Raw_Data!G733)),Lookup_Tables!$G$2:$G$24,0)),"Unknown"))</f>
        <v>Central</v>
      </c>
      <c r="H733" s="11" t="n">
        <f aca="false">IF(Raw_Data!H733="",ROUND(AVERAGEIFS(Raw_Data!$H$2:$H$839,Raw_Data!$C$2:$C$839,Raw_Data!C733),2),Raw_Data!H733)</f>
        <v>4059.74</v>
      </c>
      <c r="I733" s="11" t="n">
        <f aca="false">Raw_Data!I733</f>
        <v>86258</v>
      </c>
      <c r="J733" s="11" t="n">
        <f aca="false">IF(Raw_Data!J733&lt;0,ABS(Raw_Data!J733),Raw_Data!J733)</f>
        <v>2281</v>
      </c>
      <c r="K733" s="11" t="n">
        <f aca="false">Raw_Data!K733</f>
        <v>125</v>
      </c>
      <c r="L733" s="11" t="n">
        <f aca="false">IF(Raw_Data!L733="",ROUND(AVERAGEIFS(Raw_Data!$L$2:$L$839,Raw_Data!$C$2:$C$839,Raw_Data!C733),2),Raw_Data!L733)</f>
        <v>193902.37</v>
      </c>
      <c r="M733" s="13" t="n">
        <f aca="false">IFERROR(J733/I733,0)</f>
        <v>0.026443924041828</v>
      </c>
      <c r="N733" s="14" t="n">
        <f aca="false">IFERROR(H733/J733,0)</f>
        <v>1.77980710214818</v>
      </c>
      <c r="O733" s="14" t="n">
        <f aca="false">IFERROR(H733/K733,0)</f>
        <v>32.47792</v>
      </c>
      <c r="P733" s="15" t="n">
        <f aca="false">IFERROR(L733/H733,0)</f>
        <v>47.7622631005927</v>
      </c>
      <c r="Q733" s="13" t="n">
        <f aca="false">IFERROR(K733/J733,0)</f>
        <v>0.0548005260850504</v>
      </c>
      <c r="R733" s="11" t="str">
        <f aca="false">IF(COUNTIF($A$2:A733,A733)&gt;1,"Duplicate - Remove","Unique")</f>
        <v>Unique</v>
      </c>
      <c r="S733" s="11" t="str">
        <f aca="false">TRIM(IF(Raw_Data!G733="","Region missing; ","")&amp;IF(Raw_Data!H733="","Spend imputed; ","")&amp;IF(Raw_Data!L733="","Revenue imputed; ","")&amp;IF(Raw_Data!J733&lt;0,"Clicks corrected; ",""))</f>
        <v/>
      </c>
    </row>
    <row r="734" customFormat="false" ht="15" hidden="false" customHeight="true" outlineLevel="0" collapsed="false">
      <c r="A734" s="11" t="n">
        <f aca="false">Raw_Data!A734</f>
        <v>1213</v>
      </c>
      <c r="B734" s="11" t="str">
        <f aca="false">PROPER(TRIM(Raw_Data!B734))</f>
        <v>Ayurvedic Range Launch</v>
      </c>
      <c r="C734" s="11" t="str">
        <f aca="false">IFERROR(INDEX(Lookup_Tables!$B$2:$B$26,MATCH(UPPER(TRIM(Raw_Data!C734)),Lookup_Tables!$C$2:$C$26,0)),"Unknown")</f>
        <v>Email</v>
      </c>
      <c r="D734" s="12" t="n">
        <f aca="false">IFERROR(IF(ISNUMBER(SEARCH("/",Raw_Data!D734)),DATE(VALUE(RIGHT(Raw_Data!D734,4)),VALUE(MID(Raw_Data!D734,FIND("/",Raw_Data!D734)+1,FIND("/",Raw_Data!D734,FIND("/",Raw_Data!D734)+1)-FIND("/",Raw_Data!D734)-1)),VALUE(LEFT(Raw_Data!D734,FIND("/",Raw_Data!D734)-1))),IF(ISNUMBER(VALUE(LEFT(Raw_Data!D734,4))),DATE(VALUE(LEFT(Raw_Data!D734,4)),VALUE(MID(Raw_Data!D734,6,2)),VALUE(MID(Raw_Data!D734,9,2))),DATEVALUE(Raw_Data!D734))),"")</f>
        <v>45591</v>
      </c>
      <c r="E734" s="12" t="n">
        <f aca="false">IFERROR(IF(ISNUMBER(SEARCH("/",Raw_Data!E734)),DATE(VALUE(RIGHT(Raw_Data!E734,4)),VALUE(MID(Raw_Data!E734,FIND("/",Raw_Data!E734)+1,FIND("/",Raw_Data!E734,FIND("/",Raw_Data!E734)+1)-FIND("/",Raw_Data!E734)-1)),VALUE(LEFT(Raw_Data!E734,FIND("/",Raw_Data!E734)-1))),IF(ISNUMBER(VALUE(LEFT(Raw_Data!E734,4))),DATE(VALUE(LEFT(Raw_Data!E734,4)),VALUE(MID(Raw_Data!E734,6,2)),VALUE(MID(Raw_Data!E734,9,2))),DATEVALUE(Raw_Data!E734))),"")</f>
        <v>45597</v>
      </c>
      <c r="F734" s="11" t="str">
        <f aca="false">Raw_Data!F734</f>
        <v>Female 25-34</v>
      </c>
      <c r="G734" s="11" t="str">
        <f aca="false">IF(TRIM(Raw_Data!G734)="","Unspecified",IFERROR(INDEX(Lookup_Tables!$F$2:$F$24,MATCH(UPPER(TRIM(Raw_Data!G734)),Lookup_Tables!$G$2:$G$24,0)),"Unknown"))</f>
        <v>West</v>
      </c>
      <c r="H734" s="11" t="n">
        <f aca="false">IF(Raw_Data!H734="",ROUND(AVERAGEIFS(Raw_Data!$H$2:$H$839,Raw_Data!$C$2:$C$839,Raw_Data!C734),2),Raw_Data!H734)</f>
        <v>6937.76</v>
      </c>
      <c r="I734" s="11" t="n">
        <f aca="false">Raw_Data!I734</f>
        <v>166107</v>
      </c>
      <c r="J734" s="11" t="n">
        <f aca="false">IF(Raw_Data!J734&lt;0,ABS(Raw_Data!J734),Raw_Data!J734)</f>
        <v>3336</v>
      </c>
      <c r="K734" s="11" t="n">
        <f aca="false">Raw_Data!K734</f>
        <v>101</v>
      </c>
      <c r="L734" s="11" t="n">
        <f aca="false">IF(Raw_Data!L734="",ROUND(AVERAGEIFS(Raw_Data!$L$2:$L$839,Raw_Data!$C$2:$C$839,Raw_Data!C734),2),Raw_Data!L734)</f>
        <v>135796.93</v>
      </c>
      <c r="M734" s="13" t="n">
        <f aca="false">IFERROR(J734/I734,0)</f>
        <v>0.0200834401921653</v>
      </c>
      <c r="N734" s="14" t="n">
        <f aca="false">IFERROR(H734/J734,0)</f>
        <v>2.07966426858513</v>
      </c>
      <c r="O734" s="14" t="n">
        <f aca="false">IFERROR(H734/K734,0)</f>
        <v>68.6906930693069</v>
      </c>
      <c r="P734" s="15" t="n">
        <f aca="false">IFERROR(L734/H734,0)</f>
        <v>19.5735986831485</v>
      </c>
      <c r="Q734" s="13" t="n">
        <f aca="false">IFERROR(K734/J734,0)</f>
        <v>0.0302757793764988</v>
      </c>
      <c r="R734" s="11" t="str">
        <f aca="false">IF(COUNTIF($A$2:A734,A734)&gt;1,"Duplicate - Remove","Unique")</f>
        <v>Unique</v>
      </c>
      <c r="S734" s="11" t="str">
        <f aca="false">TRIM(IF(Raw_Data!G734="","Region missing; ","")&amp;IF(Raw_Data!H734="","Spend imputed; ","")&amp;IF(Raw_Data!L734="","Revenue imputed; ","")&amp;IF(Raw_Data!J734&lt;0,"Clicks corrected; ",""))</f>
        <v/>
      </c>
    </row>
    <row r="735" customFormat="false" ht="15" hidden="false" customHeight="true" outlineLevel="0" collapsed="false">
      <c r="A735" s="11" t="n">
        <f aca="false">Raw_Data!A735</f>
        <v>1417</v>
      </c>
      <c r="B735" s="11" t="str">
        <f aca="false">PROPER(TRIM(Raw_Data!B735))</f>
        <v>Sunscreen Season Campaign</v>
      </c>
      <c r="C735" s="11" t="str">
        <f aca="false">IFERROR(INDEX(Lookup_Tables!$B$2:$B$26,MATCH(UPPER(TRIM(Raw_Data!C735)),Lookup_Tables!$C$2:$C$26,0)),"Unknown")</f>
        <v>Facebook</v>
      </c>
      <c r="D735" s="12" t="n">
        <f aca="false">IFERROR(IF(ISNUMBER(SEARCH("/",Raw_Data!D735)),DATE(VALUE(RIGHT(Raw_Data!D735,4)),VALUE(MID(Raw_Data!D735,FIND("/",Raw_Data!D735)+1,FIND("/",Raw_Data!D735,FIND("/",Raw_Data!D735)+1)-FIND("/",Raw_Data!D735)-1)),VALUE(LEFT(Raw_Data!D735,FIND("/",Raw_Data!D735)-1))),IF(ISNUMBER(VALUE(LEFT(Raw_Data!D735,4))),DATE(VALUE(LEFT(Raw_Data!D735,4)),VALUE(MID(Raw_Data!D735,6,2)),VALUE(MID(Raw_Data!D735,9,2))),DATEVALUE(Raw_Data!D735))),"")</f>
        <v>45321</v>
      </c>
      <c r="E735" s="12" t="n">
        <f aca="false">IFERROR(IF(ISNUMBER(SEARCH("/",Raw_Data!E735)),DATE(VALUE(RIGHT(Raw_Data!E735,4)),VALUE(MID(Raw_Data!E735,FIND("/",Raw_Data!E735)+1,FIND("/",Raw_Data!E735,FIND("/",Raw_Data!E735)+1)-FIND("/",Raw_Data!E735)-1)),VALUE(LEFT(Raw_Data!E735,FIND("/",Raw_Data!E735)-1))),IF(ISNUMBER(VALUE(LEFT(Raw_Data!E735,4))),DATE(VALUE(LEFT(Raw_Data!E735,4)),VALUE(MID(Raw_Data!E735,6,2)),VALUE(MID(Raw_Data!E735,9,2))),DATEVALUE(Raw_Data!E735))),"")</f>
        <v>45333</v>
      </c>
      <c r="F735" s="11" t="str">
        <f aca="false">Raw_Data!F735</f>
        <v>Female 35-44</v>
      </c>
      <c r="G735" s="11" t="str">
        <f aca="false">IF(TRIM(Raw_Data!G735)="","Unspecified",IFERROR(INDEX(Lookup_Tables!$F$2:$F$24,MATCH(UPPER(TRIM(Raw_Data!G735)),Lookup_Tables!$G$2:$G$24,0)),"Unknown"))</f>
        <v>East</v>
      </c>
      <c r="H735" s="11" t="n">
        <f aca="false">IF(Raw_Data!H735="",ROUND(AVERAGEIFS(Raw_Data!$H$2:$H$839,Raw_Data!$C$2:$C$839,Raw_Data!C735),2),Raw_Data!H735)</f>
        <v>42044.09</v>
      </c>
      <c r="I735" s="11" t="n">
        <f aca="false">Raw_Data!I735</f>
        <v>1218700</v>
      </c>
      <c r="J735" s="11" t="n">
        <f aca="false">IF(Raw_Data!J735&lt;0,ABS(Raw_Data!J735),Raw_Data!J735)</f>
        <v>8089</v>
      </c>
      <c r="K735" s="11" t="n">
        <f aca="false">Raw_Data!K735</f>
        <v>275</v>
      </c>
      <c r="L735" s="11" t="n">
        <f aca="false">IF(Raw_Data!L735="",ROUND(AVERAGEIFS(Raw_Data!$L$2:$L$839,Raw_Data!$C$2:$C$839,Raw_Data!C735),2),Raw_Data!L735)</f>
        <v>485633.67</v>
      </c>
      <c r="M735" s="13" t="n">
        <f aca="false">IFERROR(J735/I735,0)</f>
        <v>0.00663740050873882</v>
      </c>
      <c r="N735" s="14" t="n">
        <f aca="false">IFERROR(H735/J735,0)</f>
        <v>5.19768698232167</v>
      </c>
      <c r="O735" s="14" t="n">
        <f aca="false">IFERROR(H735/K735,0)</f>
        <v>152.8876</v>
      </c>
      <c r="P735" s="15" t="n">
        <f aca="false">IFERROR(L735/H735,0)</f>
        <v>11.5505810685878</v>
      </c>
      <c r="Q735" s="13" t="n">
        <f aca="false">IFERROR(K735/J735,0)</f>
        <v>0.0339967857584374</v>
      </c>
      <c r="R735" s="11" t="str">
        <f aca="false">IF(COUNTIF($A$2:A735,A735)&gt;1,"Duplicate - Remove","Unique")</f>
        <v>Unique</v>
      </c>
      <c r="S735" s="11" t="str">
        <f aca="false">TRIM(IF(Raw_Data!G735="","Region missing; ","")&amp;IF(Raw_Data!H735="","Spend imputed; ","")&amp;IF(Raw_Data!L735="","Revenue imputed; ","")&amp;IF(Raw_Data!J735&lt;0,"Clicks corrected; ",""))</f>
        <v/>
      </c>
    </row>
    <row r="736" customFormat="false" ht="15" hidden="false" customHeight="true" outlineLevel="0" collapsed="false">
      <c r="A736" s="11" t="n">
        <f aca="false">Raw_Data!A736</f>
        <v>1055</v>
      </c>
      <c r="B736" s="11" t="str">
        <f aca="false">PROPER(TRIM(Raw_Data!B736))</f>
        <v>Ayurvedic Range Launch</v>
      </c>
      <c r="C736" s="11" t="str">
        <f aca="false">IFERROR(INDEX(Lookup_Tables!$B$2:$B$26,MATCH(UPPER(TRIM(Raw_Data!C736)),Lookup_Tables!$C$2:$C$26,0)),"Unknown")</f>
        <v>Google Ads</v>
      </c>
      <c r="D736" s="12" t="n">
        <f aca="false">IFERROR(IF(ISNUMBER(SEARCH("/",Raw_Data!D736)),DATE(VALUE(RIGHT(Raw_Data!D736,4)),VALUE(MID(Raw_Data!D736,FIND("/",Raw_Data!D736)+1,FIND("/",Raw_Data!D736,FIND("/",Raw_Data!D736)+1)-FIND("/",Raw_Data!D736)-1)),VALUE(LEFT(Raw_Data!D736,FIND("/",Raw_Data!D736)-1))),IF(ISNUMBER(VALUE(LEFT(Raw_Data!D736,4))),DATE(VALUE(LEFT(Raw_Data!D736,4)),VALUE(MID(Raw_Data!D736,6,2)),VALUE(MID(Raw_Data!D736,9,2))),DATEVALUE(Raw_Data!D736))),"")</f>
        <v>45623</v>
      </c>
      <c r="E736" s="12" t="n">
        <f aca="false">IFERROR(IF(ISNUMBER(SEARCH("/",Raw_Data!E736)),DATE(VALUE(RIGHT(Raw_Data!E736,4)),VALUE(MID(Raw_Data!E736,FIND("/",Raw_Data!E736)+1,FIND("/",Raw_Data!E736,FIND("/",Raw_Data!E736)+1)-FIND("/",Raw_Data!E736)-1)),VALUE(LEFT(Raw_Data!E736,FIND("/",Raw_Data!E736)-1))),IF(ISNUMBER(VALUE(LEFT(Raw_Data!E736,4))),DATE(VALUE(LEFT(Raw_Data!E736,4)),VALUE(MID(Raw_Data!E736,6,2)),VALUE(MID(Raw_Data!E736,9,2))),DATEVALUE(Raw_Data!E736))),"")</f>
        <v>45630</v>
      </c>
      <c r="F736" s="11" t="str">
        <f aca="false">Raw_Data!F736</f>
        <v>Male 18-24</v>
      </c>
      <c r="G736" s="11" t="str">
        <f aca="false">IF(TRIM(Raw_Data!G736)="","Unspecified",IFERROR(INDEX(Lookup_Tables!$F$2:$F$24,MATCH(UPPER(TRIM(Raw_Data!G736)),Lookup_Tables!$G$2:$G$24,0)),"Unknown"))</f>
        <v>Central</v>
      </c>
      <c r="H736" s="11" t="n">
        <f aca="false">IF(Raw_Data!H736="",ROUND(AVERAGEIFS(Raw_Data!$H$2:$H$839,Raw_Data!$C$2:$C$839,Raw_Data!C736),2),Raw_Data!H736)</f>
        <v>67669.87</v>
      </c>
      <c r="I736" s="11" t="n">
        <f aca="false">Raw_Data!I736</f>
        <v>2553501</v>
      </c>
      <c r="J736" s="11" t="n">
        <f aca="false">IF(Raw_Data!J736&lt;0,ABS(Raw_Data!J736),Raw_Data!J736)</f>
        <v>35916</v>
      </c>
      <c r="K736" s="11" t="n">
        <f aca="false">Raw_Data!K736</f>
        <v>1385</v>
      </c>
      <c r="L736" s="11" t="n">
        <f aca="false">IF(Raw_Data!L736="",ROUND(AVERAGEIFS(Raw_Data!$L$2:$L$839,Raw_Data!$C$2:$C$839,Raw_Data!C736),2),Raw_Data!L736)</f>
        <v>765457.19</v>
      </c>
      <c r="M736" s="13" t="n">
        <f aca="false">IFERROR(J736/I736,0)</f>
        <v>0.0140653949225005</v>
      </c>
      <c r="N736" s="14" t="n">
        <f aca="false">IFERROR(H736/J736,0)</f>
        <v>1.88411487916249</v>
      </c>
      <c r="O736" s="14" t="n">
        <f aca="false">IFERROR(H736/K736,0)</f>
        <v>48.8591119133574</v>
      </c>
      <c r="P736" s="15" t="n">
        <f aca="false">IFERROR(L736/H736,0)</f>
        <v>11.3116397297645</v>
      </c>
      <c r="Q736" s="13" t="n">
        <f aca="false">IFERROR(K736/J736,0)</f>
        <v>0.0385622006905001</v>
      </c>
      <c r="R736" s="11" t="str">
        <f aca="false">IF(COUNTIF($A$2:A736,A736)&gt;1,"Duplicate - Remove","Unique")</f>
        <v>Unique</v>
      </c>
      <c r="S736" s="11" t="str">
        <f aca="false">TRIM(IF(Raw_Data!G736="","Region missing; ","")&amp;IF(Raw_Data!H736="","Spend imputed; ","")&amp;IF(Raw_Data!L736="","Revenue imputed; ","")&amp;IF(Raw_Data!J736&lt;0,"Clicks corrected; ",""))</f>
        <v/>
      </c>
    </row>
    <row r="737" customFormat="false" ht="15" hidden="false" customHeight="true" outlineLevel="0" collapsed="false">
      <c r="A737" s="11" t="n">
        <f aca="false">Raw_Data!A737</f>
        <v>1482</v>
      </c>
      <c r="B737" s="11" t="str">
        <f aca="false">PROPER(TRIM(Raw_Data!B737))</f>
        <v>Baby Care Trust Campaign</v>
      </c>
      <c r="C737" s="11" t="str">
        <f aca="false">IFERROR(INDEX(Lookup_Tables!$B$2:$B$26,MATCH(UPPER(TRIM(Raw_Data!C737)),Lookup_Tables!$C$2:$C$26,0)),"Unknown")</f>
        <v>Instagram</v>
      </c>
      <c r="D737" s="12" t="n">
        <f aca="false">IFERROR(IF(ISNUMBER(SEARCH("/",Raw_Data!D737)),DATE(VALUE(RIGHT(Raw_Data!D737,4)),VALUE(MID(Raw_Data!D737,FIND("/",Raw_Data!D737)+1,FIND("/",Raw_Data!D737,FIND("/",Raw_Data!D737)+1)-FIND("/",Raw_Data!D737)-1)),VALUE(LEFT(Raw_Data!D737,FIND("/",Raw_Data!D737)-1))),IF(ISNUMBER(VALUE(LEFT(Raw_Data!D737,4))),DATE(VALUE(LEFT(Raw_Data!D737,4)),VALUE(MID(Raw_Data!D737,6,2)),VALUE(MID(Raw_Data!D737,9,2))),DATEVALUE(Raw_Data!D737))),"")</f>
        <v>45497</v>
      </c>
      <c r="E737" s="12" t="n">
        <f aca="false">IFERROR(IF(ISNUMBER(SEARCH("/",Raw_Data!E737)),DATE(VALUE(RIGHT(Raw_Data!E737,4)),VALUE(MID(Raw_Data!E737,FIND("/",Raw_Data!E737)+1,FIND("/",Raw_Data!E737,FIND("/",Raw_Data!E737)+1)-FIND("/",Raw_Data!E737)-1)),VALUE(LEFT(Raw_Data!E737,FIND("/",Raw_Data!E737)-1))),IF(ISNUMBER(VALUE(LEFT(Raw_Data!E737,4))),DATE(VALUE(LEFT(Raw_Data!E737,4)),VALUE(MID(Raw_Data!E737,6,2)),VALUE(MID(Raw_Data!E737,9,2))),DATEVALUE(Raw_Data!E737))),"")</f>
        <v>45503</v>
      </c>
      <c r="F737" s="11" t="str">
        <f aca="false">Raw_Data!F737</f>
        <v>Female 35-44</v>
      </c>
      <c r="G737" s="11" t="str">
        <f aca="false">IF(TRIM(Raw_Data!G737)="","Unspecified",IFERROR(INDEX(Lookup_Tables!$F$2:$F$24,MATCH(UPPER(TRIM(Raw_Data!G737)),Lookup_Tables!$G$2:$G$24,0)),"Unknown"))</f>
        <v>Central</v>
      </c>
      <c r="H737" s="11" t="n">
        <f aca="false">IF(Raw_Data!H737="",ROUND(AVERAGEIFS(Raw_Data!$H$2:$H$839,Raw_Data!$C$2:$C$839,Raw_Data!C737),2),Raw_Data!H737)</f>
        <v>59500.74</v>
      </c>
      <c r="I737" s="11" t="n">
        <f aca="false">Raw_Data!I737</f>
        <v>2274562</v>
      </c>
      <c r="J737" s="11" t="n">
        <f aca="false">IF(Raw_Data!J737&lt;0,ABS(Raw_Data!J737),Raw_Data!J737)</f>
        <v>40462</v>
      </c>
      <c r="K737" s="11" t="n">
        <f aca="false">Raw_Data!K737</f>
        <v>2150</v>
      </c>
      <c r="L737" s="11" t="n">
        <f aca="false">IF(Raw_Data!L737="",ROUND(AVERAGEIFS(Raw_Data!$L$2:$L$839,Raw_Data!$C$2:$C$839,Raw_Data!C737),2),Raw_Data!L737)</f>
        <v>1035991.2</v>
      </c>
      <c r="M737" s="13" t="n">
        <f aca="false">IFERROR(J737/I737,0)</f>
        <v>0.0177889193611781</v>
      </c>
      <c r="N737" s="14" t="n">
        <f aca="false">IFERROR(H737/J737,0)</f>
        <v>1.47053383421482</v>
      </c>
      <c r="O737" s="14" t="n">
        <f aca="false">IFERROR(H737/K737,0)</f>
        <v>27.6747627906977</v>
      </c>
      <c r="P737" s="15" t="n">
        <f aca="false">IFERROR(L737/H737,0)</f>
        <v>17.4114002615766</v>
      </c>
      <c r="Q737" s="13" t="n">
        <f aca="false">IFERROR(K737/J737,0)</f>
        <v>0.0531362760120607</v>
      </c>
      <c r="R737" s="11" t="str">
        <f aca="false">IF(COUNTIF($A$2:A737,A737)&gt;1,"Duplicate - Remove","Unique")</f>
        <v>Unique</v>
      </c>
      <c r="S737" s="11" t="str">
        <f aca="false">TRIM(IF(Raw_Data!G737="","Region missing; ","")&amp;IF(Raw_Data!H737="","Spend imputed; ","")&amp;IF(Raw_Data!L737="","Revenue imputed; ","")&amp;IF(Raw_Data!J737&lt;0,"Clicks corrected; ",""))</f>
        <v/>
      </c>
    </row>
    <row r="738" customFormat="false" ht="15" hidden="false" customHeight="true" outlineLevel="0" collapsed="false">
      <c r="A738" s="11" t="n">
        <f aca="false">Raw_Data!A738</f>
        <v>1641</v>
      </c>
      <c r="B738" s="11" t="str">
        <f aca="false">PROPER(TRIM(Raw_Data!B738))</f>
        <v>Ayurvedic Range Launch</v>
      </c>
      <c r="C738" s="11" t="str">
        <f aca="false">IFERROR(INDEX(Lookup_Tables!$B$2:$B$26,MATCH(UPPER(TRIM(Raw_Data!C738)),Lookup_Tables!$C$2:$C$26,0)),"Unknown")</f>
        <v>Instagram</v>
      </c>
      <c r="D738" s="12" t="n">
        <f aca="false">IFERROR(IF(ISNUMBER(SEARCH("/",Raw_Data!D738)),DATE(VALUE(RIGHT(Raw_Data!D738,4)),VALUE(MID(Raw_Data!D738,FIND("/",Raw_Data!D738)+1,FIND("/",Raw_Data!D738,FIND("/",Raw_Data!D738)+1)-FIND("/",Raw_Data!D738)-1)),VALUE(LEFT(Raw_Data!D738,FIND("/",Raw_Data!D738)-1))),IF(ISNUMBER(VALUE(LEFT(Raw_Data!D738,4))),DATE(VALUE(LEFT(Raw_Data!D738,4)),VALUE(MID(Raw_Data!D738,6,2)),VALUE(MID(Raw_Data!D738,9,2))),DATEVALUE(Raw_Data!D738))),"")</f>
        <v>45320</v>
      </c>
      <c r="E738" s="12" t="n">
        <f aca="false">IFERROR(IF(ISNUMBER(SEARCH("/",Raw_Data!E738)),DATE(VALUE(RIGHT(Raw_Data!E738,4)),VALUE(MID(Raw_Data!E738,FIND("/",Raw_Data!E738)+1,FIND("/",Raw_Data!E738,FIND("/",Raw_Data!E738)+1)-FIND("/",Raw_Data!E738)-1)),VALUE(LEFT(Raw_Data!E738,FIND("/",Raw_Data!E738)-1))),IF(ISNUMBER(VALUE(LEFT(Raw_Data!E738,4))),DATE(VALUE(LEFT(Raw_Data!E738,4)),VALUE(MID(Raw_Data!E738,6,2)),VALUE(MID(Raw_Data!E738,9,2))),DATEVALUE(Raw_Data!E738))),"")</f>
        <v>45339</v>
      </c>
      <c r="F738" s="11" t="str">
        <f aca="false">Raw_Data!F738</f>
        <v>Female 25-34</v>
      </c>
      <c r="G738" s="11" t="str">
        <f aca="false">IF(TRIM(Raw_Data!G738)="","Unspecified",IFERROR(INDEX(Lookup_Tables!$F$2:$F$24,MATCH(UPPER(TRIM(Raw_Data!G738)),Lookup_Tables!$G$2:$G$24,0)),"Unknown"))</f>
        <v>North</v>
      </c>
      <c r="H738" s="11" t="n">
        <f aca="false">IF(Raw_Data!H738="",ROUND(AVERAGEIFS(Raw_Data!$H$2:$H$839,Raw_Data!$C$2:$C$839,Raw_Data!C738),2),Raw_Data!H738)</f>
        <v>35193.34</v>
      </c>
      <c r="I738" s="11" t="n">
        <f aca="false">Raw_Data!I738</f>
        <v>743188</v>
      </c>
      <c r="J738" s="11" t="n">
        <f aca="false">IF(Raw_Data!J738&lt;0,ABS(Raw_Data!J738),Raw_Data!J738)</f>
        <v>21491</v>
      </c>
      <c r="K738" s="11" t="n">
        <f aca="false">Raw_Data!K738</f>
        <v>489</v>
      </c>
      <c r="L738" s="11" t="n">
        <f aca="false">IF(Raw_Data!L738="",ROUND(AVERAGEIFS(Raw_Data!$L$2:$L$839,Raw_Data!$C$2:$C$839,Raw_Data!C738),2),Raw_Data!L738)</f>
        <v>835057.22</v>
      </c>
      <c r="M738" s="13" t="n">
        <f aca="false">IFERROR(J738/I738,0)</f>
        <v>0.0289173129813721</v>
      </c>
      <c r="N738" s="14" t="n">
        <f aca="false">IFERROR(H738/J738,0)</f>
        <v>1.6375850355963</v>
      </c>
      <c r="O738" s="14" t="n">
        <f aca="false">IFERROR(H738/K738,0)</f>
        <v>71.9700204498978</v>
      </c>
      <c r="P738" s="15" t="n">
        <f aca="false">IFERROR(L738/H738,0)</f>
        <v>23.727705867076</v>
      </c>
      <c r="Q738" s="13" t="n">
        <f aca="false">IFERROR(K738/J738,0)</f>
        <v>0.022753710855707</v>
      </c>
      <c r="R738" s="11" t="str">
        <f aca="false">IF(COUNTIF($A$2:A738,A738)&gt;1,"Duplicate - Remove","Unique")</f>
        <v>Unique</v>
      </c>
      <c r="S738" s="11" t="str">
        <f aca="false">TRIM(IF(Raw_Data!G738="","Region missing; ","")&amp;IF(Raw_Data!H738="","Spend imputed; ","")&amp;IF(Raw_Data!L738="","Revenue imputed; ","")&amp;IF(Raw_Data!J738&lt;0,"Clicks corrected; ",""))</f>
        <v/>
      </c>
    </row>
    <row r="739" customFormat="false" ht="15" hidden="false" customHeight="true" outlineLevel="0" collapsed="false">
      <c r="A739" s="11" t="n">
        <f aca="false">Raw_Data!A739</f>
        <v>1041</v>
      </c>
      <c r="B739" s="11" t="str">
        <f aca="false">PROPER(TRIM(Raw_Data!B739))</f>
        <v>Men'S Grooming Drive</v>
      </c>
      <c r="C739" s="11" t="str">
        <f aca="false">IFERROR(INDEX(Lookup_Tables!$B$2:$B$26,MATCH(UPPER(TRIM(Raw_Data!C739)),Lookup_Tables!$C$2:$C$26,0)),"Unknown")</f>
        <v>Google Ads</v>
      </c>
      <c r="D739" s="12" t="n">
        <f aca="false">IFERROR(IF(ISNUMBER(SEARCH("/",Raw_Data!D739)),DATE(VALUE(RIGHT(Raw_Data!D739,4)),VALUE(MID(Raw_Data!D739,FIND("/",Raw_Data!D739)+1,FIND("/",Raw_Data!D739,FIND("/",Raw_Data!D739)+1)-FIND("/",Raw_Data!D739)-1)),VALUE(LEFT(Raw_Data!D739,FIND("/",Raw_Data!D739)-1))),IF(ISNUMBER(VALUE(LEFT(Raw_Data!D739,4))),DATE(VALUE(LEFT(Raw_Data!D739,4)),VALUE(MID(Raw_Data!D739,6,2)),VALUE(MID(Raw_Data!D739,9,2))),DATEVALUE(Raw_Data!D739))),"")</f>
        <v>45457</v>
      </c>
      <c r="E739" s="12" t="n">
        <f aca="false">IFERROR(IF(ISNUMBER(SEARCH("/",Raw_Data!E739)),DATE(VALUE(RIGHT(Raw_Data!E739,4)),VALUE(MID(Raw_Data!E739,FIND("/",Raw_Data!E739)+1,FIND("/",Raw_Data!E739,FIND("/",Raw_Data!E739)+1)-FIND("/",Raw_Data!E739)-1)),VALUE(LEFT(Raw_Data!E739,FIND("/",Raw_Data!E739)-1))),IF(ISNUMBER(VALUE(LEFT(Raw_Data!E739,4))),DATE(VALUE(LEFT(Raw_Data!E739,4)),VALUE(MID(Raw_Data!E739,6,2)),VALUE(MID(Raw_Data!E739,9,2))),DATEVALUE(Raw_Data!E739))),"")</f>
        <v>45481</v>
      </c>
      <c r="F739" s="11" t="str">
        <f aca="false">Raw_Data!F739</f>
        <v>Female 45+</v>
      </c>
      <c r="G739" s="11" t="str">
        <f aca="false">IF(TRIM(Raw_Data!G739)="","Unspecified",IFERROR(INDEX(Lookup_Tables!$F$2:$F$24,MATCH(UPPER(TRIM(Raw_Data!G739)),Lookup_Tables!$G$2:$G$24,0)),"Unknown"))</f>
        <v>Unspecified</v>
      </c>
      <c r="H739" s="11" t="n">
        <f aca="false">IF(Raw_Data!H739="",ROUND(AVERAGEIFS(Raw_Data!$H$2:$H$839,Raw_Data!$C$2:$C$839,Raw_Data!C739),2),Raw_Data!H739)</f>
        <v>11810.54</v>
      </c>
      <c r="I739" s="11" t="n">
        <f aca="false">Raw_Data!I739</f>
        <v>244751</v>
      </c>
      <c r="J739" s="11" t="n">
        <f aca="false">IF(Raw_Data!J739&lt;0,ABS(Raw_Data!J739),Raw_Data!J739)</f>
        <v>6174</v>
      </c>
      <c r="K739" s="11" t="n">
        <f aca="false">Raw_Data!K739</f>
        <v>433</v>
      </c>
      <c r="L739" s="11" t="n">
        <f aca="false">IF(Raw_Data!L739="",ROUND(AVERAGEIFS(Raw_Data!$L$2:$L$839,Raw_Data!$C$2:$C$839,Raw_Data!C739),2),Raw_Data!L739)</f>
        <v>1376716.55</v>
      </c>
      <c r="M739" s="13" t="n">
        <f aca="false">IFERROR(J739/I739,0)</f>
        <v>0.0252256374846272</v>
      </c>
      <c r="N739" s="14" t="n">
        <f aca="false">IFERROR(H739/J739,0)</f>
        <v>1.91294784580499</v>
      </c>
      <c r="O739" s="14" t="n">
        <f aca="false">IFERROR(H739/K739,0)</f>
        <v>27.2760739030023</v>
      </c>
      <c r="P739" s="15" t="n">
        <f aca="false">IFERROR(L739/H739,0)</f>
        <v>116.566774254183</v>
      </c>
      <c r="Q739" s="13" t="n">
        <f aca="false">IFERROR(K739/J739,0)</f>
        <v>0.0701328150307742</v>
      </c>
      <c r="R739" s="11" t="str">
        <f aca="false">IF(COUNTIF($A$2:A739,A739)&gt;1,"Duplicate - Remove","Unique")</f>
        <v>Unique</v>
      </c>
      <c r="S739" s="11" t="str">
        <f aca="false">TRIM(IF(Raw_Data!G739="","Region missing; ","")&amp;IF(Raw_Data!H739="","Spend imputed; ","")&amp;IF(Raw_Data!L739="","Revenue imputed; ","")&amp;IF(Raw_Data!J739&lt;0,"Clicks corrected; ",""))</f>
        <v>Region missing; Revenue imputed;</v>
      </c>
    </row>
    <row r="740" customFormat="false" ht="15" hidden="false" customHeight="true" outlineLevel="0" collapsed="false">
      <c r="A740" s="11" t="n">
        <f aca="false">Raw_Data!A740</f>
        <v>1732</v>
      </c>
      <c r="B740" s="11" t="str">
        <f aca="false">PROPER(TRIM(Raw_Data!B740))</f>
        <v>Wedding Season Special</v>
      </c>
      <c r="C740" s="11" t="str">
        <f aca="false">IFERROR(INDEX(Lookup_Tables!$B$2:$B$26,MATCH(UPPER(TRIM(Raw_Data!C740)),Lookup_Tables!$C$2:$C$26,0)),"Unknown")</f>
        <v>Instagram</v>
      </c>
      <c r="D740" s="12" t="n">
        <f aca="false">IFERROR(IF(ISNUMBER(SEARCH("/",Raw_Data!D740)),DATE(VALUE(RIGHT(Raw_Data!D740,4)),VALUE(MID(Raw_Data!D740,FIND("/",Raw_Data!D740)+1,FIND("/",Raw_Data!D740,FIND("/",Raw_Data!D740)+1)-FIND("/",Raw_Data!D740)-1)),VALUE(LEFT(Raw_Data!D740,FIND("/",Raw_Data!D740)-1))),IF(ISNUMBER(VALUE(LEFT(Raw_Data!D740,4))),DATE(VALUE(LEFT(Raw_Data!D740,4)),VALUE(MID(Raw_Data!D740,6,2)),VALUE(MID(Raw_Data!D740,9,2))),DATEVALUE(Raw_Data!D740))),"")</f>
        <v>45613</v>
      </c>
      <c r="E740" s="12" t="n">
        <f aca="false">IFERROR(IF(ISNUMBER(SEARCH("/",Raw_Data!E740)),DATE(VALUE(RIGHT(Raw_Data!E740,4)),VALUE(MID(Raw_Data!E740,FIND("/",Raw_Data!E740)+1,FIND("/",Raw_Data!E740,FIND("/",Raw_Data!E740)+1)-FIND("/",Raw_Data!E740)-1)),VALUE(LEFT(Raw_Data!E740,FIND("/",Raw_Data!E740)-1))),IF(ISNUMBER(VALUE(LEFT(Raw_Data!E740,4))),DATE(VALUE(LEFT(Raw_Data!E740,4)),VALUE(MID(Raw_Data!E740,6,2)),VALUE(MID(Raw_Data!E740,9,2))),DATEVALUE(Raw_Data!E740))),"")</f>
        <v>45641</v>
      </c>
      <c r="F740" s="11" t="str">
        <f aca="false">Raw_Data!F740</f>
        <v>Female 18-24</v>
      </c>
      <c r="G740" s="11" t="str">
        <f aca="false">IF(TRIM(Raw_Data!G740)="","Unspecified",IFERROR(INDEX(Lookup_Tables!$F$2:$F$24,MATCH(UPPER(TRIM(Raw_Data!G740)),Lookup_Tables!$G$2:$G$24,0)),"Unknown"))</f>
        <v>South</v>
      </c>
      <c r="H740" s="11" t="n">
        <f aca="false">IF(Raw_Data!H740="",ROUND(AVERAGEIFS(Raw_Data!$H$2:$H$839,Raw_Data!$C$2:$C$839,Raw_Data!C740),2),Raw_Data!H740)</f>
        <v>22633.69</v>
      </c>
      <c r="I740" s="11" t="n">
        <f aca="false">Raw_Data!I740</f>
        <v>654262</v>
      </c>
      <c r="J740" s="11" t="n">
        <f aca="false">IF(Raw_Data!J740&lt;0,ABS(Raw_Data!J740),Raw_Data!J740)</f>
        <v>13298</v>
      </c>
      <c r="K740" s="11" t="n">
        <f aca="false">Raw_Data!K740</f>
        <v>281</v>
      </c>
      <c r="L740" s="11" t="n">
        <f aca="false">IF(Raw_Data!L740="",ROUND(AVERAGEIFS(Raw_Data!$L$2:$L$839,Raw_Data!$C$2:$C$839,Raw_Data!C740),2),Raw_Data!L740)</f>
        <v>180486.18</v>
      </c>
      <c r="M740" s="13" t="n">
        <f aca="false">IFERROR(J740/I740,0)</f>
        <v>0.0203251908256937</v>
      </c>
      <c r="N740" s="14" t="n">
        <f aca="false">IFERROR(H740/J740,0)</f>
        <v>1.70203714844338</v>
      </c>
      <c r="O740" s="14" t="n">
        <f aca="false">IFERROR(H740/K740,0)</f>
        <v>80.5469395017794</v>
      </c>
      <c r="P740" s="15" t="n">
        <f aca="false">IFERROR(L740/H740,0)</f>
        <v>7.97422691571723</v>
      </c>
      <c r="Q740" s="13" t="n">
        <f aca="false">IFERROR(K740/J740,0)</f>
        <v>0.0211309971424274</v>
      </c>
      <c r="R740" s="11" t="str">
        <f aca="false">IF(COUNTIF($A$2:A740,A740)&gt;1,"Duplicate - Remove","Unique")</f>
        <v>Unique</v>
      </c>
      <c r="S740" s="11" t="str">
        <f aca="false">TRIM(IF(Raw_Data!G740="","Region missing; ","")&amp;IF(Raw_Data!H740="","Spend imputed; ","")&amp;IF(Raw_Data!L740="","Revenue imputed; ","")&amp;IF(Raw_Data!J740&lt;0,"Clicks corrected; ",""))</f>
        <v/>
      </c>
    </row>
    <row r="741" customFormat="false" ht="15" hidden="false" customHeight="true" outlineLevel="0" collapsed="false">
      <c r="A741" s="11" t="n">
        <f aca="false">Raw_Data!A741</f>
        <v>1566</v>
      </c>
      <c r="B741" s="11" t="str">
        <f aca="false">PROPER(TRIM(Raw_Data!B741))</f>
        <v>Baby Care Trust Campaign</v>
      </c>
      <c r="C741" s="11" t="str">
        <f aca="false">IFERROR(INDEX(Lookup_Tables!$B$2:$B$26,MATCH(UPPER(TRIM(Raw_Data!C741)),Lookup_Tables!$C$2:$C$26,0)),"Unknown")</f>
        <v>Google Ads</v>
      </c>
      <c r="D741" s="12" t="n">
        <f aca="false">IFERROR(IF(ISNUMBER(SEARCH("/",Raw_Data!D741)),DATE(VALUE(RIGHT(Raw_Data!D741,4)),VALUE(MID(Raw_Data!D741,FIND("/",Raw_Data!D741)+1,FIND("/",Raw_Data!D741,FIND("/",Raw_Data!D741)+1)-FIND("/",Raw_Data!D741)-1)),VALUE(LEFT(Raw_Data!D741,FIND("/",Raw_Data!D741)-1))),IF(ISNUMBER(VALUE(LEFT(Raw_Data!D741,4))),DATE(VALUE(LEFT(Raw_Data!D741,4)),VALUE(MID(Raw_Data!D741,6,2)),VALUE(MID(Raw_Data!D741,9,2))),DATEVALUE(Raw_Data!D741))),"")</f>
        <v>45545</v>
      </c>
      <c r="E741" s="12" t="n">
        <f aca="false">IFERROR(IF(ISNUMBER(SEARCH("/",Raw_Data!E741)),DATE(VALUE(RIGHT(Raw_Data!E741,4)),VALUE(MID(Raw_Data!E741,FIND("/",Raw_Data!E741)+1,FIND("/",Raw_Data!E741,FIND("/",Raw_Data!E741)+1)-FIND("/",Raw_Data!E741)-1)),VALUE(LEFT(Raw_Data!E741,FIND("/",Raw_Data!E741)-1))),IF(ISNUMBER(VALUE(LEFT(Raw_Data!E741,4))),DATE(VALUE(LEFT(Raw_Data!E741,4)),VALUE(MID(Raw_Data!E741,6,2)),VALUE(MID(Raw_Data!E741,9,2))),DATEVALUE(Raw_Data!E741))),"")</f>
        <v>45572</v>
      </c>
      <c r="F741" s="11" t="str">
        <f aca="false">Raw_Data!F741</f>
        <v>Male 18-24</v>
      </c>
      <c r="G741" s="11" t="str">
        <f aca="false">IF(TRIM(Raw_Data!G741)="","Unspecified",IFERROR(INDEX(Lookup_Tables!$F$2:$F$24,MATCH(UPPER(TRIM(Raw_Data!G741)),Lookup_Tables!$G$2:$G$24,0)),"Unknown"))</f>
        <v>North</v>
      </c>
      <c r="H741" s="11" t="n">
        <f aca="false">IF(Raw_Data!H741="",ROUND(AVERAGEIFS(Raw_Data!$H$2:$H$839,Raw_Data!$C$2:$C$839,Raw_Data!C741),2),Raw_Data!H741)</f>
        <v>66939.74</v>
      </c>
      <c r="I741" s="11" t="n">
        <f aca="false">Raw_Data!I741</f>
        <v>2506291</v>
      </c>
      <c r="J741" s="11" t="n">
        <f aca="false">IF(Raw_Data!J741&lt;0,ABS(Raw_Data!J741),Raw_Data!J741)</f>
        <v>77100</v>
      </c>
      <c r="K741" s="11" t="n">
        <f aca="false">Raw_Data!K741</f>
        <v>3164</v>
      </c>
      <c r="L741" s="11" t="n">
        <f aca="false">IF(Raw_Data!L741="",ROUND(AVERAGEIFS(Raw_Data!$L$2:$L$839,Raw_Data!$C$2:$C$839,Raw_Data!C741),2),Raw_Data!L741)</f>
        <v>2496213.84</v>
      </c>
      <c r="M741" s="13" t="n">
        <f aca="false">IFERROR(J741/I741,0)</f>
        <v>0.0307625890209876</v>
      </c>
      <c r="N741" s="14" t="n">
        <f aca="false">IFERROR(H741/J741,0)</f>
        <v>0.868219714656291</v>
      </c>
      <c r="O741" s="14" t="n">
        <f aca="false">IFERROR(H741/K741,0)</f>
        <v>21.1566814159292</v>
      </c>
      <c r="P741" s="15" t="n">
        <f aca="false">IFERROR(L741/H741,0)</f>
        <v>37.2904621380364</v>
      </c>
      <c r="Q741" s="13" t="n">
        <f aca="false">IFERROR(K741/J741,0)</f>
        <v>0.0410376134889754</v>
      </c>
      <c r="R741" s="11" t="str">
        <f aca="false">IF(COUNTIF($A$2:A741,A741)&gt;1,"Duplicate - Remove","Unique")</f>
        <v>Unique</v>
      </c>
      <c r="S741" s="11" t="str">
        <f aca="false">TRIM(IF(Raw_Data!G741="","Region missing; ","")&amp;IF(Raw_Data!H741="","Spend imputed; ","")&amp;IF(Raw_Data!L741="","Revenue imputed; ","")&amp;IF(Raw_Data!J741&lt;0,"Clicks corrected; ",""))</f>
        <v/>
      </c>
    </row>
    <row r="742" customFormat="false" ht="15" hidden="false" customHeight="true" outlineLevel="0" collapsed="false">
      <c r="A742" s="11" t="n">
        <f aca="false">Raw_Data!A742</f>
        <v>1043</v>
      </c>
      <c r="B742" s="11" t="str">
        <f aca="false">PROPER(TRIM(Raw_Data!B742))</f>
        <v>Summer Glow Launch</v>
      </c>
      <c r="C742" s="11" t="str">
        <f aca="false">IFERROR(INDEX(Lookup_Tables!$B$2:$B$26,MATCH(UPPER(TRIM(Raw_Data!C742)),Lookup_Tables!$C$2:$C$26,0)),"Unknown")</f>
        <v>Email</v>
      </c>
      <c r="D742" s="12" t="n">
        <f aca="false">IFERROR(IF(ISNUMBER(SEARCH("/",Raw_Data!D742)),DATE(VALUE(RIGHT(Raw_Data!D742,4)),VALUE(MID(Raw_Data!D742,FIND("/",Raw_Data!D742)+1,FIND("/",Raw_Data!D742,FIND("/",Raw_Data!D742)+1)-FIND("/",Raw_Data!D742)-1)),VALUE(LEFT(Raw_Data!D742,FIND("/",Raw_Data!D742)-1))),IF(ISNUMBER(VALUE(LEFT(Raw_Data!D742,4))),DATE(VALUE(LEFT(Raw_Data!D742,4)),VALUE(MID(Raw_Data!D742,6,2)),VALUE(MID(Raw_Data!D742,9,2))),DATEVALUE(Raw_Data!D742))),"")</f>
        <v>45555</v>
      </c>
      <c r="E742" s="12" t="n">
        <f aca="false">IFERROR(IF(ISNUMBER(SEARCH("/",Raw_Data!E742)),DATE(VALUE(RIGHT(Raw_Data!E742,4)),VALUE(MID(Raw_Data!E742,FIND("/",Raw_Data!E742)+1,FIND("/",Raw_Data!E742,FIND("/",Raw_Data!E742)+1)-FIND("/",Raw_Data!E742)-1)),VALUE(LEFT(Raw_Data!E742,FIND("/",Raw_Data!E742)-1))),IF(ISNUMBER(VALUE(LEFT(Raw_Data!E742,4))),DATE(VALUE(LEFT(Raw_Data!E742,4)),VALUE(MID(Raw_Data!E742,6,2)),VALUE(MID(Raw_Data!E742,9,2))),DATEVALUE(Raw_Data!E742))),"")</f>
        <v>45560</v>
      </c>
      <c r="F742" s="11" t="str">
        <f aca="false">Raw_Data!F742</f>
        <v>Female 45+</v>
      </c>
      <c r="G742" s="11" t="str">
        <f aca="false">IF(TRIM(Raw_Data!G742)="","Unspecified",IFERROR(INDEX(Lookup_Tables!$F$2:$F$24,MATCH(UPPER(TRIM(Raw_Data!G742)),Lookup_Tables!$G$2:$G$24,0)),"Unknown"))</f>
        <v>East</v>
      </c>
      <c r="H742" s="11" t="n">
        <f aca="false">IF(Raw_Data!H742="",ROUND(AVERAGEIFS(Raw_Data!$H$2:$H$839,Raw_Data!$C$2:$C$839,Raw_Data!C742),2),Raw_Data!H742)</f>
        <v>7085.57</v>
      </c>
      <c r="I742" s="11" t="n">
        <f aca="false">Raw_Data!I742</f>
        <v>188117</v>
      </c>
      <c r="J742" s="11" t="n">
        <f aca="false">IF(Raw_Data!J742&lt;0,ABS(Raw_Data!J742),Raw_Data!J742)</f>
        <v>1246</v>
      </c>
      <c r="K742" s="11" t="n">
        <f aca="false">Raw_Data!K742</f>
        <v>57</v>
      </c>
      <c r="L742" s="11" t="n">
        <f aca="false">IF(Raw_Data!L742="",ROUND(AVERAGEIFS(Raw_Data!$L$2:$L$839,Raw_Data!$C$2:$C$839,Raw_Data!C742),2),Raw_Data!L742)</f>
        <v>71410.69</v>
      </c>
      <c r="M742" s="13" t="n">
        <f aca="false">IFERROR(J742/I742,0)</f>
        <v>0.00662353747933467</v>
      </c>
      <c r="N742" s="14" t="n">
        <f aca="false">IFERROR(H742/J742,0)</f>
        <v>5.6866532905297</v>
      </c>
      <c r="O742" s="14" t="n">
        <f aca="false">IFERROR(H742/K742,0)</f>
        <v>124.308245614035</v>
      </c>
      <c r="P742" s="15" t="n">
        <f aca="false">IFERROR(L742/H742,0)</f>
        <v>10.0783267965739</v>
      </c>
      <c r="Q742" s="13" t="n">
        <f aca="false">IFERROR(K742/J742,0)</f>
        <v>0.0457463884430177</v>
      </c>
      <c r="R742" s="11" t="str">
        <f aca="false">IF(COUNTIF($A$2:A742,A742)&gt;1,"Duplicate - Remove","Unique")</f>
        <v>Unique</v>
      </c>
      <c r="S742" s="11" t="str">
        <f aca="false">TRIM(IF(Raw_Data!G742="","Region missing; ","")&amp;IF(Raw_Data!H742="","Spend imputed; ","")&amp;IF(Raw_Data!L742="","Revenue imputed; ","")&amp;IF(Raw_Data!J742&lt;0,"Clicks corrected; ",""))</f>
        <v/>
      </c>
    </row>
    <row r="743" customFormat="false" ht="15" hidden="false" customHeight="true" outlineLevel="0" collapsed="false">
      <c r="A743" s="11" t="n">
        <f aca="false">Raw_Data!A743</f>
        <v>1385</v>
      </c>
      <c r="B743" s="11" t="str">
        <f aca="false">PROPER(TRIM(Raw_Data!B743))</f>
        <v>Influencer Collab - Skincare</v>
      </c>
      <c r="C743" s="11" t="str">
        <f aca="false">IFERROR(INDEX(Lookup_Tables!$B$2:$B$26,MATCH(UPPER(TRIM(Raw_Data!C743)),Lookup_Tables!$C$2:$C$26,0)),"Unknown")</f>
        <v>Email</v>
      </c>
      <c r="D743" s="12" t="n">
        <f aca="false">IFERROR(IF(ISNUMBER(SEARCH("/",Raw_Data!D743)),DATE(VALUE(RIGHT(Raw_Data!D743,4)),VALUE(MID(Raw_Data!D743,FIND("/",Raw_Data!D743)+1,FIND("/",Raw_Data!D743,FIND("/",Raw_Data!D743)+1)-FIND("/",Raw_Data!D743)-1)),VALUE(LEFT(Raw_Data!D743,FIND("/",Raw_Data!D743)-1))),IF(ISNUMBER(VALUE(LEFT(Raw_Data!D743,4))),DATE(VALUE(LEFT(Raw_Data!D743,4)),VALUE(MID(Raw_Data!D743,6,2)),VALUE(MID(Raw_Data!D743,9,2))),DATEVALUE(Raw_Data!D743))),"")</f>
        <v>45539</v>
      </c>
      <c r="E743" s="12" t="n">
        <f aca="false">IFERROR(IF(ISNUMBER(SEARCH("/",Raw_Data!E743)),DATE(VALUE(RIGHT(Raw_Data!E743,4)),VALUE(MID(Raw_Data!E743,FIND("/",Raw_Data!E743)+1,FIND("/",Raw_Data!E743,FIND("/",Raw_Data!E743)+1)-FIND("/",Raw_Data!E743)-1)),VALUE(LEFT(Raw_Data!E743,FIND("/",Raw_Data!E743)-1))),IF(ISNUMBER(VALUE(LEFT(Raw_Data!E743,4))),DATE(VALUE(LEFT(Raw_Data!E743,4)),VALUE(MID(Raw_Data!E743,6,2)),VALUE(MID(Raw_Data!E743,9,2))),DATEVALUE(Raw_Data!E743))),"")</f>
        <v>45548</v>
      </c>
      <c r="F743" s="11" t="str">
        <f aca="false">Raw_Data!F743</f>
        <v>Female 25-34</v>
      </c>
      <c r="G743" s="11" t="str">
        <f aca="false">IF(TRIM(Raw_Data!G743)="","Unspecified",IFERROR(INDEX(Lookup_Tables!$F$2:$F$24,MATCH(UPPER(TRIM(Raw_Data!G743)),Lookup_Tables!$G$2:$G$24,0)),"Unknown"))</f>
        <v>South</v>
      </c>
      <c r="H743" s="11" t="n">
        <f aca="false">IF(Raw_Data!H743="",ROUND(AVERAGEIFS(Raw_Data!$H$2:$H$839,Raw_Data!$C$2:$C$839,Raw_Data!C743),2),Raw_Data!H743)</f>
        <v>2396.39</v>
      </c>
      <c r="I743" s="11" t="n">
        <f aca="false">Raw_Data!I743</f>
        <v>72236</v>
      </c>
      <c r="J743" s="11" t="n">
        <f aca="false">IF(Raw_Data!J743&lt;0,ABS(Raw_Data!J743),Raw_Data!J743)</f>
        <v>579</v>
      </c>
      <c r="K743" s="11" t="n">
        <f aca="false">Raw_Data!K743</f>
        <v>22</v>
      </c>
      <c r="L743" s="11" t="n">
        <f aca="false">IF(Raw_Data!L743="",ROUND(AVERAGEIFS(Raw_Data!$L$2:$L$839,Raw_Data!$C$2:$C$839,Raw_Data!C743),2),Raw_Data!L743)</f>
        <v>39401.17</v>
      </c>
      <c r="M743" s="13" t="n">
        <f aca="false">IFERROR(J743/I743,0)</f>
        <v>0.00801539398637798</v>
      </c>
      <c r="N743" s="14" t="n">
        <f aca="false">IFERROR(H743/J743,0)</f>
        <v>4.13884283246978</v>
      </c>
      <c r="O743" s="14" t="n">
        <f aca="false">IFERROR(H743/K743,0)</f>
        <v>108.926818181818</v>
      </c>
      <c r="P743" s="15" t="n">
        <f aca="false">IFERROR(L743/H743,0)</f>
        <v>16.4418855027771</v>
      </c>
      <c r="Q743" s="13" t="n">
        <f aca="false">IFERROR(K743/J743,0)</f>
        <v>0.0379965457685665</v>
      </c>
      <c r="R743" s="11" t="str">
        <f aca="false">IF(COUNTIF($A$2:A743,A743)&gt;1,"Duplicate - Remove","Unique")</f>
        <v>Unique</v>
      </c>
      <c r="S743" s="11" t="str">
        <f aca="false">TRIM(IF(Raw_Data!G743="","Region missing; ","")&amp;IF(Raw_Data!H743="","Spend imputed; ","")&amp;IF(Raw_Data!L743="","Revenue imputed; ","")&amp;IF(Raw_Data!J743&lt;0,"Clicks corrected; ",""))</f>
        <v/>
      </c>
    </row>
    <row r="744" customFormat="false" ht="15" hidden="false" customHeight="true" outlineLevel="0" collapsed="false">
      <c r="A744" s="11" t="n">
        <f aca="false">Raw_Data!A744</f>
        <v>1801</v>
      </c>
      <c r="B744" s="11" t="str">
        <f aca="false">PROPER(TRIM(Raw_Data!B744))</f>
        <v>Influencer Collab - Skincare</v>
      </c>
      <c r="C744" s="11" t="str">
        <f aca="false">IFERROR(INDEX(Lookup_Tables!$B$2:$B$26,MATCH(UPPER(TRIM(Raw_Data!C744)),Lookup_Tables!$C$2:$C$26,0)),"Unknown")</f>
        <v>Google Ads</v>
      </c>
      <c r="D744" s="12" t="n">
        <f aca="false">IFERROR(IF(ISNUMBER(SEARCH("/",Raw_Data!D744)),DATE(VALUE(RIGHT(Raw_Data!D744,4)),VALUE(MID(Raw_Data!D744,FIND("/",Raw_Data!D744)+1,FIND("/",Raw_Data!D744,FIND("/",Raw_Data!D744)+1)-FIND("/",Raw_Data!D744)-1)),VALUE(LEFT(Raw_Data!D744,FIND("/",Raw_Data!D744)-1))),IF(ISNUMBER(VALUE(LEFT(Raw_Data!D744,4))),DATE(VALUE(LEFT(Raw_Data!D744,4)),VALUE(MID(Raw_Data!D744,6,2)),VALUE(MID(Raw_Data!D744,9,2))),DATEVALUE(Raw_Data!D744))),"")</f>
        <v>45574</v>
      </c>
      <c r="E744" s="12" t="n">
        <f aca="false">IFERROR(IF(ISNUMBER(SEARCH("/",Raw_Data!E744)),DATE(VALUE(RIGHT(Raw_Data!E744,4)),VALUE(MID(Raw_Data!E744,FIND("/",Raw_Data!E744)+1,FIND("/",Raw_Data!E744,FIND("/",Raw_Data!E744)+1)-FIND("/",Raw_Data!E744)-1)),VALUE(LEFT(Raw_Data!E744,FIND("/",Raw_Data!E744)-1))),IF(ISNUMBER(VALUE(LEFT(Raw_Data!E744,4))),DATE(VALUE(LEFT(Raw_Data!E744,4)),VALUE(MID(Raw_Data!E744,6,2)),VALUE(MID(Raw_Data!E744,9,2))),DATEVALUE(Raw_Data!E744))),"")</f>
        <v>45600</v>
      </c>
      <c r="F744" s="11" t="str">
        <f aca="false">Raw_Data!F744</f>
        <v>Male 25-34</v>
      </c>
      <c r="G744" s="11" t="str">
        <f aca="false">IF(TRIM(Raw_Data!G744)="","Unspecified",IFERROR(INDEX(Lookup_Tables!$F$2:$F$24,MATCH(UPPER(TRIM(Raw_Data!G744)),Lookup_Tables!$G$2:$G$24,0)),"Unknown"))</f>
        <v>Central</v>
      </c>
      <c r="H744" s="11" t="n">
        <f aca="false">IF(Raw_Data!H744="",ROUND(AVERAGEIFS(Raw_Data!$H$2:$H$839,Raw_Data!$C$2:$C$839,Raw_Data!C744),2),Raw_Data!H744)</f>
        <v>17030.5</v>
      </c>
      <c r="I744" s="11" t="n">
        <f aca="false">Raw_Data!I744</f>
        <v>427316</v>
      </c>
      <c r="J744" s="11" t="n">
        <f aca="false">IF(Raw_Data!J744&lt;0,ABS(Raw_Data!J744),Raw_Data!J744)</f>
        <v>14068</v>
      </c>
      <c r="K744" s="11" t="n">
        <f aca="false">Raw_Data!K744</f>
        <v>447</v>
      </c>
      <c r="L744" s="11" t="n">
        <f aca="false">IF(Raw_Data!L744="",ROUND(AVERAGEIFS(Raw_Data!$L$2:$L$839,Raw_Data!$C$2:$C$839,Raw_Data!C744),2),Raw_Data!L744)</f>
        <v>725502.54</v>
      </c>
      <c r="M744" s="13" t="n">
        <f aca="false">IFERROR(J744/I744,0)</f>
        <v>0.0329217721779667</v>
      </c>
      <c r="N744" s="14" t="n">
        <f aca="false">IFERROR(H744/J744,0)</f>
        <v>1.21058430480523</v>
      </c>
      <c r="O744" s="14" t="n">
        <f aca="false">IFERROR(H744/K744,0)</f>
        <v>38.0995525727069</v>
      </c>
      <c r="P744" s="15" t="n">
        <f aca="false">IFERROR(L744/H744,0)</f>
        <v>42.60019024691</v>
      </c>
      <c r="Q744" s="13" t="n">
        <f aca="false">IFERROR(K744/J744,0)</f>
        <v>0.0317742394085869</v>
      </c>
      <c r="R744" s="11" t="str">
        <f aca="false">IF(COUNTIF($A$2:A744,A744)&gt;1,"Duplicate - Remove","Unique")</f>
        <v>Unique</v>
      </c>
      <c r="S744" s="11" t="str">
        <f aca="false">TRIM(IF(Raw_Data!G744="","Region missing; ","")&amp;IF(Raw_Data!H744="","Spend imputed; ","")&amp;IF(Raw_Data!L744="","Revenue imputed; ","")&amp;IF(Raw_Data!J744&lt;0,"Clicks corrected; ",""))</f>
        <v/>
      </c>
    </row>
    <row r="745" customFormat="false" ht="15" hidden="false" customHeight="true" outlineLevel="0" collapsed="false">
      <c r="A745" s="11" t="n">
        <f aca="false">Raw_Data!A745</f>
        <v>1175</v>
      </c>
      <c r="B745" s="11" t="str">
        <f aca="false">PROPER(TRIM(Raw_Data!B745))</f>
        <v>Influencer Collab - Skincare</v>
      </c>
      <c r="C745" s="11" t="str">
        <f aca="false">IFERROR(INDEX(Lookup_Tables!$B$2:$B$26,MATCH(UPPER(TRIM(Raw_Data!C745)),Lookup_Tables!$C$2:$C$26,0)),"Unknown")</f>
        <v>Facebook</v>
      </c>
      <c r="D745" s="12" t="n">
        <f aca="false">IFERROR(IF(ISNUMBER(SEARCH("/",Raw_Data!D745)),DATE(VALUE(RIGHT(Raw_Data!D745,4)),VALUE(MID(Raw_Data!D745,FIND("/",Raw_Data!D745)+1,FIND("/",Raw_Data!D745,FIND("/",Raw_Data!D745)+1)-FIND("/",Raw_Data!D745)-1)),VALUE(LEFT(Raw_Data!D745,FIND("/",Raw_Data!D745)-1))),IF(ISNUMBER(VALUE(LEFT(Raw_Data!D745,4))),DATE(VALUE(LEFT(Raw_Data!D745,4)),VALUE(MID(Raw_Data!D745,6,2)),VALUE(MID(Raw_Data!D745,9,2))),DATEVALUE(Raw_Data!D745))),"")</f>
        <v>45313</v>
      </c>
      <c r="E745" s="12" t="n">
        <f aca="false">IFERROR(IF(ISNUMBER(SEARCH("/",Raw_Data!E745)),DATE(VALUE(RIGHT(Raw_Data!E745,4)),VALUE(MID(Raw_Data!E745,FIND("/",Raw_Data!E745)+1,FIND("/",Raw_Data!E745,FIND("/",Raw_Data!E745)+1)-FIND("/",Raw_Data!E745)-1)),VALUE(LEFT(Raw_Data!E745,FIND("/",Raw_Data!E745)-1))),IF(ISNUMBER(VALUE(LEFT(Raw_Data!E745,4))),DATE(VALUE(LEFT(Raw_Data!E745,4)),VALUE(MID(Raw_Data!E745,6,2)),VALUE(MID(Raw_Data!E745,9,2))),DATEVALUE(Raw_Data!E745))),"")</f>
        <v>45331</v>
      </c>
      <c r="F745" s="11" t="str">
        <f aca="false">Raw_Data!F745</f>
        <v>Female 35-44</v>
      </c>
      <c r="G745" s="11" t="str">
        <f aca="false">IF(TRIM(Raw_Data!G745)="","Unspecified",IFERROR(INDEX(Lookup_Tables!$F$2:$F$24,MATCH(UPPER(TRIM(Raw_Data!G745)),Lookup_Tables!$G$2:$G$24,0)),"Unknown"))</f>
        <v>South</v>
      </c>
      <c r="H745" s="11" t="n">
        <f aca="false">IF(Raw_Data!H745="",ROUND(AVERAGEIFS(Raw_Data!$H$2:$H$839,Raw_Data!$C$2:$C$839,Raw_Data!C745),2),Raw_Data!H745)</f>
        <v>49484.32</v>
      </c>
      <c r="I745" s="11" t="n">
        <f aca="false">Raw_Data!I745</f>
        <v>1280893</v>
      </c>
      <c r="J745" s="11" t="n">
        <f aca="false">IF(Raw_Data!J745&lt;0,ABS(Raw_Data!J745),Raw_Data!J745)</f>
        <v>44726</v>
      </c>
      <c r="K745" s="11" t="n">
        <f aca="false">Raw_Data!K745</f>
        <v>2410</v>
      </c>
      <c r="L745" s="11" t="n">
        <f aca="false">IF(Raw_Data!L745="",ROUND(AVERAGEIFS(Raw_Data!$L$2:$L$839,Raw_Data!$C$2:$C$839,Raw_Data!C745),2),Raw_Data!L745)</f>
        <v>3758290.82</v>
      </c>
      <c r="M745" s="13" t="n">
        <f aca="false">IFERROR(J745/I745,0)</f>
        <v>0.0349178268598548</v>
      </c>
      <c r="N745" s="14" t="n">
        <f aca="false">IFERROR(H745/J745,0)</f>
        <v>1.10638823055941</v>
      </c>
      <c r="O745" s="14" t="n">
        <f aca="false">IFERROR(H745/K745,0)</f>
        <v>20.5329128630705</v>
      </c>
      <c r="P745" s="15" t="n">
        <f aca="false">IFERROR(L745/H745,0)</f>
        <v>75.9491252986805</v>
      </c>
      <c r="Q745" s="13" t="n">
        <f aca="false">IFERROR(K745/J745,0)</f>
        <v>0.0538836470956491</v>
      </c>
      <c r="R745" s="11" t="str">
        <f aca="false">IF(COUNTIF($A$2:A745,A745)&gt;1,"Duplicate - Remove","Unique")</f>
        <v>Unique</v>
      </c>
      <c r="S745" s="11" t="str">
        <f aca="false">TRIM(IF(Raw_Data!G745="","Region missing; ","")&amp;IF(Raw_Data!H745="","Spend imputed; ","")&amp;IF(Raw_Data!L745="","Revenue imputed; ","")&amp;IF(Raw_Data!J745&lt;0,"Clicks corrected; ",""))</f>
        <v/>
      </c>
    </row>
    <row r="746" customFormat="false" ht="15" hidden="false" customHeight="true" outlineLevel="0" collapsed="false">
      <c r="A746" s="11" t="n">
        <f aca="false">Raw_Data!A746</f>
        <v>1318</v>
      </c>
      <c r="B746" s="11" t="str">
        <f aca="false">PROPER(TRIM(Raw_Data!B746))</f>
        <v>Clearance Sale Push</v>
      </c>
      <c r="C746" s="11" t="str">
        <f aca="false">IFERROR(INDEX(Lookup_Tables!$B$2:$B$26,MATCH(UPPER(TRIM(Raw_Data!C746)),Lookup_Tables!$C$2:$C$26,0)),"Unknown")</f>
        <v>Facebook</v>
      </c>
      <c r="D746" s="12" t="n">
        <f aca="false">IFERROR(IF(ISNUMBER(SEARCH("/",Raw_Data!D746)),DATE(VALUE(RIGHT(Raw_Data!D746,4)),VALUE(MID(Raw_Data!D746,FIND("/",Raw_Data!D746)+1,FIND("/",Raw_Data!D746,FIND("/",Raw_Data!D746)+1)-FIND("/",Raw_Data!D746)-1)),VALUE(LEFT(Raw_Data!D746,FIND("/",Raw_Data!D746)-1))),IF(ISNUMBER(VALUE(LEFT(Raw_Data!D746,4))),DATE(VALUE(LEFT(Raw_Data!D746,4)),VALUE(MID(Raw_Data!D746,6,2)),VALUE(MID(Raw_Data!D746,9,2))),DATEVALUE(Raw_Data!D746))),"")</f>
        <v>45470</v>
      </c>
      <c r="E746" s="12" t="n">
        <f aca="false">IFERROR(IF(ISNUMBER(SEARCH("/",Raw_Data!E746)),DATE(VALUE(RIGHT(Raw_Data!E746,4)),VALUE(MID(Raw_Data!E746,FIND("/",Raw_Data!E746)+1,FIND("/",Raw_Data!E746,FIND("/",Raw_Data!E746)+1)-FIND("/",Raw_Data!E746)-1)),VALUE(LEFT(Raw_Data!E746,FIND("/",Raw_Data!E746)-1))),IF(ISNUMBER(VALUE(LEFT(Raw_Data!E746,4))),DATE(VALUE(LEFT(Raw_Data!E746,4)),VALUE(MID(Raw_Data!E746,6,2)),VALUE(MID(Raw_Data!E746,9,2))),DATEVALUE(Raw_Data!E746))),"")</f>
        <v>45488</v>
      </c>
      <c r="F746" s="11" t="str">
        <f aca="false">Raw_Data!F746</f>
        <v>Male 25-34</v>
      </c>
      <c r="G746" s="11" t="str">
        <f aca="false">IF(TRIM(Raw_Data!G746)="","Unspecified",IFERROR(INDEX(Lookup_Tables!$F$2:$F$24,MATCH(UPPER(TRIM(Raw_Data!G746)),Lookup_Tables!$G$2:$G$24,0)),"Unknown"))</f>
        <v>West</v>
      </c>
      <c r="H746" s="11" t="n">
        <f aca="false">IF(Raw_Data!H746="",ROUND(AVERAGEIFS(Raw_Data!$H$2:$H$839,Raw_Data!$C$2:$C$839,Raw_Data!C746),2),Raw_Data!H746)</f>
        <v>30539.26</v>
      </c>
      <c r="I746" s="11" t="n">
        <f aca="false">Raw_Data!I746</f>
        <v>604603</v>
      </c>
      <c r="J746" s="11" t="n">
        <f aca="false">IF(Raw_Data!J746&lt;0,ABS(Raw_Data!J746),Raw_Data!J746)</f>
        <v>20918</v>
      </c>
      <c r="K746" s="11" t="n">
        <f aca="false">Raw_Data!K746</f>
        <v>1639</v>
      </c>
      <c r="L746" s="11" t="n">
        <f aca="false">IF(Raw_Data!L746="",ROUND(AVERAGEIFS(Raw_Data!$L$2:$L$839,Raw_Data!$C$2:$C$839,Raw_Data!C746),2),Raw_Data!L746)</f>
        <v>2044546.56</v>
      </c>
      <c r="M746" s="13" t="n">
        <f aca="false">IFERROR(J746/I746,0)</f>
        <v>0.0345979097027306</v>
      </c>
      <c r="N746" s="14" t="n">
        <f aca="false">IFERROR(H746/J746,0)</f>
        <v>1.45995123816808</v>
      </c>
      <c r="O746" s="14" t="n">
        <f aca="false">IFERROR(H746/K746,0)</f>
        <v>18.6328615009152</v>
      </c>
      <c r="P746" s="15" t="n">
        <f aca="false">IFERROR(L746/H746,0)</f>
        <v>66.9481369227676</v>
      </c>
      <c r="Q746" s="13" t="n">
        <f aca="false">IFERROR(K746/J746,0)</f>
        <v>0.078353571087102</v>
      </c>
      <c r="R746" s="11" t="str">
        <f aca="false">IF(COUNTIF($A$2:A746,A746)&gt;1,"Duplicate - Remove","Unique")</f>
        <v>Unique</v>
      </c>
      <c r="S746" s="11" t="str">
        <f aca="false">TRIM(IF(Raw_Data!G746="","Region missing; ","")&amp;IF(Raw_Data!H746="","Spend imputed; ","")&amp;IF(Raw_Data!L746="","Revenue imputed; ","")&amp;IF(Raw_Data!J746&lt;0,"Clicks corrected; ",""))</f>
        <v/>
      </c>
    </row>
    <row r="747" customFormat="false" ht="15" hidden="false" customHeight="true" outlineLevel="0" collapsed="false">
      <c r="A747" s="11" t="n">
        <f aca="false">Raw_Data!A747</f>
        <v>1375</v>
      </c>
      <c r="B747" s="11" t="str">
        <f aca="false">PROPER(TRIM(Raw_Data!B747))</f>
        <v>Back To College Offer</v>
      </c>
      <c r="C747" s="11" t="str">
        <f aca="false">IFERROR(INDEX(Lookup_Tables!$B$2:$B$26,MATCH(UPPER(TRIM(Raw_Data!C747)),Lookup_Tables!$C$2:$C$26,0)),"Unknown")</f>
        <v>Facebook</v>
      </c>
      <c r="D747" s="12" t="n">
        <f aca="false">IFERROR(IF(ISNUMBER(SEARCH("/",Raw_Data!D747)),DATE(VALUE(RIGHT(Raw_Data!D747,4)),VALUE(MID(Raw_Data!D747,FIND("/",Raw_Data!D747)+1,FIND("/",Raw_Data!D747,FIND("/",Raw_Data!D747)+1)-FIND("/",Raw_Data!D747)-1)),VALUE(LEFT(Raw_Data!D747,FIND("/",Raw_Data!D747)-1))),IF(ISNUMBER(VALUE(LEFT(Raw_Data!D747,4))),DATE(VALUE(LEFT(Raw_Data!D747,4)),VALUE(MID(Raw_Data!D747,6,2)),VALUE(MID(Raw_Data!D747,9,2))),DATEVALUE(Raw_Data!D747))),"")</f>
        <v>45339</v>
      </c>
      <c r="E747" s="12" t="n">
        <f aca="false">IFERROR(IF(ISNUMBER(SEARCH("/",Raw_Data!E747)),DATE(VALUE(RIGHT(Raw_Data!E747,4)),VALUE(MID(Raw_Data!E747,FIND("/",Raw_Data!E747)+1,FIND("/",Raw_Data!E747,FIND("/",Raw_Data!E747)+1)-FIND("/",Raw_Data!E747)-1)),VALUE(LEFT(Raw_Data!E747,FIND("/",Raw_Data!E747)-1))),IF(ISNUMBER(VALUE(LEFT(Raw_Data!E747,4))),DATE(VALUE(LEFT(Raw_Data!E747,4)),VALUE(MID(Raw_Data!E747,6,2)),VALUE(MID(Raw_Data!E747,9,2))),DATEVALUE(Raw_Data!E747))),"")</f>
        <v>45356</v>
      </c>
      <c r="F747" s="11" t="str">
        <f aca="false">Raw_Data!F747</f>
        <v>Female 45+</v>
      </c>
      <c r="G747" s="11" t="str">
        <f aca="false">IF(TRIM(Raw_Data!G747)="","Unspecified",IFERROR(INDEX(Lookup_Tables!$F$2:$F$24,MATCH(UPPER(TRIM(Raw_Data!G747)),Lookup_Tables!$G$2:$G$24,0)),"Unknown"))</f>
        <v>East</v>
      </c>
      <c r="H747" s="11" t="n">
        <f aca="false">IF(Raw_Data!H747="",ROUND(AVERAGEIFS(Raw_Data!$H$2:$H$839,Raw_Data!$C$2:$C$839,Raw_Data!C747),2),Raw_Data!H747)</f>
        <v>13832.48</v>
      </c>
      <c r="I747" s="11" t="n">
        <f aca="false">Raw_Data!I747</f>
        <v>541212</v>
      </c>
      <c r="J747" s="11" t="n">
        <f aca="false">IF(Raw_Data!J747&lt;0,ABS(Raw_Data!J747),Raw_Data!J747)</f>
        <v>16758</v>
      </c>
      <c r="K747" s="11" t="n">
        <f aca="false">Raw_Data!K747</f>
        <v>272</v>
      </c>
      <c r="L747" s="11" t="n">
        <f aca="false">IF(Raw_Data!L747="",ROUND(AVERAGEIFS(Raw_Data!$L$2:$L$839,Raw_Data!$C$2:$C$839,Raw_Data!C747),2),Raw_Data!L747)</f>
        <v>431365.2</v>
      </c>
      <c r="M747" s="13" t="n">
        <f aca="false">IFERROR(J747/I747,0)</f>
        <v>0.0309638367220239</v>
      </c>
      <c r="N747" s="14" t="n">
        <f aca="false">IFERROR(H747/J747,0)</f>
        <v>0.825425468432987</v>
      </c>
      <c r="O747" s="14" t="n">
        <f aca="false">IFERROR(H747/K747,0)</f>
        <v>50.8547058823529</v>
      </c>
      <c r="P747" s="15" t="n">
        <f aca="false">IFERROR(L747/H747,0)</f>
        <v>31.1849502041572</v>
      </c>
      <c r="Q747" s="13" t="n">
        <f aca="false">IFERROR(K747/J747,0)</f>
        <v>0.0162310538250388</v>
      </c>
      <c r="R747" s="11" t="str">
        <f aca="false">IF(COUNTIF($A$2:A747,A747)&gt;1,"Duplicate - Remove","Unique")</f>
        <v>Unique</v>
      </c>
      <c r="S747" s="11" t="str">
        <f aca="false">TRIM(IF(Raw_Data!G747="","Region missing; ","")&amp;IF(Raw_Data!H747="","Spend imputed; ","")&amp;IF(Raw_Data!L747="","Revenue imputed; ","")&amp;IF(Raw_Data!J747&lt;0,"Clicks corrected; ",""))</f>
        <v/>
      </c>
    </row>
    <row r="748" customFormat="false" ht="15" hidden="false" customHeight="true" outlineLevel="0" collapsed="false">
      <c r="A748" s="11" t="n">
        <f aca="false">Raw_Data!A748</f>
        <v>1776</v>
      </c>
      <c r="B748" s="11" t="str">
        <f aca="false">PROPER(TRIM(Raw_Data!B748))</f>
        <v>Influencer Collab - Skincare</v>
      </c>
      <c r="C748" s="11" t="str">
        <f aca="false">IFERROR(INDEX(Lookup_Tables!$B$2:$B$26,MATCH(UPPER(TRIM(Raw_Data!C748)),Lookup_Tables!$C$2:$C$26,0)),"Unknown")</f>
        <v>Email</v>
      </c>
      <c r="D748" s="12" t="n">
        <f aca="false">IFERROR(IF(ISNUMBER(SEARCH("/",Raw_Data!D748)),DATE(VALUE(RIGHT(Raw_Data!D748,4)),VALUE(MID(Raw_Data!D748,FIND("/",Raw_Data!D748)+1,FIND("/",Raw_Data!D748,FIND("/",Raw_Data!D748)+1)-FIND("/",Raw_Data!D748)-1)),VALUE(LEFT(Raw_Data!D748,FIND("/",Raw_Data!D748)-1))),IF(ISNUMBER(VALUE(LEFT(Raw_Data!D748,4))),DATE(VALUE(LEFT(Raw_Data!D748,4)),VALUE(MID(Raw_Data!D748,6,2)),VALUE(MID(Raw_Data!D748,9,2))),DATEVALUE(Raw_Data!D748))),"")</f>
        <v>45485</v>
      </c>
      <c r="E748" s="12" t="n">
        <f aca="false">IFERROR(IF(ISNUMBER(SEARCH("/",Raw_Data!E748)),DATE(VALUE(RIGHT(Raw_Data!E748,4)),VALUE(MID(Raw_Data!E748,FIND("/",Raw_Data!E748)+1,FIND("/",Raw_Data!E748,FIND("/",Raw_Data!E748)+1)-FIND("/",Raw_Data!E748)-1)),VALUE(LEFT(Raw_Data!E748,FIND("/",Raw_Data!E748)-1))),IF(ISNUMBER(VALUE(LEFT(Raw_Data!E748,4))),DATE(VALUE(LEFT(Raw_Data!E748,4)),VALUE(MID(Raw_Data!E748,6,2)),VALUE(MID(Raw_Data!E748,9,2))),DATEVALUE(Raw_Data!E748))),"")</f>
        <v>45500</v>
      </c>
      <c r="F748" s="11" t="str">
        <f aca="false">Raw_Data!F748</f>
        <v>Female 35-44</v>
      </c>
      <c r="G748" s="11" t="str">
        <f aca="false">IF(TRIM(Raw_Data!G748)="","Unspecified",IFERROR(INDEX(Lookup_Tables!$F$2:$F$24,MATCH(UPPER(TRIM(Raw_Data!G748)),Lookup_Tables!$G$2:$G$24,0)),"Unknown"))</f>
        <v>Central</v>
      </c>
      <c r="H748" s="11" t="n">
        <f aca="false">IF(Raw_Data!H748="",ROUND(AVERAGEIFS(Raw_Data!$H$2:$H$839,Raw_Data!$C$2:$C$839,Raw_Data!C748),2),Raw_Data!H748)</f>
        <v>5999.9</v>
      </c>
      <c r="I748" s="11" t="n">
        <f aca="false">Raw_Data!I748</f>
        <v>199714</v>
      </c>
      <c r="J748" s="11" t="n">
        <f aca="false">IF(Raw_Data!J748&lt;0,ABS(Raw_Data!J748),Raw_Data!J748)</f>
        <v>4804</v>
      </c>
      <c r="K748" s="11" t="n">
        <f aca="false">Raw_Data!K748</f>
        <v>96</v>
      </c>
      <c r="L748" s="11" t="n">
        <f aca="false">IF(Raw_Data!L748="",ROUND(AVERAGEIFS(Raw_Data!$L$2:$L$839,Raw_Data!$C$2:$C$839,Raw_Data!C748),2),Raw_Data!L748)</f>
        <v>139685.54</v>
      </c>
      <c r="M748" s="13" t="n">
        <f aca="false">IFERROR(J748/I748,0)</f>
        <v>0.024054397788838</v>
      </c>
      <c r="N748" s="14" t="n">
        <f aca="false">IFERROR(H748/J748,0)</f>
        <v>1.24893838467943</v>
      </c>
      <c r="O748" s="14" t="n">
        <f aca="false">IFERROR(H748/K748,0)</f>
        <v>62.4989583333333</v>
      </c>
      <c r="P748" s="15" t="n">
        <f aca="false">IFERROR(L748/H748,0)</f>
        <v>23.2813113551893</v>
      </c>
      <c r="Q748" s="13" t="n">
        <f aca="false">IFERROR(K748/J748,0)</f>
        <v>0.0199833472106578</v>
      </c>
      <c r="R748" s="11" t="str">
        <f aca="false">IF(COUNTIF($A$2:A748,A748)&gt;1,"Duplicate - Remove","Unique")</f>
        <v>Duplicate - Remove</v>
      </c>
      <c r="S748" s="11" t="str">
        <f aca="false">TRIM(IF(Raw_Data!G748="","Region missing; ","")&amp;IF(Raw_Data!H748="","Spend imputed; ","")&amp;IF(Raw_Data!L748="","Revenue imputed; ","")&amp;IF(Raw_Data!J748&lt;0,"Clicks corrected; ",""))</f>
        <v/>
      </c>
    </row>
    <row r="749" customFormat="false" ht="15" hidden="false" customHeight="true" outlineLevel="0" collapsed="false">
      <c r="A749" s="11" t="n">
        <f aca="false">Raw_Data!A749</f>
        <v>1774</v>
      </c>
      <c r="B749" s="11" t="str">
        <f aca="false">PROPER(TRIM(Raw_Data!B749))</f>
        <v>Herbal Range Awareness</v>
      </c>
      <c r="C749" s="11" t="str">
        <f aca="false">IFERROR(INDEX(Lookup_Tables!$B$2:$B$26,MATCH(UPPER(TRIM(Raw_Data!C749)),Lookup_Tables!$C$2:$C$26,0)),"Unknown")</f>
        <v>Instagram</v>
      </c>
      <c r="D749" s="12" t="n">
        <f aca="false">IFERROR(IF(ISNUMBER(SEARCH("/",Raw_Data!D749)),DATE(VALUE(RIGHT(Raw_Data!D749,4)),VALUE(MID(Raw_Data!D749,FIND("/",Raw_Data!D749)+1,FIND("/",Raw_Data!D749,FIND("/",Raw_Data!D749)+1)-FIND("/",Raw_Data!D749)-1)),VALUE(LEFT(Raw_Data!D749,FIND("/",Raw_Data!D749)-1))),IF(ISNUMBER(VALUE(LEFT(Raw_Data!D749,4))),DATE(VALUE(LEFT(Raw_Data!D749,4)),VALUE(MID(Raw_Data!D749,6,2)),VALUE(MID(Raw_Data!D749,9,2))),DATEVALUE(Raw_Data!D749))),"")</f>
        <v>45473</v>
      </c>
      <c r="E749" s="12" t="n">
        <f aca="false">IFERROR(IF(ISNUMBER(SEARCH("/",Raw_Data!E749)),DATE(VALUE(RIGHT(Raw_Data!E749,4)),VALUE(MID(Raw_Data!E749,FIND("/",Raw_Data!E749)+1,FIND("/",Raw_Data!E749,FIND("/",Raw_Data!E749)+1)-FIND("/",Raw_Data!E749)-1)),VALUE(LEFT(Raw_Data!E749,FIND("/",Raw_Data!E749)-1))),IF(ISNUMBER(VALUE(LEFT(Raw_Data!E749,4))),DATE(VALUE(LEFT(Raw_Data!E749,4)),VALUE(MID(Raw_Data!E749,6,2)),VALUE(MID(Raw_Data!E749,9,2))),DATEVALUE(Raw_Data!E749))),"")</f>
        <v>45494</v>
      </c>
      <c r="F749" s="11" t="str">
        <f aca="false">Raw_Data!F749</f>
        <v>Male 25-34</v>
      </c>
      <c r="G749" s="11" t="str">
        <f aca="false">IF(TRIM(Raw_Data!G749)="","Unspecified",IFERROR(INDEX(Lookup_Tables!$F$2:$F$24,MATCH(UPPER(TRIM(Raw_Data!G749)),Lookup_Tables!$G$2:$G$24,0)),"Unknown"))</f>
        <v>West</v>
      </c>
      <c r="H749" s="11" t="n">
        <f aca="false">IF(Raw_Data!H749="",ROUND(AVERAGEIFS(Raw_Data!$H$2:$H$839,Raw_Data!$C$2:$C$839,Raw_Data!C749),2),Raw_Data!H749)</f>
        <v>32809.62</v>
      </c>
      <c r="I749" s="11" t="n">
        <f aca="false">Raw_Data!I749</f>
        <v>1258230</v>
      </c>
      <c r="J749" s="11" t="n">
        <f aca="false">IF(Raw_Data!J749&lt;0,ABS(Raw_Data!J749),Raw_Data!J749)</f>
        <v>39079</v>
      </c>
      <c r="K749" s="11" t="n">
        <f aca="false">Raw_Data!K749</f>
        <v>1702</v>
      </c>
      <c r="L749" s="11" t="n">
        <f aca="false">IF(Raw_Data!L749="",ROUND(AVERAGEIFS(Raw_Data!$L$2:$L$839,Raw_Data!$C$2:$C$839,Raw_Data!C749),2),Raw_Data!L749)</f>
        <v>1465591.4</v>
      </c>
      <c r="M749" s="13" t="n">
        <f aca="false">IFERROR(J749/I749,0)</f>
        <v>0.0310587094569355</v>
      </c>
      <c r="N749" s="14" t="n">
        <f aca="false">IFERROR(H749/J749,0)</f>
        <v>0.839571636940556</v>
      </c>
      <c r="O749" s="14" t="n">
        <f aca="false">IFERROR(H749/K749,0)</f>
        <v>19.2770975323149</v>
      </c>
      <c r="P749" s="15" t="n">
        <f aca="false">IFERROR(L749/H749,0)</f>
        <v>44.669563378058</v>
      </c>
      <c r="Q749" s="13" t="n">
        <f aca="false">IFERROR(K749/J749,0)</f>
        <v>0.0435528032958878</v>
      </c>
      <c r="R749" s="11" t="str">
        <f aca="false">IF(COUNTIF($A$2:A749,A749)&gt;1,"Duplicate - Remove","Unique")</f>
        <v>Unique</v>
      </c>
      <c r="S749" s="11" t="str">
        <f aca="false">TRIM(IF(Raw_Data!G749="","Region missing; ","")&amp;IF(Raw_Data!H749="","Spend imputed; ","")&amp;IF(Raw_Data!L749="","Revenue imputed; ","")&amp;IF(Raw_Data!J749&lt;0,"Clicks corrected; ",""))</f>
        <v/>
      </c>
    </row>
    <row r="750" customFormat="false" ht="15" hidden="false" customHeight="true" outlineLevel="0" collapsed="false">
      <c r="A750" s="11" t="n">
        <f aca="false">Raw_Data!A750</f>
        <v>1379</v>
      </c>
      <c r="B750" s="11" t="str">
        <f aca="false">PROPER(TRIM(Raw_Data!B750))</f>
        <v>Influencer Collab - Skincare</v>
      </c>
      <c r="C750" s="11" t="str">
        <f aca="false">IFERROR(INDEX(Lookup_Tables!$B$2:$B$26,MATCH(UPPER(TRIM(Raw_Data!C750)),Lookup_Tables!$C$2:$C$26,0)),"Unknown")</f>
        <v>Email</v>
      </c>
      <c r="D750" s="12" t="n">
        <f aca="false">IFERROR(IF(ISNUMBER(SEARCH("/",Raw_Data!D750)),DATE(VALUE(RIGHT(Raw_Data!D750,4)),VALUE(MID(Raw_Data!D750,FIND("/",Raw_Data!D750)+1,FIND("/",Raw_Data!D750,FIND("/",Raw_Data!D750)+1)-FIND("/",Raw_Data!D750)-1)),VALUE(LEFT(Raw_Data!D750,FIND("/",Raw_Data!D750)-1))),IF(ISNUMBER(VALUE(LEFT(Raw_Data!D750,4))),DATE(VALUE(LEFT(Raw_Data!D750,4)),VALUE(MID(Raw_Data!D750,6,2)),VALUE(MID(Raw_Data!D750,9,2))),DATEVALUE(Raw_Data!D750))),"")</f>
        <v>45452</v>
      </c>
      <c r="E750" s="12" t="n">
        <f aca="false">IFERROR(IF(ISNUMBER(SEARCH("/",Raw_Data!E750)),DATE(VALUE(RIGHT(Raw_Data!E750,4)),VALUE(MID(Raw_Data!E750,FIND("/",Raw_Data!E750)+1,FIND("/",Raw_Data!E750,FIND("/",Raw_Data!E750)+1)-FIND("/",Raw_Data!E750)-1)),VALUE(LEFT(Raw_Data!E750,FIND("/",Raw_Data!E750)-1))),IF(ISNUMBER(VALUE(LEFT(Raw_Data!E750,4))),DATE(VALUE(LEFT(Raw_Data!E750,4)),VALUE(MID(Raw_Data!E750,6,2)),VALUE(MID(Raw_Data!E750,9,2))),DATEVALUE(Raw_Data!E750))),"")</f>
        <v>45475</v>
      </c>
      <c r="F750" s="11" t="str">
        <f aca="false">Raw_Data!F750</f>
        <v>Male 25-34</v>
      </c>
      <c r="G750" s="11" t="str">
        <f aca="false">IF(TRIM(Raw_Data!G750)="","Unspecified",IFERROR(INDEX(Lookup_Tables!$F$2:$F$24,MATCH(UPPER(TRIM(Raw_Data!G750)),Lookup_Tables!$G$2:$G$24,0)),"Unknown"))</f>
        <v>North</v>
      </c>
      <c r="H750" s="11" t="n">
        <f aca="false">IF(Raw_Data!H750="",ROUND(AVERAGEIFS(Raw_Data!$H$2:$H$839,Raw_Data!$C$2:$C$839,Raw_Data!C750),2),Raw_Data!H750)</f>
        <v>4184.99</v>
      </c>
      <c r="I750" s="11" t="n">
        <f aca="false">Raw_Data!I750</f>
        <v>132900</v>
      </c>
      <c r="J750" s="11" t="n">
        <f aca="false">IF(Raw_Data!J750&lt;0,ABS(Raw_Data!J750),Raw_Data!J750)</f>
        <v>3151</v>
      </c>
      <c r="K750" s="11" t="n">
        <f aca="false">Raw_Data!K750</f>
        <v>89</v>
      </c>
      <c r="L750" s="11" t="n">
        <f aca="false">IF(Raw_Data!L750="",ROUND(AVERAGEIFS(Raw_Data!$L$2:$L$839,Raw_Data!$C$2:$C$839,Raw_Data!C750),2),Raw_Data!L750)</f>
        <v>155905.17</v>
      </c>
      <c r="M750" s="13" t="n">
        <f aca="false">IFERROR(J750/I750,0)</f>
        <v>0.0237095560571859</v>
      </c>
      <c r="N750" s="14" t="n">
        <f aca="false">IFERROR(H750/J750,0)</f>
        <v>1.3281466201206</v>
      </c>
      <c r="O750" s="14" t="n">
        <f aca="false">IFERROR(H750/K750,0)</f>
        <v>47.0223595505618</v>
      </c>
      <c r="P750" s="15" t="n">
        <f aca="false">IFERROR(L750/H750,0)</f>
        <v>37.2534151813983</v>
      </c>
      <c r="Q750" s="13" t="n">
        <f aca="false">IFERROR(K750/J750,0)</f>
        <v>0.0282450015867978</v>
      </c>
      <c r="R750" s="11" t="str">
        <f aca="false">IF(COUNTIF($A$2:A750,A750)&gt;1,"Duplicate - Remove","Unique")</f>
        <v>Unique</v>
      </c>
      <c r="S750" s="11" t="str">
        <f aca="false">TRIM(IF(Raw_Data!G750="","Region missing; ","")&amp;IF(Raw_Data!H750="","Spend imputed; ","")&amp;IF(Raw_Data!L750="","Revenue imputed; ","")&amp;IF(Raw_Data!J750&lt;0,"Clicks corrected; ",""))</f>
        <v/>
      </c>
    </row>
    <row r="751" customFormat="false" ht="15" hidden="false" customHeight="true" outlineLevel="0" collapsed="false">
      <c r="A751" s="11" t="n">
        <f aca="false">Raw_Data!A751</f>
        <v>1330</v>
      </c>
      <c r="B751" s="11" t="str">
        <f aca="false">PROPER(TRIM(Raw_Data!B751))</f>
        <v>Baby Care Trust Campaign</v>
      </c>
      <c r="C751" s="11" t="str">
        <f aca="false">IFERROR(INDEX(Lookup_Tables!$B$2:$B$26,MATCH(UPPER(TRIM(Raw_Data!C751)),Lookup_Tables!$C$2:$C$26,0)),"Unknown")</f>
        <v>Google Ads</v>
      </c>
      <c r="D751" s="12" t="n">
        <f aca="false">IFERROR(IF(ISNUMBER(SEARCH("/",Raw_Data!D751)),DATE(VALUE(RIGHT(Raw_Data!D751,4)),VALUE(MID(Raw_Data!D751,FIND("/",Raw_Data!D751)+1,FIND("/",Raw_Data!D751,FIND("/",Raw_Data!D751)+1)-FIND("/",Raw_Data!D751)-1)),VALUE(LEFT(Raw_Data!D751,FIND("/",Raw_Data!D751)-1))),IF(ISNUMBER(VALUE(LEFT(Raw_Data!D751,4))),DATE(VALUE(LEFT(Raw_Data!D751,4)),VALUE(MID(Raw_Data!D751,6,2)),VALUE(MID(Raw_Data!D751,9,2))),DATEVALUE(Raw_Data!D751))),"")</f>
        <v>45448</v>
      </c>
      <c r="E751" s="12" t="n">
        <f aca="false">IFERROR(IF(ISNUMBER(SEARCH("/",Raw_Data!E751)),DATE(VALUE(RIGHT(Raw_Data!E751,4)),VALUE(MID(Raw_Data!E751,FIND("/",Raw_Data!E751)+1,FIND("/",Raw_Data!E751,FIND("/",Raw_Data!E751)+1)-FIND("/",Raw_Data!E751)-1)),VALUE(LEFT(Raw_Data!E751,FIND("/",Raw_Data!E751)-1))),IF(ISNUMBER(VALUE(LEFT(Raw_Data!E751,4))),DATE(VALUE(LEFT(Raw_Data!E751,4)),VALUE(MID(Raw_Data!E751,6,2)),VALUE(MID(Raw_Data!E751,9,2))),DATEVALUE(Raw_Data!E751))),"")</f>
        <v>45458</v>
      </c>
      <c r="F751" s="11" t="str">
        <f aca="false">Raw_Data!F751</f>
        <v>Female 35-44</v>
      </c>
      <c r="G751" s="11" t="str">
        <f aca="false">IF(TRIM(Raw_Data!G751)="","Unspecified",IFERROR(INDEX(Lookup_Tables!$F$2:$F$24,MATCH(UPPER(TRIM(Raw_Data!G751)),Lookup_Tables!$G$2:$G$24,0)),"Unknown"))</f>
        <v>Central</v>
      </c>
      <c r="H751" s="11" t="n">
        <f aca="false">IF(Raw_Data!H751="",ROUND(AVERAGEIFS(Raw_Data!$H$2:$H$839,Raw_Data!$C$2:$C$839,Raw_Data!C751),2),Raw_Data!H751)</f>
        <v>25874.74</v>
      </c>
      <c r="I751" s="11" t="n">
        <f aca="false">Raw_Data!I751</f>
        <v>628692</v>
      </c>
      <c r="J751" s="11" t="n">
        <f aca="false">IF(Raw_Data!J751&lt;0,ABS(Raw_Data!J751),Raw_Data!J751)</f>
        <v>8578</v>
      </c>
      <c r="K751" s="11" t="n">
        <f aca="false">Raw_Data!K751</f>
        <v>593</v>
      </c>
      <c r="L751" s="11" t="n">
        <f aca="false">IF(Raw_Data!L751="",ROUND(AVERAGEIFS(Raw_Data!$L$2:$L$839,Raw_Data!$C$2:$C$839,Raw_Data!C751),2),Raw_Data!L751)</f>
        <v>335098.72</v>
      </c>
      <c r="M751" s="13" t="n">
        <f aca="false">IFERROR(J751/I751,0)</f>
        <v>0.0136442009759946</v>
      </c>
      <c r="N751" s="14" t="n">
        <f aca="false">IFERROR(H751/J751,0)</f>
        <v>3.01640708789928</v>
      </c>
      <c r="O751" s="14" t="n">
        <f aca="false">IFERROR(H751/K751,0)</f>
        <v>43.6336256323777</v>
      </c>
      <c r="P751" s="15" t="n">
        <f aca="false">IFERROR(L751/H751,0)</f>
        <v>12.9508053027779</v>
      </c>
      <c r="Q751" s="13" t="n">
        <f aca="false">IFERROR(K751/J751,0)</f>
        <v>0.0691303334110515</v>
      </c>
      <c r="R751" s="11" t="str">
        <f aca="false">IF(COUNTIF($A$2:A751,A751)&gt;1,"Duplicate - Remove","Unique")</f>
        <v>Unique</v>
      </c>
      <c r="S751" s="11" t="str">
        <f aca="false">TRIM(IF(Raw_Data!G751="","Region missing; ","")&amp;IF(Raw_Data!H751="","Spend imputed; ","")&amp;IF(Raw_Data!L751="","Revenue imputed; ","")&amp;IF(Raw_Data!J751&lt;0,"Clicks corrected; ",""))</f>
        <v/>
      </c>
    </row>
    <row r="752" customFormat="false" ht="15" hidden="false" customHeight="true" outlineLevel="0" collapsed="false">
      <c r="A752" s="11" t="n">
        <f aca="false">Raw_Data!A752</f>
        <v>1234</v>
      </c>
      <c r="B752" s="11" t="str">
        <f aca="false">PROPER(TRIM(Raw_Data!B752))</f>
        <v>Monsoon Skincare Push</v>
      </c>
      <c r="C752" s="11" t="str">
        <f aca="false">IFERROR(INDEX(Lookup_Tables!$B$2:$B$26,MATCH(UPPER(TRIM(Raw_Data!C752)),Lookup_Tables!$C$2:$C$26,0)),"Unknown")</f>
        <v>Google Ads</v>
      </c>
      <c r="D752" s="12" t="n">
        <f aca="false">IFERROR(IF(ISNUMBER(SEARCH("/",Raw_Data!D752)),DATE(VALUE(RIGHT(Raw_Data!D752,4)),VALUE(MID(Raw_Data!D752,FIND("/",Raw_Data!D752)+1,FIND("/",Raw_Data!D752,FIND("/",Raw_Data!D752)+1)-FIND("/",Raw_Data!D752)-1)),VALUE(LEFT(Raw_Data!D752,FIND("/",Raw_Data!D752)-1))),IF(ISNUMBER(VALUE(LEFT(Raw_Data!D752,4))),DATE(VALUE(LEFT(Raw_Data!D752,4)),VALUE(MID(Raw_Data!D752,6,2)),VALUE(MID(Raw_Data!D752,9,2))),DATEVALUE(Raw_Data!D752))),"")</f>
        <v>45485</v>
      </c>
      <c r="E752" s="12" t="n">
        <f aca="false">IFERROR(IF(ISNUMBER(SEARCH("/",Raw_Data!E752)),DATE(VALUE(RIGHT(Raw_Data!E752,4)),VALUE(MID(Raw_Data!E752,FIND("/",Raw_Data!E752)+1,FIND("/",Raw_Data!E752,FIND("/",Raw_Data!E752)+1)-FIND("/",Raw_Data!E752)-1)),VALUE(LEFT(Raw_Data!E752,FIND("/",Raw_Data!E752)-1))),IF(ISNUMBER(VALUE(LEFT(Raw_Data!E752,4))),DATE(VALUE(LEFT(Raw_Data!E752,4)),VALUE(MID(Raw_Data!E752,6,2)),VALUE(MID(Raw_Data!E752,9,2))),DATEVALUE(Raw_Data!E752))),"")</f>
        <v>45508</v>
      </c>
      <c r="F752" s="11" t="str">
        <f aca="false">Raw_Data!F752</f>
        <v>Male 45+</v>
      </c>
      <c r="G752" s="11" t="str">
        <f aca="false">IF(TRIM(Raw_Data!G752)="","Unspecified",IFERROR(INDEX(Lookup_Tables!$F$2:$F$24,MATCH(UPPER(TRIM(Raw_Data!G752)),Lookup_Tables!$G$2:$G$24,0)),"Unknown"))</f>
        <v>Central</v>
      </c>
      <c r="H752" s="11" t="n">
        <f aca="false">IF(Raw_Data!H752="",ROUND(AVERAGEIFS(Raw_Data!$H$2:$H$839,Raw_Data!$C$2:$C$839,Raw_Data!C752),2),Raw_Data!H752)</f>
        <v>63897.7</v>
      </c>
      <c r="I752" s="11" t="n">
        <f aca="false">Raw_Data!I752</f>
        <v>2168485</v>
      </c>
      <c r="J752" s="11" t="n">
        <f aca="false">IF(Raw_Data!J752&lt;0,ABS(Raw_Data!J752),Raw_Data!J752)</f>
        <v>73375</v>
      </c>
      <c r="K752" s="11" t="n">
        <f aca="false">Raw_Data!K752</f>
        <v>3090</v>
      </c>
      <c r="L752" s="11" t="n">
        <f aca="false">IF(Raw_Data!L752="",ROUND(AVERAGEIFS(Raw_Data!$L$2:$L$839,Raw_Data!$C$2:$C$839,Raw_Data!C752),2),Raw_Data!L752)</f>
        <v>3145757.94</v>
      </c>
      <c r="M752" s="13" t="n">
        <f aca="false">IFERROR(J752/I752,0)</f>
        <v>0.0338369875742742</v>
      </c>
      <c r="N752" s="14" t="n">
        <f aca="false">IFERROR(H752/J752,0)</f>
        <v>0.870837478705281</v>
      </c>
      <c r="O752" s="14" t="n">
        <f aca="false">IFERROR(H752/K752,0)</f>
        <v>20.6788673139159</v>
      </c>
      <c r="P752" s="15" t="n">
        <f aca="false">IFERROR(L752/H752,0)</f>
        <v>49.2311607460049</v>
      </c>
      <c r="Q752" s="13" t="n">
        <f aca="false">IFERROR(K752/J752,0)</f>
        <v>0.0421124361158433</v>
      </c>
      <c r="R752" s="11" t="str">
        <f aca="false">IF(COUNTIF($A$2:A752,A752)&gt;1,"Duplicate - Remove","Unique")</f>
        <v>Unique</v>
      </c>
      <c r="S752" s="11" t="str">
        <f aca="false">TRIM(IF(Raw_Data!G752="","Region missing; ","")&amp;IF(Raw_Data!H752="","Spend imputed; ","")&amp;IF(Raw_Data!L752="","Revenue imputed; ","")&amp;IF(Raw_Data!J752&lt;0,"Clicks corrected; ",""))</f>
        <v/>
      </c>
    </row>
    <row r="753" customFormat="false" ht="15" hidden="false" customHeight="true" outlineLevel="0" collapsed="false">
      <c r="A753" s="11" t="n">
        <f aca="false">Raw_Data!A753</f>
        <v>1524</v>
      </c>
      <c r="B753" s="11" t="str">
        <f aca="false">PROPER(TRIM(Raw_Data!B753))</f>
        <v>Back To College Offer</v>
      </c>
      <c r="C753" s="11" t="str">
        <f aca="false">IFERROR(INDEX(Lookup_Tables!$B$2:$B$26,MATCH(UPPER(TRIM(Raw_Data!C753)),Lookup_Tables!$C$2:$C$26,0)),"Unknown")</f>
        <v>Instagram</v>
      </c>
      <c r="D753" s="12" t="n">
        <f aca="false">IFERROR(IF(ISNUMBER(SEARCH("/",Raw_Data!D753)),DATE(VALUE(RIGHT(Raw_Data!D753,4)),VALUE(MID(Raw_Data!D753,FIND("/",Raw_Data!D753)+1,FIND("/",Raw_Data!D753,FIND("/",Raw_Data!D753)+1)-FIND("/",Raw_Data!D753)-1)),VALUE(LEFT(Raw_Data!D753,FIND("/",Raw_Data!D753)-1))),IF(ISNUMBER(VALUE(LEFT(Raw_Data!D753,4))),DATE(VALUE(LEFT(Raw_Data!D753,4)),VALUE(MID(Raw_Data!D753,6,2)),VALUE(MID(Raw_Data!D753,9,2))),DATEVALUE(Raw_Data!D753))),"")</f>
        <v>45503</v>
      </c>
      <c r="E753" s="12" t="n">
        <f aca="false">IFERROR(IF(ISNUMBER(SEARCH("/",Raw_Data!E753)),DATE(VALUE(RIGHT(Raw_Data!E753,4)),VALUE(MID(Raw_Data!E753,FIND("/",Raw_Data!E753)+1,FIND("/",Raw_Data!E753,FIND("/",Raw_Data!E753)+1)-FIND("/",Raw_Data!E753)-1)),VALUE(LEFT(Raw_Data!E753,FIND("/",Raw_Data!E753)-1))),IF(ISNUMBER(VALUE(LEFT(Raw_Data!E753,4))),DATE(VALUE(LEFT(Raw_Data!E753,4)),VALUE(MID(Raw_Data!E753,6,2)),VALUE(MID(Raw_Data!E753,9,2))),DATEVALUE(Raw_Data!E753))),"")</f>
        <v>45510</v>
      </c>
      <c r="F753" s="11" t="str">
        <f aca="false">Raw_Data!F753</f>
        <v>Female 18-24</v>
      </c>
      <c r="G753" s="11" t="str">
        <f aca="false">IF(TRIM(Raw_Data!G753)="","Unspecified",IFERROR(INDEX(Lookup_Tables!$F$2:$F$24,MATCH(UPPER(TRIM(Raw_Data!G753)),Lookup_Tables!$G$2:$G$24,0)),"Unknown"))</f>
        <v>West</v>
      </c>
      <c r="H753" s="11" t="n">
        <f aca="false">IF(Raw_Data!H753="",ROUND(AVERAGEIFS(Raw_Data!$H$2:$H$839,Raw_Data!$C$2:$C$839,Raw_Data!C753),2),Raw_Data!H753)</f>
        <v>57879.29</v>
      </c>
      <c r="I753" s="11" t="n">
        <f aca="false">Raw_Data!I753</f>
        <v>978612</v>
      </c>
      <c r="J753" s="11" t="n">
        <f aca="false">IF(Raw_Data!J753&lt;0,ABS(Raw_Data!J753),Raw_Data!J753)</f>
        <v>25072</v>
      </c>
      <c r="K753" s="11" t="n">
        <f aca="false">Raw_Data!K753</f>
        <v>909</v>
      </c>
      <c r="L753" s="11" t="n">
        <f aca="false">IF(Raw_Data!L753="",ROUND(AVERAGEIFS(Raw_Data!$L$2:$L$839,Raw_Data!$C$2:$C$839,Raw_Data!C753),2),Raw_Data!L753)</f>
        <v>731470.62</v>
      </c>
      <c r="M753" s="13" t="n">
        <f aca="false">IFERROR(J753/I753,0)</f>
        <v>0.0256199596980213</v>
      </c>
      <c r="N753" s="14" t="n">
        <f aca="false">IFERROR(H753/J753,0)</f>
        <v>2.30852305360562</v>
      </c>
      <c r="O753" s="14" t="n">
        <f aca="false">IFERROR(H753/K753,0)</f>
        <v>63.6735863586359</v>
      </c>
      <c r="P753" s="15" t="n">
        <f aca="false">IFERROR(L753/H753,0)</f>
        <v>12.6378644243908</v>
      </c>
      <c r="Q753" s="13" t="n">
        <f aca="false">IFERROR(K753/J753,0)</f>
        <v>0.0362555839183153</v>
      </c>
      <c r="R753" s="11" t="str">
        <f aca="false">IF(COUNTIF($A$2:A753,A753)&gt;1,"Duplicate - Remove","Unique")</f>
        <v>Unique</v>
      </c>
      <c r="S753" s="11" t="str">
        <f aca="false">TRIM(IF(Raw_Data!G753="","Region missing; ","")&amp;IF(Raw_Data!H753="","Spend imputed; ","")&amp;IF(Raw_Data!L753="","Revenue imputed; ","")&amp;IF(Raw_Data!J753&lt;0,"Clicks corrected; ",""))</f>
        <v/>
      </c>
    </row>
    <row r="754" customFormat="false" ht="15" hidden="false" customHeight="true" outlineLevel="0" collapsed="false">
      <c r="A754" s="11" t="n">
        <f aca="false">Raw_Data!A754</f>
        <v>1276</v>
      </c>
      <c r="B754" s="11" t="str">
        <f aca="false">PROPER(TRIM(Raw_Data!B754))</f>
        <v>Hair Care Revamp</v>
      </c>
      <c r="C754" s="11" t="str">
        <f aca="false">IFERROR(INDEX(Lookup_Tables!$B$2:$B$26,MATCH(UPPER(TRIM(Raw_Data!C754)),Lookup_Tables!$C$2:$C$26,0)),"Unknown")</f>
        <v>Instagram</v>
      </c>
      <c r="D754" s="12" t="n">
        <f aca="false">IFERROR(IF(ISNUMBER(SEARCH("/",Raw_Data!D754)),DATE(VALUE(RIGHT(Raw_Data!D754,4)),VALUE(MID(Raw_Data!D754,FIND("/",Raw_Data!D754)+1,FIND("/",Raw_Data!D754,FIND("/",Raw_Data!D754)+1)-FIND("/",Raw_Data!D754)-1)),VALUE(LEFT(Raw_Data!D754,FIND("/",Raw_Data!D754)-1))),IF(ISNUMBER(VALUE(LEFT(Raw_Data!D754,4))),DATE(VALUE(LEFT(Raw_Data!D754,4)),VALUE(MID(Raw_Data!D754,6,2)),VALUE(MID(Raw_Data!D754,9,2))),DATEVALUE(Raw_Data!D754))),"")</f>
        <v>45389</v>
      </c>
      <c r="E754" s="12" t="n">
        <f aca="false">IFERROR(IF(ISNUMBER(SEARCH("/",Raw_Data!E754)),DATE(VALUE(RIGHT(Raw_Data!E754,4)),VALUE(MID(Raw_Data!E754,FIND("/",Raw_Data!E754)+1,FIND("/",Raw_Data!E754,FIND("/",Raw_Data!E754)+1)-FIND("/",Raw_Data!E754)-1)),VALUE(LEFT(Raw_Data!E754,FIND("/",Raw_Data!E754)-1))),IF(ISNUMBER(VALUE(LEFT(Raw_Data!E754,4))),DATE(VALUE(LEFT(Raw_Data!E754,4)),VALUE(MID(Raw_Data!E754,6,2)),VALUE(MID(Raw_Data!E754,9,2))),DATEVALUE(Raw_Data!E754))),"")</f>
        <v>45403</v>
      </c>
      <c r="F754" s="11" t="str">
        <f aca="false">Raw_Data!F754</f>
        <v>Female 18-24</v>
      </c>
      <c r="G754" s="11" t="str">
        <f aca="false">IF(TRIM(Raw_Data!G754)="","Unspecified",IFERROR(INDEX(Lookup_Tables!$F$2:$F$24,MATCH(UPPER(TRIM(Raw_Data!G754)),Lookup_Tables!$G$2:$G$24,0)),"Unknown"))</f>
        <v>North</v>
      </c>
      <c r="H754" s="11" t="n">
        <f aca="false">IF(Raw_Data!H754="",ROUND(AVERAGEIFS(Raw_Data!$H$2:$H$839,Raw_Data!$C$2:$C$839,Raw_Data!C754),2),Raw_Data!H754)</f>
        <v>28698.07</v>
      </c>
      <c r="I754" s="11" t="n">
        <f aca="false">Raw_Data!I754</f>
        <v>648973</v>
      </c>
      <c r="J754" s="11" t="n">
        <f aca="false">IF(Raw_Data!J754&lt;0,ABS(Raw_Data!J754),Raw_Data!J754)</f>
        <v>19357</v>
      </c>
      <c r="K754" s="11" t="n">
        <f aca="false">Raw_Data!K754</f>
        <v>818</v>
      </c>
      <c r="L754" s="11" t="n">
        <f aca="false">IF(Raw_Data!L754="",ROUND(AVERAGEIFS(Raw_Data!$L$2:$L$839,Raw_Data!$C$2:$C$839,Raw_Data!C754),2),Raw_Data!L754)</f>
        <v>787382.39</v>
      </c>
      <c r="M754" s="13" t="n">
        <f aca="false">IFERROR(J754/I754,0)</f>
        <v>0.0298271268604395</v>
      </c>
      <c r="N754" s="14" t="n">
        <f aca="false">IFERROR(H754/J754,0)</f>
        <v>1.48256806323294</v>
      </c>
      <c r="O754" s="14" t="n">
        <f aca="false">IFERROR(H754/K754,0)</f>
        <v>35.0832151589242</v>
      </c>
      <c r="P754" s="15" t="n">
        <f aca="false">IFERROR(L754/H754,0)</f>
        <v>27.4367715320229</v>
      </c>
      <c r="Q754" s="13" t="n">
        <f aca="false">IFERROR(K754/J754,0)</f>
        <v>0.0422586144547192</v>
      </c>
      <c r="R754" s="11" t="str">
        <f aca="false">IF(COUNTIF($A$2:A754,A754)&gt;1,"Duplicate - Remove","Unique")</f>
        <v>Unique</v>
      </c>
      <c r="S754" s="11" t="str">
        <f aca="false">TRIM(IF(Raw_Data!G754="","Region missing; ","")&amp;IF(Raw_Data!H754="","Spend imputed; ","")&amp;IF(Raw_Data!L754="","Revenue imputed; ","")&amp;IF(Raw_Data!J754&lt;0,"Clicks corrected; ",""))</f>
        <v/>
      </c>
    </row>
    <row r="755" customFormat="false" ht="15" hidden="false" customHeight="true" outlineLevel="0" collapsed="false">
      <c r="A755" s="11" t="n">
        <f aca="false">Raw_Data!A755</f>
        <v>1153</v>
      </c>
      <c r="B755" s="11" t="str">
        <f aca="false">PROPER(TRIM(Raw_Data!B755))</f>
        <v>Clearance Sale Push</v>
      </c>
      <c r="C755" s="11" t="str">
        <f aca="false">IFERROR(INDEX(Lookup_Tables!$B$2:$B$26,MATCH(UPPER(TRIM(Raw_Data!C755)),Lookup_Tables!$C$2:$C$26,0)),"Unknown")</f>
        <v>Instagram</v>
      </c>
      <c r="D755" s="12" t="n">
        <f aca="false">IFERROR(IF(ISNUMBER(SEARCH("/",Raw_Data!D755)),DATE(VALUE(RIGHT(Raw_Data!D755,4)),VALUE(MID(Raw_Data!D755,FIND("/",Raw_Data!D755)+1,FIND("/",Raw_Data!D755,FIND("/",Raw_Data!D755)+1)-FIND("/",Raw_Data!D755)-1)),VALUE(LEFT(Raw_Data!D755,FIND("/",Raw_Data!D755)-1))),IF(ISNUMBER(VALUE(LEFT(Raw_Data!D755,4))),DATE(VALUE(LEFT(Raw_Data!D755,4)),VALUE(MID(Raw_Data!D755,6,2)),VALUE(MID(Raw_Data!D755,9,2))),DATEVALUE(Raw_Data!D755))),"")</f>
        <v>45488</v>
      </c>
      <c r="E755" s="12" t="n">
        <f aca="false">IFERROR(IF(ISNUMBER(SEARCH("/",Raw_Data!E755)),DATE(VALUE(RIGHT(Raw_Data!E755,4)),VALUE(MID(Raw_Data!E755,FIND("/",Raw_Data!E755)+1,FIND("/",Raw_Data!E755,FIND("/",Raw_Data!E755)+1)-FIND("/",Raw_Data!E755)-1)),VALUE(LEFT(Raw_Data!E755,FIND("/",Raw_Data!E755)-1))),IF(ISNUMBER(VALUE(LEFT(Raw_Data!E755,4))),DATE(VALUE(LEFT(Raw_Data!E755,4)),VALUE(MID(Raw_Data!E755,6,2)),VALUE(MID(Raw_Data!E755,9,2))),DATEVALUE(Raw_Data!E755))),"")</f>
        <v>45497</v>
      </c>
      <c r="F755" s="11" t="str">
        <f aca="false">Raw_Data!F755</f>
        <v>Male 35-44</v>
      </c>
      <c r="G755" s="11" t="str">
        <f aca="false">IF(TRIM(Raw_Data!G755)="","Unspecified",IFERROR(INDEX(Lookup_Tables!$F$2:$F$24,MATCH(UPPER(TRIM(Raw_Data!G755)),Lookup_Tables!$G$2:$G$24,0)),"Unknown"))</f>
        <v>Unspecified</v>
      </c>
      <c r="H755" s="11" t="n">
        <f aca="false">IF(Raw_Data!H755="",ROUND(AVERAGEIFS(Raw_Data!$H$2:$H$839,Raw_Data!$C$2:$C$839,Raw_Data!C755),2),Raw_Data!H755)</f>
        <v>56420.32</v>
      </c>
      <c r="I755" s="11" t="n">
        <f aca="false">Raw_Data!I755</f>
        <v>2055794</v>
      </c>
      <c r="J755" s="11" t="n">
        <f aca="false">IF(Raw_Data!J755&lt;0,ABS(Raw_Data!J755),Raw_Data!J755)</f>
        <v>44376</v>
      </c>
      <c r="K755" s="11" t="n">
        <f aca="false">Raw_Data!K755</f>
        <v>3282</v>
      </c>
      <c r="L755" s="11" t="n">
        <f aca="false">IF(Raw_Data!L755="",ROUND(AVERAGEIFS(Raw_Data!$L$2:$L$839,Raw_Data!$C$2:$C$839,Raw_Data!C755),2),Raw_Data!L755)</f>
        <v>4673454.61</v>
      </c>
      <c r="M755" s="13" t="n">
        <f aca="false">IFERROR(J755/I755,0)</f>
        <v>0.0215858203691615</v>
      </c>
      <c r="N755" s="14" t="n">
        <f aca="false">IFERROR(H755/J755,0)</f>
        <v>1.27141517937624</v>
      </c>
      <c r="O755" s="14" t="n">
        <f aca="false">IFERROR(H755/K755,0)</f>
        <v>17.1908348567946</v>
      </c>
      <c r="P755" s="15" t="n">
        <f aca="false">IFERROR(L755/H755,0)</f>
        <v>82.8328270736501</v>
      </c>
      <c r="Q755" s="13" t="n">
        <f aca="false">IFERROR(K755/J755,0)</f>
        <v>0.0739588967009194</v>
      </c>
      <c r="R755" s="11" t="str">
        <f aca="false">IF(COUNTIF($A$2:A755,A755)&gt;1,"Duplicate - Remove","Unique")</f>
        <v>Unique</v>
      </c>
      <c r="S755" s="11" t="str">
        <f aca="false">TRIM(IF(Raw_Data!G755="","Region missing; ","")&amp;IF(Raw_Data!H755="","Spend imputed; ","")&amp;IF(Raw_Data!L755="","Revenue imputed; ","")&amp;IF(Raw_Data!J755&lt;0,"Clicks corrected; ",""))</f>
        <v>Region missing;</v>
      </c>
    </row>
    <row r="756" customFormat="false" ht="15" hidden="false" customHeight="true" outlineLevel="0" collapsed="false">
      <c r="A756" s="11" t="n">
        <f aca="false">Raw_Data!A756</f>
        <v>1423</v>
      </c>
      <c r="B756" s="11" t="str">
        <f aca="false">PROPER(TRIM(Raw_Data!B756))</f>
        <v>Sunscreen Season Campaign</v>
      </c>
      <c r="C756" s="11" t="str">
        <f aca="false">IFERROR(INDEX(Lookup_Tables!$B$2:$B$26,MATCH(UPPER(TRIM(Raw_Data!C756)),Lookup_Tables!$C$2:$C$26,0)),"Unknown")</f>
        <v>YouTube</v>
      </c>
      <c r="D756" s="12" t="n">
        <f aca="false">IFERROR(IF(ISNUMBER(SEARCH("/",Raw_Data!D756)),DATE(VALUE(RIGHT(Raw_Data!D756,4)),VALUE(MID(Raw_Data!D756,FIND("/",Raw_Data!D756)+1,FIND("/",Raw_Data!D756,FIND("/",Raw_Data!D756)+1)-FIND("/",Raw_Data!D756)-1)),VALUE(LEFT(Raw_Data!D756,FIND("/",Raw_Data!D756)-1))),IF(ISNUMBER(VALUE(LEFT(Raw_Data!D756,4))),DATE(VALUE(LEFT(Raw_Data!D756,4)),VALUE(MID(Raw_Data!D756,6,2)),VALUE(MID(Raw_Data!D756,9,2))),DATEVALUE(Raw_Data!D756))),"")</f>
        <v>45534</v>
      </c>
      <c r="E756" s="12" t="n">
        <f aca="false">IFERROR(IF(ISNUMBER(SEARCH("/",Raw_Data!E756)),DATE(VALUE(RIGHT(Raw_Data!E756,4)),VALUE(MID(Raw_Data!E756,FIND("/",Raw_Data!E756)+1,FIND("/",Raw_Data!E756,FIND("/",Raw_Data!E756)+1)-FIND("/",Raw_Data!E756)-1)),VALUE(LEFT(Raw_Data!E756,FIND("/",Raw_Data!E756)-1))),IF(ISNUMBER(VALUE(LEFT(Raw_Data!E756,4))),DATE(VALUE(LEFT(Raw_Data!E756,4)),VALUE(MID(Raw_Data!E756,6,2)),VALUE(MID(Raw_Data!E756,9,2))),DATEVALUE(Raw_Data!E756))),"")</f>
        <v>45547</v>
      </c>
      <c r="F756" s="11" t="str">
        <f aca="false">Raw_Data!F756</f>
        <v>Male 45+</v>
      </c>
      <c r="G756" s="11" t="str">
        <f aca="false">IF(TRIM(Raw_Data!G756)="","Unspecified",IFERROR(INDEX(Lookup_Tables!$F$2:$F$24,MATCH(UPPER(TRIM(Raw_Data!G756)),Lookup_Tables!$G$2:$G$24,0)),"Unknown"))</f>
        <v>East</v>
      </c>
      <c r="H756" s="11" t="n">
        <f aca="false">IF(Raw_Data!H756="",ROUND(AVERAGEIFS(Raw_Data!$H$2:$H$839,Raw_Data!$C$2:$C$839,Raw_Data!C756),2),Raw_Data!H756)</f>
        <v>45070.96</v>
      </c>
      <c r="I756" s="11" t="n">
        <f aca="false">Raw_Data!I756</f>
        <v>1714031</v>
      </c>
      <c r="J756" s="11" t="n">
        <f aca="false">IF(Raw_Data!J756&lt;0,ABS(Raw_Data!J756),Raw_Data!J756)</f>
        <v>38599</v>
      </c>
      <c r="K756" s="11" t="n">
        <f aca="false">Raw_Data!K756</f>
        <v>484</v>
      </c>
      <c r="L756" s="11" t="n">
        <f aca="false">IF(Raw_Data!L756="",ROUND(AVERAGEIFS(Raw_Data!$L$2:$L$839,Raw_Data!$C$2:$C$839,Raw_Data!C756),2),Raw_Data!L756)</f>
        <v>323463.55</v>
      </c>
      <c r="M756" s="13" t="n">
        <f aca="false">IFERROR(J756/I756,0)</f>
        <v>0.0225194293452102</v>
      </c>
      <c r="N756" s="14" t="n">
        <f aca="false">IFERROR(H756/J756,0)</f>
        <v>1.16767170133941</v>
      </c>
      <c r="O756" s="14" t="n">
        <f aca="false">IFERROR(H756/K756,0)</f>
        <v>93.1218181818182</v>
      </c>
      <c r="P756" s="15" t="n">
        <f aca="false">IFERROR(L756/H756,0)</f>
        <v>7.17676193273895</v>
      </c>
      <c r="Q756" s="13" t="n">
        <f aca="false">IFERROR(K756/J756,0)</f>
        <v>0.0125391849529781</v>
      </c>
      <c r="R756" s="11" t="str">
        <f aca="false">IF(COUNTIF($A$2:A756,A756)&gt;1,"Duplicate - Remove","Unique")</f>
        <v>Unique</v>
      </c>
      <c r="S756" s="11" t="str">
        <f aca="false">TRIM(IF(Raw_Data!G756="","Region missing; ","")&amp;IF(Raw_Data!H756="","Spend imputed; ","")&amp;IF(Raw_Data!L756="","Revenue imputed; ","")&amp;IF(Raw_Data!J756&lt;0,"Clicks corrected; ",""))</f>
        <v/>
      </c>
    </row>
    <row r="757" customFormat="false" ht="15" hidden="false" customHeight="true" outlineLevel="0" collapsed="false">
      <c r="A757" s="11" t="n">
        <f aca="false">Raw_Data!A757</f>
        <v>1242</v>
      </c>
      <c r="B757" s="11" t="str">
        <f aca="false">PROPER(TRIM(Raw_Data!B757))</f>
        <v>Ayurvedic Range Launch</v>
      </c>
      <c r="C757" s="11" t="str">
        <f aca="false">IFERROR(INDEX(Lookup_Tables!$B$2:$B$26,MATCH(UPPER(TRIM(Raw_Data!C757)),Lookup_Tables!$C$2:$C$26,0)),"Unknown")</f>
        <v>Google Ads</v>
      </c>
      <c r="D757" s="12" t="n">
        <f aca="false">IFERROR(IF(ISNUMBER(SEARCH("/",Raw_Data!D757)),DATE(VALUE(RIGHT(Raw_Data!D757,4)),VALUE(MID(Raw_Data!D757,FIND("/",Raw_Data!D757)+1,FIND("/",Raw_Data!D757,FIND("/",Raw_Data!D757)+1)-FIND("/",Raw_Data!D757)-1)),VALUE(LEFT(Raw_Data!D757,FIND("/",Raw_Data!D757)-1))),IF(ISNUMBER(VALUE(LEFT(Raw_Data!D757,4))),DATE(VALUE(LEFT(Raw_Data!D757,4)),VALUE(MID(Raw_Data!D757,6,2)),VALUE(MID(Raw_Data!D757,9,2))),DATEVALUE(Raw_Data!D757))),"")</f>
        <v>45529</v>
      </c>
      <c r="E757" s="12" t="n">
        <f aca="false">IFERROR(IF(ISNUMBER(SEARCH("/",Raw_Data!E757)),DATE(VALUE(RIGHT(Raw_Data!E757,4)),VALUE(MID(Raw_Data!E757,FIND("/",Raw_Data!E757)+1,FIND("/",Raw_Data!E757,FIND("/",Raw_Data!E757)+1)-FIND("/",Raw_Data!E757)-1)),VALUE(LEFT(Raw_Data!E757,FIND("/",Raw_Data!E757)-1))),IF(ISNUMBER(VALUE(LEFT(Raw_Data!E757,4))),DATE(VALUE(LEFT(Raw_Data!E757,4)),VALUE(MID(Raw_Data!E757,6,2)),VALUE(MID(Raw_Data!E757,9,2))),DATEVALUE(Raw_Data!E757))),"")</f>
        <v>45554</v>
      </c>
      <c r="F757" s="11" t="str">
        <f aca="false">Raw_Data!F757</f>
        <v>Male 25-34</v>
      </c>
      <c r="G757" s="11" t="str">
        <f aca="false">IF(TRIM(Raw_Data!G757)="","Unspecified",IFERROR(INDEX(Lookup_Tables!$F$2:$F$24,MATCH(UPPER(TRIM(Raw_Data!G757)),Lookup_Tables!$G$2:$G$24,0)),"Unknown"))</f>
        <v>West</v>
      </c>
      <c r="H757" s="11" t="n">
        <f aca="false">IF(Raw_Data!H757="",ROUND(AVERAGEIFS(Raw_Data!$H$2:$H$839,Raw_Data!$C$2:$C$839,Raw_Data!C757),2),Raw_Data!H757)</f>
        <v>70778.04</v>
      </c>
      <c r="I757" s="11" t="n">
        <f aca="false">Raw_Data!I757</f>
        <v>2195146</v>
      </c>
      <c r="J757" s="11" t="n">
        <f aca="false">IF(Raw_Data!J757&lt;0,ABS(Raw_Data!J757),Raw_Data!J757)</f>
        <v>72125</v>
      </c>
      <c r="K757" s="11" t="n">
        <f aca="false">Raw_Data!K757</f>
        <v>2850</v>
      </c>
      <c r="L757" s="11" t="n">
        <f aca="false">IF(Raw_Data!L757="",ROUND(AVERAGEIFS(Raw_Data!$L$2:$L$839,Raw_Data!$C$2:$C$839,Raw_Data!C757),2),Raw_Data!L757)</f>
        <v>3527871.65</v>
      </c>
      <c r="M757" s="13" t="n">
        <f aca="false">IFERROR(J757/I757,0)</f>
        <v>0.0328565844823078</v>
      </c>
      <c r="N757" s="14" t="n">
        <f aca="false">IFERROR(H757/J757,0)</f>
        <v>0.981324644714038</v>
      </c>
      <c r="O757" s="14" t="n">
        <f aca="false">IFERROR(H757/K757,0)</f>
        <v>24.8344</v>
      </c>
      <c r="P757" s="15" t="n">
        <f aca="false">IFERROR(L757/H757,0)</f>
        <v>49.8441557579159</v>
      </c>
      <c r="Q757" s="13" t="n">
        <f aca="false">IFERROR(K757/J757,0)</f>
        <v>0.0395147313691508</v>
      </c>
      <c r="R757" s="11" t="str">
        <f aca="false">IF(COUNTIF($A$2:A757,A757)&gt;1,"Duplicate - Remove","Unique")</f>
        <v>Unique</v>
      </c>
      <c r="S757" s="11" t="str">
        <f aca="false">TRIM(IF(Raw_Data!G757="","Region missing; ","")&amp;IF(Raw_Data!H757="","Spend imputed; ","")&amp;IF(Raw_Data!L757="","Revenue imputed; ","")&amp;IF(Raw_Data!J757&lt;0,"Clicks corrected; ",""))</f>
        <v/>
      </c>
    </row>
    <row r="758" customFormat="false" ht="15" hidden="false" customHeight="true" outlineLevel="0" collapsed="false">
      <c r="A758" s="11" t="n">
        <f aca="false">Raw_Data!A758</f>
        <v>1126</v>
      </c>
      <c r="B758" s="11" t="str">
        <f aca="false">PROPER(TRIM(Raw_Data!B758))</f>
        <v>Monsoon Skincare Push</v>
      </c>
      <c r="C758" s="11" t="str">
        <f aca="false">IFERROR(INDEX(Lookup_Tables!$B$2:$B$26,MATCH(UPPER(TRIM(Raw_Data!C758)),Lookup_Tables!$C$2:$C$26,0)),"Unknown")</f>
        <v>Google Ads</v>
      </c>
      <c r="D758" s="12" t="n">
        <f aca="false">IFERROR(IF(ISNUMBER(SEARCH("/",Raw_Data!D758)),DATE(VALUE(RIGHT(Raw_Data!D758,4)),VALUE(MID(Raw_Data!D758,FIND("/",Raw_Data!D758)+1,FIND("/",Raw_Data!D758,FIND("/",Raw_Data!D758)+1)-FIND("/",Raw_Data!D758)-1)),VALUE(LEFT(Raw_Data!D758,FIND("/",Raw_Data!D758)-1))),IF(ISNUMBER(VALUE(LEFT(Raw_Data!D758,4))),DATE(VALUE(LEFT(Raw_Data!D758,4)),VALUE(MID(Raw_Data!D758,6,2)),VALUE(MID(Raw_Data!D758,9,2))),DATEVALUE(Raw_Data!D758))),"")</f>
        <v>45344</v>
      </c>
      <c r="E758" s="12" t="n">
        <f aca="false">IFERROR(IF(ISNUMBER(SEARCH("/",Raw_Data!E758)),DATE(VALUE(RIGHT(Raw_Data!E758,4)),VALUE(MID(Raw_Data!E758,FIND("/",Raw_Data!E758)+1,FIND("/",Raw_Data!E758,FIND("/",Raw_Data!E758)+1)-FIND("/",Raw_Data!E758)-1)),VALUE(LEFT(Raw_Data!E758,FIND("/",Raw_Data!E758)-1))),IF(ISNUMBER(VALUE(LEFT(Raw_Data!E758,4))),DATE(VALUE(LEFT(Raw_Data!E758,4)),VALUE(MID(Raw_Data!E758,6,2)),VALUE(MID(Raw_Data!E758,9,2))),DATEVALUE(Raw_Data!E758))),"")</f>
        <v>45349</v>
      </c>
      <c r="F758" s="11" t="str">
        <f aca="false">Raw_Data!F758</f>
        <v>Female 45+</v>
      </c>
      <c r="G758" s="11" t="str">
        <f aca="false">IF(TRIM(Raw_Data!G758)="","Unspecified",IFERROR(INDEX(Lookup_Tables!$F$2:$F$24,MATCH(UPPER(TRIM(Raw_Data!G758)),Lookup_Tables!$G$2:$G$24,0)),"Unknown"))</f>
        <v>West</v>
      </c>
      <c r="H758" s="11" t="n">
        <f aca="false">IF(Raw_Data!H758="",ROUND(AVERAGEIFS(Raw_Data!$H$2:$H$839,Raw_Data!$C$2:$C$839,Raw_Data!C758),2),Raw_Data!H758)</f>
        <v>34774</v>
      </c>
      <c r="I758" s="11" t="n">
        <f aca="false">Raw_Data!I758</f>
        <v>602515</v>
      </c>
      <c r="J758" s="11" t="n">
        <f aca="false">IF(Raw_Data!J758&lt;0,ABS(Raw_Data!J758),Raw_Data!J758)</f>
        <v>13822</v>
      </c>
      <c r="K758" s="11" t="n">
        <f aca="false">Raw_Data!K758</f>
        <v>452</v>
      </c>
      <c r="L758" s="11" t="n">
        <f aca="false">IF(Raw_Data!L758="",ROUND(AVERAGEIFS(Raw_Data!$L$2:$L$839,Raw_Data!$C$2:$C$839,Raw_Data!C758),2),Raw_Data!L758)</f>
        <v>410684.93</v>
      </c>
      <c r="M758" s="13" t="n">
        <f aca="false">IFERROR(J758/I758,0)</f>
        <v>0.0229405077052024</v>
      </c>
      <c r="N758" s="14" t="n">
        <f aca="false">IFERROR(H758/J758,0)</f>
        <v>2.51584430617856</v>
      </c>
      <c r="O758" s="14" t="n">
        <f aca="false">IFERROR(H758/K758,0)</f>
        <v>76.9336283185841</v>
      </c>
      <c r="P758" s="15" t="n">
        <f aca="false">IFERROR(L758/H758,0)</f>
        <v>11.8101147408984</v>
      </c>
      <c r="Q758" s="13" t="n">
        <f aca="false">IFERROR(K758/J758,0)</f>
        <v>0.0327014903776588</v>
      </c>
      <c r="R758" s="11" t="str">
        <f aca="false">IF(COUNTIF($A$2:A758,A758)&gt;1,"Duplicate - Remove","Unique")</f>
        <v>Unique</v>
      </c>
      <c r="S758" s="11" t="str">
        <f aca="false">TRIM(IF(Raw_Data!G758="","Region missing; ","")&amp;IF(Raw_Data!H758="","Spend imputed; ","")&amp;IF(Raw_Data!L758="","Revenue imputed; ","")&amp;IF(Raw_Data!J758&lt;0,"Clicks corrected; ",""))</f>
        <v/>
      </c>
    </row>
    <row r="759" customFormat="false" ht="15" hidden="false" customHeight="true" outlineLevel="0" collapsed="false">
      <c r="A759" s="11" t="n">
        <f aca="false">Raw_Data!A759</f>
        <v>1577</v>
      </c>
      <c r="B759" s="11" t="str">
        <f aca="false">PROPER(TRIM(Raw_Data!B759))</f>
        <v>Influencer Collab - Skincare</v>
      </c>
      <c r="C759" s="11" t="str">
        <f aca="false">IFERROR(INDEX(Lookup_Tables!$B$2:$B$26,MATCH(UPPER(TRIM(Raw_Data!C759)),Lookup_Tables!$C$2:$C$26,0)),"Unknown")</f>
        <v>Instagram</v>
      </c>
      <c r="D759" s="12" t="n">
        <f aca="false">IFERROR(IF(ISNUMBER(SEARCH("/",Raw_Data!D759)),DATE(VALUE(RIGHT(Raw_Data!D759,4)),VALUE(MID(Raw_Data!D759,FIND("/",Raw_Data!D759)+1,FIND("/",Raw_Data!D759,FIND("/",Raw_Data!D759)+1)-FIND("/",Raw_Data!D759)-1)),VALUE(LEFT(Raw_Data!D759,FIND("/",Raw_Data!D759)-1))),IF(ISNUMBER(VALUE(LEFT(Raw_Data!D759,4))),DATE(VALUE(LEFT(Raw_Data!D759,4)),VALUE(MID(Raw_Data!D759,6,2)),VALUE(MID(Raw_Data!D759,9,2))),DATEVALUE(Raw_Data!D759))),"")</f>
        <v>45391</v>
      </c>
      <c r="E759" s="12" t="n">
        <f aca="false">IFERROR(IF(ISNUMBER(SEARCH("/",Raw_Data!E759)),DATE(VALUE(RIGHT(Raw_Data!E759,4)),VALUE(MID(Raw_Data!E759,FIND("/",Raw_Data!E759)+1,FIND("/",Raw_Data!E759,FIND("/",Raw_Data!E759)+1)-FIND("/",Raw_Data!E759)-1)),VALUE(LEFT(Raw_Data!E759,FIND("/",Raw_Data!E759)-1))),IF(ISNUMBER(VALUE(LEFT(Raw_Data!E759,4))),DATE(VALUE(LEFT(Raw_Data!E759,4)),VALUE(MID(Raw_Data!E759,6,2)),VALUE(MID(Raw_Data!E759,9,2))),DATEVALUE(Raw_Data!E759))),"")</f>
        <v>45414</v>
      </c>
      <c r="F759" s="11" t="str">
        <f aca="false">Raw_Data!F759</f>
        <v>Male 25-34</v>
      </c>
      <c r="G759" s="11" t="str">
        <f aca="false">IF(TRIM(Raw_Data!G759)="","Unspecified",IFERROR(INDEX(Lookup_Tables!$F$2:$F$24,MATCH(UPPER(TRIM(Raw_Data!G759)),Lookup_Tables!$G$2:$G$24,0)),"Unknown"))</f>
        <v>Central</v>
      </c>
      <c r="H759" s="11" t="n">
        <f aca="false">IF(Raw_Data!H759="",ROUND(AVERAGEIFS(Raw_Data!$H$2:$H$839,Raw_Data!$C$2:$C$839,Raw_Data!C759),2),Raw_Data!H759)</f>
        <v>55375.62</v>
      </c>
      <c r="I759" s="11" t="n">
        <f aca="false">Raw_Data!I759</f>
        <v>1285662</v>
      </c>
      <c r="J759" s="11" t="n">
        <f aca="false">IF(Raw_Data!J759&lt;0,ABS(Raw_Data!J759),Raw_Data!J759)</f>
        <v>37245</v>
      </c>
      <c r="K759" s="11" t="n">
        <f aca="false">Raw_Data!K759</f>
        <v>2920</v>
      </c>
      <c r="L759" s="11" t="n">
        <f aca="false">IF(Raw_Data!L759="",ROUND(AVERAGEIFS(Raw_Data!$L$2:$L$839,Raw_Data!$C$2:$C$839,Raw_Data!C759),2),Raw_Data!L759)</f>
        <v>1999591.23</v>
      </c>
      <c r="M759" s="13" t="n">
        <f aca="false">IFERROR(J759/I759,0)</f>
        <v>0.028969511426798</v>
      </c>
      <c r="N759" s="14" t="n">
        <f aca="false">IFERROR(H759/J759,0)</f>
        <v>1.48679339508659</v>
      </c>
      <c r="O759" s="14" t="n">
        <f aca="false">IFERROR(H759/K759,0)</f>
        <v>18.9642534246575</v>
      </c>
      <c r="P759" s="15" t="n">
        <f aca="false">IFERROR(L759/H759,0)</f>
        <v>36.1095953417768</v>
      </c>
      <c r="Q759" s="13" t="n">
        <f aca="false">IFERROR(K759/J759,0)</f>
        <v>0.0783997852060679</v>
      </c>
      <c r="R759" s="11" t="str">
        <f aca="false">IF(COUNTIF($A$2:A759,A759)&gt;1,"Duplicate - Remove","Unique")</f>
        <v>Unique</v>
      </c>
      <c r="S759" s="11" t="str">
        <f aca="false">TRIM(IF(Raw_Data!G759="","Region missing; ","")&amp;IF(Raw_Data!H759="","Spend imputed; ","")&amp;IF(Raw_Data!L759="","Revenue imputed; ","")&amp;IF(Raw_Data!J759&lt;0,"Clicks corrected; ",""))</f>
        <v/>
      </c>
    </row>
    <row r="760" customFormat="false" ht="15" hidden="false" customHeight="true" outlineLevel="0" collapsed="false">
      <c r="A760" s="11" t="n">
        <f aca="false">Raw_Data!A760</f>
        <v>1810</v>
      </c>
      <c r="B760" s="11" t="str">
        <f aca="false">PROPER(TRIM(Raw_Data!B760))</f>
        <v>Influencer Collab - Skincare</v>
      </c>
      <c r="C760" s="11" t="str">
        <f aca="false">IFERROR(INDEX(Lookup_Tables!$B$2:$B$26,MATCH(UPPER(TRIM(Raw_Data!C760)),Lookup_Tables!$C$2:$C$26,0)),"Unknown")</f>
        <v>YouTube</v>
      </c>
      <c r="D760" s="12" t="n">
        <f aca="false">IFERROR(IF(ISNUMBER(SEARCH("/",Raw_Data!D760)),DATE(VALUE(RIGHT(Raw_Data!D760,4)),VALUE(MID(Raw_Data!D760,FIND("/",Raw_Data!D760)+1,FIND("/",Raw_Data!D760,FIND("/",Raw_Data!D760)+1)-FIND("/",Raw_Data!D760)-1)),VALUE(LEFT(Raw_Data!D760,FIND("/",Raw_Data!D760)-1))),IF(ISNUMBER(VALUE(LEFT(Raw_Data!D760,4))),DATE(VALUE(LEFT(Raw_Data!D760,4)),VALUE(MID(Raw_Data!D760,6,2)),VALUE(MID(Raw_Data!D760,9,2))),DATEVALUE(Raw_Data!D760))),"")</f>
        <v>45459</v>
      </c>
      <c r="E760" s="12" t="n">
        <f aca="false">IFERROR(IF(ISNUMBER(SEARCH("/",Raw_Data!E760)),DATE(VALUE(RIGHT(Raw_Data!E760,4)),VALUE(MID(Raw_Data!E760,FIND("/",Raw_Data!E760)+1,FIND("/",Raw_Data!E760,FIND("/",Raw_Data!E760)+1)-FIND("/",Raw_Data!E760)-1)),VALUE(LEFT(Raw_Data!E760,FIND("/",Raw_Data!E760)-1))),IF(ISNUMBER(VALUE(LEFT(Raw_Data!E760,4))),DATE(VALUE(LEFT(Raw_Data!E760,4)),VALUE(MID(Raw_Data!E760,6,2)),VALUE(MID(Raw_Data!E760,9,2))),DATEVALUE(Raw_Data!E760))),"")</f>
        <v>45488</v>
      </c>
      <c r="F760" s="11" t="str">
        <f aca="false">Raw_Data!F760</f>
        <v>Female 18-24</v>
      </c>
      <c r="G760" s="11" t="str">
        <f aca="false">IF(TRIM(Raw_Data!G760)="","Unspecified",IFERROR(INDEX(Lookup_Tables!$F$2:$F$24,MATCH(UPPER(TRIM(Raw_Data!G760)),Lookup_Tables!$G$2:$G$24,0)),"Unknown"))</f>
        <v>Unspecified</v>
      </c>
      <c r="H760" s="11" t="n">
        <f aca="false">IF(Raw_Data!H760="",ROUND(AVERAGEIFS(Raw_Data!$H$2:$H$839,Raw_Data!$C$2:$C$839,Raw_Data!C760),2),Raw_Data!H760)</f>
        <v>72726.49</v>
      </c>
      <c r="I760" s="11" t="n">
        <f aca="false">Raw_Data!I760</f>
        <v>1854027</v>
      </c>
      <c r="J760" s="11" t="n">
        <f aca="false">IF(Raw_Data!J760&lt;0,ABS(Raw_Data!J760),Raw_Data!J760)</f>
        <v>28253</v>
      </c>
      <c r="K760" s="11" t="n">
        <f aca="false">Raw_Data!K760</f>
        <v>1233</v>
      </c>
      <c r="L760" s="11" t="n">
        <f aca="false">IF(Raw_Data!L760="",ROUND(AVERAGEIFS(Raw_Data!$L$2:$L$839,Raw_Data!$C$2:$C$839,Raw_Data!C760),2),Raw_Data!L760)</f>
        <v>766542.79</v>
      </c>
      <c r="M760" s="13" t="n">
        <f aca="false">IFERROR(J760/I760,0)</f>
        <v>0.0152387209032015</v>
      </c>
      <c r="N760" s="14" t="n">
        <f aca="false">IFERROR(H760/J760,0)</f>
        <v>2.57411566913248</v>
      </c>
      <c r="O760" s="14" t="n">
        <f aca="false">IFERROR(H760/K760,0)</f>
        <v>58.9833657745337</v>
      </c>
      <c r="P760" s="15" t="n">
        <f aca="false">IFERROR(L760/H760,0)</f>
        <v>10.5400768000766</v>
      </c>
      <c r="Q760" s="13" t="n">
        <f aca="false">IFERROR(K760/J760,0)</f>
        <v>0.0436413832159417</v>
      </c>
      <c r="R760" s="11" t="str">
        <f aca="false">IF(COUNTIF($A$2:A760,A760)&gt;1,"Duplicate - Remove","Unique")</f>
        <v>Unique</v>
      </c>
      <c r="S760" s="11" t="str">
        <f aca="false">TRIM(IF(Raw_Data!G760="","Region missing; ","")&amp;IF(Raw_Data!H760="","Spend imputed; ","")&amp;IF(Raw_Data!L760="","Revenue imputed; ","")&amp;IF(Raw_Data!J760&lt;0,"Clicks corrected; ",""))</f>
        <v>Region missing;</v>
      </c>
    </row>
    <row r="761" customFormat="false" ht="15" hidden="false" customHeight="true" outlineLevel="0" collapsed="false">
      <c r="A761" s="11" t="n">
        <f aca="false">Raw_Data!A761</f>
        <v>1415</v>
      </c>
      <c r="B761" s="11" t="str">
        <f aca="false">PROPER(TRIM(Raw_Data!B761))</f>
        <v>Influencer Collab - Skincare</v>
      </c>
      <c r="C761" s="11" t="str">
        <f aca="false">IFERROR(INDEX(Lookup_Tables!$B$2:$B$26,MATCH(UPPER(TRIM(Raw_Data!C761)),Lookup_Tables!$C$2:$C$26,0)),"Unknown")</f>
        <v>Facebook</v>
      </c>
      <c r="D761" s="12" t="n">
        <f aca="false">IFERROR(IF(ISNUMBER(SEARCH("/",Raw_Data!D761)),DATE(VALUE(RIGHT(Raw_Data!D761,4)),VALUE(MID(Raw_Data!D761,FIND("/",Raw_Data!D761)+1,FIND("/",Raw_Data!D761,FIND("/",Raw_Data!D761)+1)-FIND("/",Raw_Data!D761)-1)),VALUE(LEFT(Raw_Data!D761,FIND("/",Raw_Data!D761)-1))),IF(ISNUMBER(VALUE(LEFT(Raw_Data!D761,4))),DATE(VALUE(LEFT(Raw_Data!D761,4)),VALUE(MID(Raw_Data!D761,6,2)),VALUE(MID(Raw_Data!D761,9,2))),DATEVALUE(Raw_Data!D761))),"")</f>
        <v>45465</v>
      </c>
      <c r="E761" s="12" t="n">
        <f aca="false">IFERROR(IF(ISNUMBER(SEARCH("/",Raw_Data!E761)),DATE(VALUE(RIGHT(Raw_Data!E761,4)),VALUE(MID(Raw_Data!E761,FIND("/",Raw_Data!E761)+1,FIND("/",Raw_Data!E761,FIND("/",Raw_Data!E761)+1)-FIND("/",Raw_Data!E761)-1)),VALUE(LEFT(Raw_Data!E761,FIND("/",Raw_Data!E761)-1))),IF(ISNUMBER(VALUE(LEFT(Raw_Data!E761,4))),DATE(VALUE(LEFT(Raw_Data!E761,4)),VALUE(MID(Raw_Data!E761,6,2)),VALUE(MID(Raw_Data!E761,9,2))),DATEVALUE(Raw_Data!E761))),"")</f>
        <v>45490</v>
      </c>
      <c r="F761" s="11" t="str">
        <f aca="false">Raw_Data!F761</f>
        <v>Female 25-34</v>
      </c>
      <c r="G761" s="11" t="str">
        <f aca="false">IF(TRIM(Raw_Data!G761)="","Unspecified",IFERROR(INDEX(Lookup_Tables!$F$2:$F$24,MATCH(UPPER(TRIM(Raw_Data!G761)),Lookup_Tables!$G$2:$G$24,0)),"Unknown"))</f>
        <v>West</v>
      </c>
      <c r="H761" s="11" t="n">
        <f aca="false">IF(Raw_Data!H761="",ROUND(AVERAGEIFS(Raw_Data!$H$2:$H$839,Raw_Data!$C$2:$C$839,Raw_Data!C761),2),Raw_Data!H761)</f>
        <v>40448.88</v>
      </c>
      <c r="I761" s="11" t="n">
        <f aca="false">Raw_Data!I761</f>
        <v>1065905</v>
      </c>
      <c r="J761" s="11" t="n">
        <f aca="false">IF(Raw_Data!J761&lt;0,ABS(Raw_Data!J761),Raw_Data!J761)</f>
        <v>15824</v>
      </c>
      <c r="K761" s="11" t="n">
        <f aca="false">Raw_Data!K761</f>
        <v>371</v>
      </c>
      <c r="L761" s="11" t="n">
        <f aca="false">IF(Raw_Data!L761="",ROUND(AVERAGEIFS(Raw_Data!$L$2:$L$839,Raw_Data!$C$2:$C$839,Raw_Data!C761),2),Raw_Data!L761)</f>
        <v>185091.9</v>
      </c>
      <c r="M761" s="13" t="n">
        <f aca="false">IFERROR(J761/I761,0)</f>
        <v>0.0148456006867404</v>
      </c>
      <c r="N761" s="14" t="n">
        <f aca="false">IFERROR(H761/J761,0)</f>
        <v>2.55617290192113</v>
      </c>
      <c r="O761" s="14" t="n">
        <f aca="false">IFERROR(H761/K761,0)</f>
        <v>109.026630727763</v>
      </c>
      <c r="P761" s="15" t="n">
        <f aca="false">IFERROR(L761/H761,0)</f>
        <v>4.57594623139133</v>
      </c>
      <c r="Q761" s="13" t="n">
        <f aca="false">IFERROR(K761/J761,0)</f>
        <v>0.0234453993933266</v>
      </c>
      <c r="R761" s="11" t="str">
        <f aca="false">IF(COUNTIF($A$2:A761,A761)&gt;1,"Duplicate - Remove","Unique")</f>
        <v>Unique</v>
      </c>
      <c r="S761" s="11" t="str">
        <f aca="false">TRIM(IF(Raw_Data!G761="","Region missing; ","")&amp;IF(Raw_Data!H761="","Spend imputed; ","")&amp;IF(Raw_Data!L761="","Revenue imputed; ","")&amp;IF(Raw_Data!J761&lt;0,"Clicks corrected; ",""))</f>
        <v/>
      </c>
    </row>
    <row r="762" customFormat="false" ht="15" hidden="false" customHeight="true" outlineLevel="0" collapsed="false">
      <c r="A762" s="11" t="n">
        <f aca="false">Raw_Data!A762</f>
        <v>1820</v>
      </c>
      <c r="B762" s="11" t="str">
        <f aca="false">PROPER(TRIM(Raw_Data!B762))</f>
        <v>Influencer Collab - Skincare</v>
      </c>
      <c r="C762" s="11" t="str">
        <f aca="false">IFERROR(INDEX(Lookup_Tables!$B$2:$B$26,MATCH(UPPER(TRIM(Raw_Data!C762)),Lookup_Tables!$C$2:$C$26,0)),"Unknown")</f>
        <v>Facebook</v>
      </c>
      <c r="D762" s="12" t="n">
        <f aca="false">IFERROR(IF(ISNUMBER(SEARCH("/",Raw_Data!D762)),DATE(VALUE(RIGHT(Raw_Data!D762,4)),VALUE(MID(Raw_Data!D762,FIND("/",Raw_Data!D762)+1,FIND("/",Raw_Data!D762,FIND("/",Raw_Data!D762)+1)-FIND("/",Raw_Data!D762)-1)),VALUE(LEFT(Raw_Data!D762,FIND("/",Raw_Data!D762)-1))),IF(ISNUMBER(VALUE(LEFT(Raw_Data!D762,4))),DATE(VALUE(LEFT(Raw_Data!D762,4)),VALUE(MID(Raw_Data!D762,6,2)),VALUE(MID(Raw_Data!D762,9,2))),DATEVALUE(Raw_Data!D762))),"")</f>
        <v>45328</v>
      </c>
      <c r="E762" s="12" t="n">
        <f aca="false">IFERROR(IF(ISNUMBER(SEARCH("/",Raw_Data!E762)),DATE(VALUE(RIGHT(Raw_Data!E762,4)),VALUE(MID(Raw_Data!E762,FIND("/",Raw_Data!E762)+1,FIND("/",Raw_Data!E762,FIND("/",Raw_Data!E762)+1)-FIND("/",Raw_Data!E762)-1)),VALUE(LEFT(Raw_Data!E762,FIND("/",Raw_Data!E762)-1))),IF(ISNUMBER(VALUE(LEFT(Raw_Data!E762,4))),DATE(VALUE(LEFT(Raw_Data!E762,4)),VALUE(MID(Raw_Data!E762,6,2)),VALUE(MID(Raw_Data!E762,9,2))),DATEVALUE(Raw_Data!E762))),"")</f>
        <v>45346</v>
      </c>
      <c r="F762" s="11" t="str">
        <f aca="false">Raw_Data!F762</f>
        <v>Male 45+</v>
      </c>
      <c r="G762" s="11" t="str">
        <f aca="false">IF(TRIM(Raw_Data!G762)="","Unspecified",IFERROR(INDEX(Lookup_Tables!$F$2:$F$24,MATCH(UPPER(TRIM(Raw_Data!G762)),Lookup_Tables!$G$2:$G$24,0)),"Unknown"))</f>
        <v>North</v>
      </c>
      <c r="H762" s="11" t="n">
        <f aca="false">IF(Raw_Data!H762="",ROUND(AVERAGEIFS(Raw_Data!$H$2:$H$839,Raw_Data!$C$2:$C$839,Raw_Data!C762),2),Raw_Data!H762)</f>
        <v>33889.6</v>
      </c>
      <c r="I762" s="11" t="n">
        <f aca="false">Raw_Data!I762</f>
        <v>576256</v>
      </c>
      <c r="J762" s="11" t="n">
        <f aca="false">IF(Raw_Data!J762&lt;0,ABS(Raw_Data!J762),Raw_Data!J762)</f>
        <v>16022</v>
      </c>
      <c r="K762" s="11" t="n">
        <f aca="false">Raw_Data!K762</f>
        <v>677</v>
      </c>
      <c r="L762" s="11" t="n">
        <f aca="false">IF(Raw_Data!L762="",ROUND(AVERAGEIFS(Raw_Data!$L$2:$L$839,Raw_Data!$C$2:$C$839,Raw_Data!C762),2),Raw_Data!L762)</f>
        <v>905786.37</v>
      </c>
      <c r="M762" s="13" t="n">
        <f aca="false">IFERROR(J762/I762,0)</f>
        <v>0.0278036150599733</v>
      </c>
      <c r="N762" s="14" t="n">
        <f aca="false">IFERROR(H762/J762,0)</f>
        <v>2.11519161153414</v>
      </c>
      <c r="O762" s="14" t="n">
        <f aca="false">IFERROR(H762/K762,0)</f>
        <v>50.0584933530281</v>
      </c>
      <c r="P762" s="15" t="n">
        <f aca="false">IFERROR(L762/H762,0)</f>
        <v>26.7275615528068</v>
      </c>
      <c r="Q762" s="13" t="n">
        <f aca="false">IFERROR(K762/J762,0)</f>
        <v>0.0422544001997254</v>
      </c>
      <c r="R762" s="11" t="str">
        <f aca="false">IF(COUNTIF($A$2:A762,A762)&gt;1,"Duplicate - Remove","Unique")</f>
        <v>Unique</v>
      </c>
      <c r="S762" s="11" t="str">
        <f aca="false">TRIM(IF(Raw_Data!G762="","Region missing; ","")&amp;IF(Raw_Data!H762="","Spend imputed; ","")&amp;IF(Raw_Data!L762="","Revenue imputed; ","")&amp;IF(Raw_Data!J762&lt;0,"Clicks corrected; ",""))</f>
        <v/>
      </c>
    </row>
    <row r="763" customFormat="false" ht="15" hidden="false" customHeight="true" outlineLevel="0" collapsed="false">
      <c r="A763" s="11" t="n">
        <f aca="false">Raw_Data!A763</f>
        <v>1543</v>
      </c>
      <c r="B763" s="11" t="str">
        <f aca="false">PROPER(TRIM(Raw_Data!B763))</f>
        <v>Men'S Grooming Drive</v>
      </c>
      <c r="C763" s="11" t="str">
        <f aca="false">IFERROR(INDEX(Lookup_Tables!$B$2:$B$26,MATCH(UPPER(TRIM(Raw_Data!C763)),Lookup_Tables!$C$2:$C$26,0)),"Unknown")</f>
        <v>Email</v>
      </c>
      <c r="D763" s="12" t="n">
        <f aca="false">IFERROR(IF(ISNUMBER(SEARCH("/",Raw_Data!D763)),DATE(VALUE(RIGHT(Raw_Data!D763,4)),VALUE(MID(Raw_Data!D763,FIND("/",Raw_Data!D763)+1,FIND("/",Raw_Data!D763,FIND("/",Raw_Data!D763)+1)-FIND("/",Raw_Data!D763)-1)),VALUE(LEFT(Raw_Data!D763,FIND("/",Raw_Data!D763)-1))),IF(ISNUMBER(VALUE(LEFT(Raw_Data!D763,4))),DATE(VALUE(LEFT(Raw_Data!D763,4)),VALUE(MID(Raw_Data!D763,6,2)),VALUE(MID(Raw_Data!D763,9,2))),DATEVALUE(Raw_Data!D763))),"")</f>
        <v>45364</v>
      </c>
      <c r="E763" s="12" t="n">
        <f aca="false">IFERROR(IF(ISNUMBER(SEARCH("/",Raw_Data!E763)),DATE(VALUE(RIGHT(Raw_Data!E763,4)),VALUE(MID(Raw_Data!E763,FIND("/",Raw_Data!E763)+1,FIND("/",Raw_Data!E763,FIND("/",Raw_Data!E763)+1)-FIND("/",Raw_Data!E763)-1)),VALUE(LEFT(Raw_Data!E763,FIND("/",Raw_Data!E763)-1))),IF(ISNUMBER(VALUE(LEFT(Raw_Data!E763,4))),DATE(VALUE(LEFT(Raw_Data!E763,4)),VALUE(MID(Raw_Data!E763,6,2)),VALUE(MID(Raw_Data!E763,9,2))),DATEVALUE(Raw_Data!E763))),"")</f>
        <v>45380</v>
      </c>
      <c r="F763" s="11" t="str">
        <f aca="false">Raw_Data!F763</f>
        <v>Male 18-24</v>
      </c>
      <c r="G763" s="11" t="str">
        <f aca="false">IF(TRIM(Raw_Data!G763)="","Unspecified",IFERROR(INDEX(Lookup_Tables!$F$2:$F$24,MATCH(UPPER(TRIM(Raw_Data!G763)),Lookup_Tables!$G$2:$G$24,0)),"Unknown"))</f>
        <v>North</v>
      </c>
      <c r="H763" s="11" t="n">
        <f aca="false">IF(Raw_Data!H763="",ROUND(AVERAGEIFS(Raw_Data!$H$2:$H$839,Raw_Data!$C$2:$C$839,Raw_Data!C763),2),Raw_Data!H763)</f>
        <v>1216.33</v>
      </c>
      <c r="I763" s="11" t="n">
        <f aca="false">Raw_Data!I763</f>
        <v>35808</v>
      </c>
      <c r="J763" s="11" t="n">
        <f aca="false">IF(Raw_Data!J763&lt;0,ABS(Raw_Data!J763),Raw_Data!J763)</f>
        <v>926</v>
      </c>
      <c r="K763" s="11" t="n">
        <f aca="false">Raw_Data!K763</f>
        <v>37</v>
      </c>
      <c r="L763" s="11" t="n">
        <f aca="false">IF(Raw_Data!L763="",ROUND(AVERAGEIFS(Raw_Data!$L$2:$L$839,Raw_Data!$C$2:$C$839,Raw_Data!C763),2),Raw_Data!L763)</f>
        <v>24018.4</v>
      </c>
      <c r="M763" s="13" t="n">
        <f aca="false">IFERROR(J763/I763,0)</f>
        <v>0.0258601429848079</v>
      </c>
      <c r="N763" s="14" t="n">
        <f aca="false">IFERROR(H763/J763,0)</f>
        <v>1.3135313174946</v>
      </c>
      <c r="O763" s="14" t="n">
        <f aca="false">IFERROR(H763/K763,0)</f>
        <v>32.8737837837838</v>
      </c>
      <c r="P763" s="15" t="n">
        <f aca="false">IFERROR(L763/H763,0)</f>
        <v>19.7466148167027</v>
      </c>
      <c r="Q763" s="13" t="n">
        <f aca="false">IFERROR(K763/J763,0)</f>
        <v>0.0399568034557235</v>
      </c>
      <c r="R763" s="11" t="str">
        <f aca="false">IF(COUNTIF($A$2:A763,A763)&gt;1,"Duplicate - Remove","Unique")</f>
        <v>Unique</v>
      </c>
      <c r="S763" s="11" t="str">
        <f aca="false">TRIM(IF(Raw_Data!G763="","Region missing; ","")&amp;IF(Raw_Data!H763="","Spend imputed; ","")&amp;IF(Raw_Data!L763="","Revenue imputed; ","")&amp;IF(Raw_Data!J763&lt;0,"Clicks corrected; ",""))</f>
        <v/>
      </c>
    </row>
    <row r="764" customFormat="false" ht="15" hidden="false" customHeight="true" outlineLevel="0" collapsed="false">
      <c r="A764" s="11" t="n">
        <f aca="false">Raw_Data!A764</f>
        <v>1282</v>
      </c>
      <c r="B764" s="11" t="str">
        <f aca="false">PROPER(TRIM(Raw_Data!B764))</f>
        <v>Wedding Season Special</v>
      </c>
      <c r="C764" s="11" t="str">
        <f aca="false">IFERROR(INDEX(Lookup_Tables!$B$2:$B$26,MATCH(UPPER(TRIM(Raw_Data!C764)),Lookup_Tables!$C$2:$C$26,0)),"Unknown")</f>
        <v>Google Ads</v>
      </c>
      <c r="D764" s="12" t="n">
        <f aca="false">IFERROR(IF(ISNUMBER(SEARCH("/",Raw_Data!D764)),DATE(VALUE(RIGHT(Raw_Data!D764,4)),VALUE(MID(Raw_Data!D764,FIND("/",Raw_Data!D764)+1,FIND("/",Raw_Data!D764,FIND("/",Raw_Data!D764)+1)-FIND("/",Raw_Data!D764)-1)),VALUE(LEFT(Raw_Data!D764,FIND("/",Raw_Data!D764)-1))),IF(ISNUMBER(VALUE(LEFT(Raw_Data!D764,4))),DATE(VALUE(LEFT(Raw_Data!D764,4)),VALUE(MID(Raw_Data!D764,6,2)),VALUE(MID(Raw_Data!D764,9,2))),DATEVALUE(Raw_Data!D764))),"")</f>
        <v>45360</v>
      </c>
      <c r="E764" s="12" t="n">
        <f aca="false">IFERROR(IF(ISNUMBER(SEARCH("/",Raw_Data!E764)),DATE(VALUE(RIGHT(Raw_Data!E764,4)),VALUE(MID(Raw_Data!E764,FIND("/",Raw_Data!E764)+1,FIND("/",Raw_Data!E764,FIND("/",Raw_Data!E764)+1)-FIND("/",Raw_Data!E764)-1)),VALUE(LEFT(Raw_Data!E764,FIND("/",Raw_Data!E764)-1))),IF(ISNUMBER(VALUE(LEFT(Raw_Data!E764,4))),DATE(VALUE(LEFT(Raw_Data!E764,4)),VALUE(MID(Raw_Data!E764,6,2)),VALUE(MID(Raw_Data!E764,9,2))),DATEVALUE(Raw_Data!E764))),"")</f>
        <v>45368</v>
      </c>
      <c r="F764" s="11" t="str">
        <f aca="false">Raw_Data!F764</f>
        <v>Male 45+</v>
      </c>
      <c r="G764" s="11" t="str">
        <f aca="false">IF(TRIM(Raw_Data!G764)="","Unspecified",IFERROR(INDEX(Lookup_Tables!$F$2:$F$24,MATCH(UPPER(TRIM(Raw_Data!G764)),Lookup_Tables!$G$2:$G$24,0)),"Unknown"))</f>
        <v>West</v>
      </c>
      <c r="H764" s="11" t="n">
        <f aca="false">IF(Raw_Data!H764="",ROUND(AVERAGEIFS(Raw_Data!$H$2:$H$839,Raw_Data!$C$2:$C$839,Raw_Data!C764),2),Raw_Data!H764)</f>
        <v>70158.56</v>
      </c>
      <c r="I764" s="11" t="n">
        <f aca="false">Raw_Data!I764</f>
        <v>1629798</v>
      </c>
      <c r="J764" s="11" t="n">
        <f aca="false">IF(Raw_Data!J764&lt;0,ABS(Raw_Data!J764),Raw_Data!J764)</f>
        <v>28379</v>
      </c>
      <c r="K764" s="11" t="n">
        <f aca="false">Raw_Data!K764</f>
        <v>700</v>
      </c>
      <c r="L764" s="11" t="n">
        <f aca="false">IF(Raw_Data!L764="",ROUND(AVERAGEIFS(Raw_Data!$L$2:$L$839,Raw_Data!$C$2:$C$839,Raw_Data!C764),2),Raw_Data!L764)</f>
        <v>457186.75</v>
      </c>
      <c r="M764" s="13" t="n">
        <f aca="false">IFERROR(J764/I764,0)</f>
        <v>0.017412587326773</v>
      </c>
      <c r="N764" s="14" t="n">
        <f aca="false">IFERROR(H764/J764,0)</f>
        <v>2.47219986609817</v>
      </c>
      <c r="O764" s="14" t="n">
        <f aca="false">IFERROR(H764/K764,0)</f>
        <v>100.226514285714</v>
      </c>
      <c r="P764" s="15" t="n">
        <f aca="false">IFERROR(L764/H764,0)</f>
        <v>6.51647853091626</v>
      </c>
      <c r="Q764" s="13" t="n">
        <f aca="false">IFERROR(K764/J764,0)</f>
        <v>0.0246661263610416</v>
      </c>
      <c r="R764" s="11" t="str">
        <f aca="false">IF(COUNTIF($A$2:A764,A764)&gt;1,"Duplicate - Remove","Unique")</f>
        <v>Unique</v>
      </c>
      <c r="S764" s="11" t="str">
        <f aca="false">TRIM(IF(Raw_Data!G764="","Region missing; ","")&amp;IF(Raw_Data!H764="","Spend imputed; ","")&amp;IF(Raw_Data!L764="","Revenue imputed; ","")&amp;IF(Raw_Data!J764&lt;0,"Clicks corrected; ",""))</f>
        <v/>
      </c>
    </row>
    <row r="765" customFormat="false" ht="15" hidden="false" customHeight="true" outlineLevel="0" collapsed="false">
      <c r="A765" s="11" t="n">
        <f aca="false">Raw_Data!A765</f>
        <v>1529</v>
      </c>
      <c r="B765" s="11" t="str">
        <f aca="false">PROPER(TRIM(Raw_Data!B765))</f>
        <v>Herbal Range Awareness</v>
      </c>
      <c r="C765" s="11" t="str">
        <f aca="false">IFERROR(INDEX(Lookup_Tables!$B$2:$B$26,MATCH(UPPER(TRIM(Raw_Data!C765)),Lookup_Tables!$C$2:$C$26,0)),"Unknown")</f>
        <v>Email</v>
      </c>
      <c r="D765" s="12" t="n">
        <f aca="false">IFERROR(IF(ISNUMBER(SEARCH("/",Raw_Data!D765)),DATE(VALUE(RIGHT(Raw_Data!D765,4)),VALUE(MID(Raw_Data!D765,FIND("/",Raw_Data!D765)+1,FIND("/",Raw_Data!D765,FIND("/",Raw_Data!D765)+1)-FIND("/",Raw_Data!D765)-1)),VALUE(LEFT(Raw_Data!D765,FIND("/",Raw_Data!D765)-1))),IF(ISNUMBER(VALUE(LEFT(Raw_Data!D765,4))),DATE(VALUE(LEFT(Raw_Data!D765,4)),VALUE(MID(Raw_Data!D765,6,2)),VALUE(MID(Raw_Data!D765,9,2))),DATEVALUE(Raw_Data!D765))),"")</f>
        <v>45354</v>
      </c>
      <c r="E765" s="12" t="n">
        <f aca="false">IFERROR(IF(ISNUMBER(SEARCH("/",Raw_Data!E765)),DATE(VALUE(RIGHT(Raw_Data!E765,4)),VALUE(MID(Raw_Data!E765,FIND("/",Raw_Data!E765)+1,FIND("/",Raw_Data!E765,FIND("/",Raw_Data!E765)+1)-FIND("/",Raw_Data!E765)-1)),VALUE(LEFT(Raw_Data!E765,FIND("/",Raw_Data!E765)-1))),IF(ISNUMBER(VALUE(LEFT(Raw_Data!E765,4))),DATE(VALUE(LEFT(Raw_Data!E765,4)),VALUE(MID(Raw_Data!E765,6,2)),VALUE(MID(Raw_Data!E765,9,2))),DATEVALUE(Raw_Data!E765))),"")</f>
        <v>45359</v>
      </c>
      <c r="F765" s="11" t="str">
        <f aca="false">Raw_Data!F765</f>
        <v>Male 35-44</v>
      </c>
      <c r="G765" s="11" t="str">
        <f aca="false">IF(TRIM(Raw_Data!G765)="","Unspecified",IFERROR(INDEX(Lookup_Tables!$F$2:$F$24,MATCH(UPPER(TRIM(Raw_Data!G765)),Lookup_Tables!$G$2:$G$24,0)),"Unknown"))</f>
        <v>East</v>
      </c>
      <c r="H765" s="11" t="n">
        <f aca="false">IF(Raw_Data!H765="",ROUND(AVERAGEIFS(Raw_Data!$H$2:$H$839,Raw_Data!$C$2:$C$839,Raw_Data!C765),2),Raw_Data!H765)</f>
        <v>5818.05</v>
      </c>
      <c r="I765" s="11" t="n">
        <f aca="false">Raw_Data!I765</f>
        <v>191530</v>
      </c>
      <c r="J765" s="11" t="n">
        <f aca="false">IF(Raw_Data!J765&lt;0,ABS(Raw_Data!J765),Raw_Data!J765)</f>
        <v>2185</v>
      </c>
      <c r="K765" s="11" t="n">
        <f aca="false">Raw_Data!K765</f>
        <v>108</v>
      </c>
      <c r="L765" s="11" t="n">
        <f aca="false">IF(Raw_Data!L765="",ROUND(AVERAGEIFS(Raw_Data!$L$2:$L$839,Raw_Data!$C$2:$C$839,Raw_Data!C765),2),Raw_Data!L765)</f>
        <v>88156.49</v>
      </c>
      <c r="M765" s="13" t="n">
        <f aca="false">IFERROR(J765/I765,0)</f>
        <v>0.0114081344959014</v>
      </c>
      <c r="N765" s="14" t="n">
        <f aca="false">IFERROR(H765/J765,0)</f>
        <v>2.66272311212815</v>
      </c>
      <c r="O765" s="14" t="n">
        <f aca="false">IFERROR(H765/K765,0)</f>
        <v>53.8708333333333</v>
      </c>
      <c r="P765" s="15" t="n">
        <f aca="false">IFERROR(L765/H765,0)</f>
        <v>15.1522400116878</v>
      </c>
      <c r="Q765" s="13" t="n">
        <f aca="false">IFERROR(K765/J765,0)</f>
        <v>0.0494279176201373</v>
      </c>
      <c r="R765" s="11" t="str">
        <f aca="false">IF(COUNTIF($A$2:A765,A765)&gt;1,"Duplicate - Remove","Unique")</f>
        <v>Unique</v>
      </c>
      <c r="S765" s="11" t="str">
        <f aca="false">TRIM(IF(Raw_Data!G765="","Region missing; ","")&amp;IF(Raw_Data!H765="","Spend imputed; ","")&amp;IF(Raw_Data!L765="","Revenue imputed; ","")&amp;IF(Raw_Data!J765&lt;0,"Clicks corrected; ",""))</f>
        <v/>
      </c>
    </row>
    <row r="766" customFormat="false" ht="15" hidden="false" customHeight="true" outlineLevel="0" collapsed="false">
      <c r="A766" s="11" t="n">
        <f aca="false">Raw_Data!A766</f>
        <v>1742</v>
      </c>
      <c r="B766" s="11" t="str">
        <f aca="false">PROPER(TRIM(Raw_Data!B766))</f>
        <v>Monsoon Skincare Push</v>
      </c>
      <c r="C766" s="11" t="str">
        <f aca="false">IFERROR(INDEX(Lookup_Tables!$B$2:$B$26,MATCH(UPPER(TRIM(Raw_Data!C766)),Lookup_Tables!$C$2:$C$26,0)),"Unknown")</f>
        <v>Facebook</v>
      </c>
      <c r="D766" s="12" t="n">
        <f aca="false">IFERROR(IF(ISNUMBER(SEARCH("/",Raw_Data!D766)),DATE(VALUE(RIGHT(Raw_Data!D766,4)),VALUE(MID(Raw_Data!D766,FIND("/",Raw_Data!D766)+1,FIND("/",Raw_Data!D766,FIND("/",Raw_Data!D766)+1)-FIND("/",Raw_Data!D766)-1)),VALUE(LEFT(Raw_Data!D766,FIND("/",Raw_Data!D766)-1))),IF(ISNUMBER(VALUE(LEFT(Raw_Data!D766,4))),DATE(VALUE(LEFT(Raw_Data!D766,4)),VALUE(MID(Raw_Data!D766,6,2)),VALUE(MID(Raw_Data!D766,9,2))),DATEVALUE(Raw_Data!D766))),"")</f>
        <v>45586</v>
      </c>
      <c r="E766" s="12" t="n">
        <f aca="false">IFERROR(IF(ISNUMBER(SEARCH("/",Raw_Data!E766)),DATE(VALUE(RIGHT(Raw_Data!E766,4)),VALUE(MID(Raw_Data!E766,FIND("/",Raw_Data!E766)+1,FIND("/",Raw_Data!E766,FIND("/",Raw_Data!E766)+1)-FIND("/",Raw_Data!E766)-1)),VALUE(LEFT(Raw_Data!E766,FIND("/",Raw_Data!E766)-1))),IF(ISNUMBER(VALUE(LEFT(Raw_Data!E766,4))),DATE(VALUE(LEFT(Raw_Data!E766,4)),VALUE(MID(Raw_Data!E766,6,2)),VALUE(MID(Raw_Data!E766,9,2))),DATEVALUE(Raw_Data!E766))),"")</f>
        <v>45591</v>
      </c>
      <c r="F766" s="11" t="str">
        <f aca="false">Raw_Data!F766</f>
        <v>Female 25-34</v>
      </c>
      <c r="G766" s="11" t="str">
        <f aca="false">IF(TRIM(Raw_Data!G766)="","Unspecified",IFERROR(INDEX(Lookup_Tables!$F$2:$F$24,MATCH(UPPER(TRIM(Raw_Data!G766)),Lookup_Tables!$G$2:$G$24,0)),"Unknown"))</f>
        <v>Unspecified</v>
      </c>
      <c r="H766" s="11" t="n">
        <f aca="false">IF(Raw_Data!H766="",ROUND(AVERAGEIFS(Raw_Data!$H$2:$H$839,Raw_Data!$C$2:$C$839,Raw_Data!C766),2),Raw_Data!H766)</f>
        <v>47118.23</v>
      </c>
      <c r="I766" s="11" t="n">
        <f aca="false">Raw_Data!I766</f>
        <v>1489686</v>
      </c>
      <c r="J766" s="11" t="n">
        <f aca="false">IF(Raw_Data!J766&lt;0,ABS(Raw_Data!J766),Raw_Data!J766)</f>
        <v>14809</v>
      </c>
      <c r="K766" s="11" t="n">
        <f aca="false">Raw_Data!K766</f>
        <v>383</v>
      </c>
      <c r="L766" s="11" t="n">
        <f aca="false">IF(Raw_Data!L766="",ROUND(AVERAGEIFS(Raw_Data!$L$2:$L$839,Raw_Data!$C$2:$C$839,Raw_Data!C766),2),Raw_Data!L766)</f>
        <v>528211.31</v>
      </c>
      <c r="M766" s="13" t="n">
        <f aca="false">IFERROR(J766/I766,0)</f>
        <v>0.0099410211279424</v>
      </c>
      <c r="N766" s="14" t="n">
        <f aca="false">IFERROR(H766/J766,0)</f>
        <v>3.18172935377136</v>
      </c>
      <c r="O766" s="14" t="n">
        <f aca="false">IFERROR(H766/K766,0)</f>
        <v>123.02409921671</v>
      </c>
      <c r="P766" s="15" t="n">
        <f aca="false">IFERROR(L766/H766,0)</f>
        <v>11.2103385462484</v>
      </c>
      <c r="Q766" s="13" t="n">
        <f aca="false">IFERROR(K766/J766,0)</f>
        <v>0.025862651090553</v>
      </c>
      <c r="R766" s="11" t="str">
        <f aca="false">IF(COUNTIF($A$2:A766,A766)&gt;1,"Duplicate - Remove","Unique")</f>
        <v>Unique</v>
      </c>
      <c r="S766" s="11" t="str">
        <f aca="false">TRIM(IF(Raw_Data!G766="","Region missing; ","")&amp;IF(Raw_Data!H766="","Spend imputed; ","")&amp;IF(Raw_Data!L766="","Revenue imputed; ","")&amp;IF(Raw_Data!J766&lt;0,"Clicks corrected; ",""))</f>
        <v>Region missing;</v>
      </c>
    </row>
    <row r="767" customFormat="false" ht="15" hidden="false" customHeight="true" outlineLevel="0" collapsed="false">
      <c r="A767" s="11" t="n">
        <f aca="false">Raw_Data!A767</f>
        <v>1371</v>
      </c>
      <c r="B767" s="11" t="str">
        <f aca="false">PROPER(TRIM(Raw_Data!B767))</f>
        <v>Men'S Grooming Drive</v>
      </c>
      <c r="C767" s="11" t="str">
        <f aca="false">IFERROR(INDEX(Lookup_Tables!$B$2:$B$26,MATCH(UPPER(TRIM(Raw_Data!C767)),Lookup_Tables!$C$2:$C$26,0)),"Unknown")</f>
        <v>Google Ads</v>
      </c>
      <c r="D767" s="12" t="n">
        <f aca="false">IFERROR(IF(ISNUMBER(SEARCH("/",Raw_Data!D767)),DATE(VALUE(RIGHT(Raw_Data!D767,4)),VALUE(MID(Raw_Data!D767,FIND("/",Raw_Data!D767)+1,FIND("/",Raw_Data!D767,FIND("/",Raw_Data!D767)+1)-FIND("/",Raw_Data!D767)-1)),VALUE(LEFT(Raw_Data!D767,FIND("/",Raw_Data!D767)-1))),IF(ISNUMBER(VALUE(LEFT(Raw_Data!D767,4))),DATE(VALUE(LEFT(Raw_Data!D767,4)),VALUE(MID(Raw_Data!D767,6,2)),VALUE(MID(Raw_Data!D767,9,2))),DATEVALUE(Raw_Data!D767))),"")</f>
        <v>45453</v>
      </c>
      <c r="E767" s="12" t="n">
        <f aca="false">IFERROR(IF(ISNUMBER(SEARCH("/",Raw_Data!E767)),DATE(VALUE(RIGHT(Raw_Data!E767,4)),VALUE(MID(Raw_Data!E767,FIND("/",Raw_Data!E767)+1,FIND("/",Raw_Data!E767,FIND("/",Raw_Data!E767)+1)-FIND("/",Raw_Data!E767)-1)),VALUE(LEFT(Raw_Data!E767,FIND("/",Raw_Data!E767)-1))),IF(ISNUMBER(VALUE(LEFT(Raw_Data!E767,4))),DATE(VALUE(LEFT(Raw_Data!E767,4)),VALUE(MID(Raw_Data!E767,6,2)),VALUE(MID(Raw_Data!E767,9,2))),DATEVALUE(Raw_Data!E767))),"")</f>
        <v>45481</v>
      </c>
      <c r="F767" s="11" t="str">
        <f aca="false">Raw_Data!F767</f>
        <v>Female 35-44</v>
      </c>
      <c r="G767" s="11" t="str">
        <f aca="false">IF(TRIM(Raw_Data!G767)="","Unspecified",IFERROR(INDEX(Lookup_Tables!$F$2:$F$24,MATCH(UPPER(TRIM(Raw_Data!G767)),Lookup_Tables!$G$2:$G$24,0)),"Unknown"))</f>
        <v>East</v>
      </c>
      <c r="H767" s="11" t="n">
        <f aca="false">IF(Raw_Data!H767="",ROUND(AVERAGEIFS(Raw_Data!$H$2:$H$839,Raw_Data!$C$2:$C$839,Raw_Data!C767),2),Raw_Data!H767)</f>
        <v>63457.28</v>
      </c>
      <c r="I767" s="11" t="n">
        <f aca="false">Raw_Data!I767</f>
        <v>1191830</v>
      </c>
      <c r="J767" s="11" t="n">
        <f aca="false">IF(Raw_Data!J767&lt;0,ABS(Raw_Data!J767),Raw_Data!J767)</f>
        <v>36459</v>
      </c>
      <c r="K767" s="11" t="n">
        <f aca="false">Raw_Data!K767</f>
        <v>2042</v>
      </c>
      <c r="L767" s="11" t="n">
        <f aca="false">IF(Raw_Data!L767="",ROUND(AVERAGEIFS(Raw_Data!$L$2:$L$839,Raw_Data!$C$2:$C$839,Raw_Data!C767),2),Raw_Data!L767)</f>
        <v>3078150.14</v>
      </c>
      <c r="M767" s="13" t="n">
        <f aca="false">IFERROR(J767/I767,0)</f>
        <v>0.0305907721738839</v>
      </c>
      <c r="N767" s="14" t="n">
        <f aca="false">IFERROR(H767/J767,0)</f>
        <v>1.74051071066129</v>
      </c>
      <c r="O767" s="14" t="n">
        <f aca="false">IFERROR(H767/K767,0)</f>
        <v>31.0760430950049</v>
      </c>
      <c r="P767" s="15" t="n">
        <f aca="false">IFERROR(L767/H767,0)</f>
        <v>48.5074390203929</v>
      </c>
      <c r="Q767" s="13" t="n">
        <f aca="false">IFERROR(K767/J767,0)</f>
        <v>0.0560081187086865</v>
      </c>
      <c r="R767" s="11" t="str">
        <f aca="false">IF(COUNTIF($A$2:A767,A767)&gt;1,"Duplicate - Remove","Unique")</f>
        <v>Unique</v>
      </c>
      <c r="S767" s="11" t="str">
        <f aca="false">TRIM(IF(Raw_Data!G767="","Region missing; ","")&amp;IF(Raw_Data!H767="","Spend imputed; ","")&amp;IF(Raw_Data!L767="","Revenue imputed; ","")&amp;IF(Raw_Data!J767&lt;0,"Clicks corrected; ",""))</f>
        <v/>
      </c>
    </row>
    <row r="768" customFormat="false" ht="15" hidden="false" customHeight="true" outlineLevel="0" collapsed="false">
      <c r="A768" s="11" t="n">
        <f aca="false">Raw_Data!A768</f>
        <v>1091</v>
      </c>
      <c r="B768" s="11" t="str">
        <f aca="false">PROPER(TRIM(Raw_Data!B768))</f>
        <v>Hair Care Revamp</v>
      </c>
      <c r="C768" s="11" t="str">
        <f aca="false">IFERROR(INDEX(Lookup_Tables!$B$2:$B$26,MATCH(UPPER(TRIM(Raw_Data!C768)),Lookup_Tables!$C$2:$C$26,0)),"Unknown")</f>
        <v>Google Ads</v>
      </c>
      <c r="D768" s="12" t="n">
        <f aca="false">IFERROR(IF(ISNUMBER(SEARCH("/",Raw_Data!D768)),DATE(VALUE(RIGHT(Raw_Data!D768,4)),VALUE(MID(Raw_Data!D768,FIND("/",Raw_Data!D768)+1,FIND("/",Raw_Data!D768,FIND("/",Raw_Data!D768)+1)-FIND("/",Raw_Data!D768)-1)),VALUE(LEFT(Raw_Data!D768,FIND("/",Raw_Data!D768)-1))),IF(ISNUMBER(VALUE(LEFT(Raw_Data!D768,4))),DATE(VALUE(LEFT(Raw_Data!D768,4)),VALUE(MID(Raw_Data!D768,6,2)),VALUE(MID(Raw_Data!D768,9,2))),DATEVALUE(Raw_Data!D768))),"")</f>
        <v>45580</v>
      </c>
      <c r="E768" s="12" t="n">
        <f aca="false">IFERROR(IF(ISNUMBER(SEARCH("/",Raw_Data!E768)),DATE(VALUE(RIGHT(Raw_Data!E768,4)),VALUE(MID(Raw_Data!E768,FIND("/",Raw_Data!E768)+1,FIND("/",Raw_Data!E768,FIND("/",Raw_Data!E768)+1)-FIND("/",Raw_Data!E768)-1)),VALUE(LEFT(Raw_Data!E768,FIND("/",Raw_Data!E768)-1))),IF(ISNUMBER(VALUE(LEFT(Raw_Data!E768,4))),DATE(VALUE(LEFT(Raw_Data!E768,4)),VALUE(MID(Raw_Data!E768,6,2)),VALUE(MID(Raw_Data!E768,9,2))),DATEVALUE(Raw_Data!E768))),"")</f>
        <v>45586</v>
      </c>
      <c r="F768" s="11" t="str">
        <f aca="false">Raw_Data!F768</f>
        <v>Male 35-44</v>
      </c>
      <c r="G768" s="11" t="str">
        <f aca="false">IF(TRIM(Raw_Data!G768)="","Unspecified",IFERROR(INDEX(Lookup_Tables!$F$2:$F$24,MATCH(UPPER(TRIM(Raw_Data!G768)),Lookup_Tables!$G$2:$G$24,0)),"Unknown"))</f>
        <v>Central</v>
      </c>
      <c r="H768" s="11" t="n">
        <f aca="false">IF(Raw_Data!H768="",ROUND(AVERAGEIFS(Raw_Data!$H$2:$H$839,Raw_Data!$C$2:$C$839,Raw_Data!C768),2),Raw_Data!H768)</f>
        <v>15685.6</v>
      </c>
      <c r="I768" s="11" t="n">
        <f aca="false">Raw_Data!I768</f>
        <v>607247</v>
      </c>
      <c r="J768" s="11" t="n">
        <f aca="false">IF(Raw_Data!J768&lt;0,ABS(Raw_Data!J768),Raw_Data!J768)</f>
        <v>17082</v>
      </c>
      <c r="K768" s="11" t="n">
        <f aca="false">Raw_Data!K768</f>
        <v>487</v>
      </c>
      <c r="L768" s="11" t="n">
        <f aca="false">IF(Raw_Data!L768="",ROUND(AVERAGEIFS(Raw_Data!$L$2:$L$839,Raw_Data!$C$2:$C$839,Raw_Data!C768),2),Raw_Data!L768)</f>
        <v>319312.34</v>
      </c>
      <c r="M768" s="13" t="n">
        <f aca="false">IFERROR(J768/I768,0)</f>
        <v>0.0281302336610967</v>
      </c>
      <c r="N768" s="14" t="n">
        <f aca="false">IFERROR(H768/J768,0)</f>
        <v>0.918253131951762</v>
      </c>
      <c r="O768" s="14" t="n">
        <f aca="false">IFERROR(H768/K768,0)</f>
        <v>32.2086242299795</v>
      </c>
      <c r="P768" s="15" t="n">
        <f aca="false">IFERROR(L768/H768,0)</f>
        <v>20.3570370275922</v>
      </c>
      <c r="Q768" s="13" t="n">
        <f aca="false">IFERROR(K768/J768,0)</f>
        <v>0.0285095422081723</v>
      </c>
      <c r="R768" s="11" t="str">
        <f aca="false">IF(COUNTIF($A$2:A768,A768)&gt;1,"Duplicate - Remove","Unique")</f>
        <v>Unique</v>
      </c>
      <c r="S768" s="11" t="str">
        <f aca="false">TRIM(IF(Raw_Data!G768="","Region missing; ","")&amp;IF(Raw_Data!H768="","Spend imputed; ","")&amp;IF(Raw_Data!L768="","Revenue imputed; ","")&amp;IF(Raw_Data!J768&lt;0,"Clicks corrected; ",""))</f>
        <v/>
      </c>
    </row>
    <row r="769" customFormat="false" ht="15" hidden="false" customHeight="true" outlineLevel="0" collapsed="false">
      <c r="A769" s="11" t="n">
        <f aca="false">Raw_Data!A769</f>
        <v>1350</v>
      </c>
      <c r="B769" s="11" t="str">
        <f aca="false">PROPER(TRIM(Raw_Data!B769))</f>
        <v>Ayurvedic Range Launch</v>
      </c>
      <c r="C769" s="11" t="str">
        <f aca="false">IFERROR(INDEX(Lookup_Tables!$B$2:$B$26,MATCH(UPPER(TRIM(Raw_Data!C769)),Lookup_Tables!$C$2:$C$26,0)),"Unknown")</f>
        <v>Facebook</v>
      </c>
      <c r="D769" s="12" t="n">
        <f aca="false">IFERROR(IF(ISNUMBER(SEARCH("/",Raw_Data!D769)),DATE(VALUE(RIGHT(Raw_Data!D769,4)),VALUE(MID(Raw_Data!D769,FIND("/",Raw_Data!D769)+1,FIND("/",Raw_Data!D769,FIND("/",Raw_Data!D769)+1)-FIND("/",Raw_Data!D769)-1)),VALUE(LEFT(Raw_Data!D769,FIND("/",Raw_Data!D769)-1))),IF(ISNUMBER(VALUE(LEFT(Raw_Data!D769,4))),DATE(VALUE(LEFT(Raw_Data!D769,4)),VALUE(MID(Raw_Data!D769,6,2)),VALUE(MID(Raw_Data!D769,9,2))),DATEVALUE(Raw_Data!D769))),"")</f>
        <v>45308</v>
      </c>
      <c r="E769" s="12" t="n">
        <f aca="false">IFERROR(IF(ISNUMBER(SEARCH("/",Raw_Data!E769)),DATE(VALUE(RIGHT(Raw_Data!E769,4)),VALUE(MID(Raw_Data!E769,FIND("/",Raw_Data!E769)+1,FIND("/",Raw_Data!E769,FIND("/",Raw_Data!E769)+1)-FIND("/",Raw_Data!E769)-1)),VALUE(LEFT(Raw_Data!E769,FIND("/",Raw_Data!E769)-1))),IF(ISNUMBER(VALUE(LEFT(Raw_Data!E769,4))),DATE(VALUE(LEFT(Raw_Data!E769,4)),VALUE(MID(Raw_Data!E769,6,2)),VALUE(MID(Raw_Data!E769,9,2))),DATEVALUE(Raw_Data!E769))),"")</f>
        <v>45326</v>
      </c>
      <c r="F769" s="11" t="str">
        <f aca="false">Raw_Data!F769</f>
        <v>Female 18-24</v>
      </c>
      <c r="G769" s="11" t="str">
        <f aca="false">IF(TRIM(Raw_Data!G769)="","Unspecified",IFERROR(INDEX(Lookup_Tables!$F$2:$F$24,MATCH(UPPER(TRIM(Raw_Data!G769)),Lookup_Tables!$G$2:$G$24,0)),"Unknown"))</f>
        <v>Central</v>
      </c>
      <c r="H769" s="11" t="n">
        <f aca="false">IF(Raw_Data!H769="",ROUND(AVERAGEIFS(Raw_Data!$H$2:$H$839,Raw_Data!$C$2:$C$839,Raw_Data!C769),2),Raw_Data!H769)</f>
        <v>22879.71</v>
      </c>
      <c r="I769" s="11" t="n">
        <f aca="false">Raw_Data!I769</f>
        <v>523121</v>
      </c>
      <c r="J769" s="11" t="n">
        <f aca="false">IF(Raw_Data!J769&lt;0,ABS(Raw_Data!J769),Raw_Data!J769)</f>
        <v>8521</v>
      </c>
      <c r="K769" s="11" t="n">
        <f aca="false">Raw_Data!K769</f>
        <v>359</v>
      </c>
      <c r="L769" s="11" t="n">
        <f aca="false">IF(Raw_Data!L769="",ROUND(AVERAGEIFS(Raw_Data!$L$2:$L$839,Raw_Data!$C$2:$C$839,Raw_Data!C769),2),Raw_Data!L769)</f>
        <v>142755.17</v>
      </c>
      <c r="M769" s="13" t="n">
        <f aca="false">IFERROR(J769/I769,0)</f>
        <v>0.0162887744900319</v>
      </c>
      <c r="N769" s="14" t="n">
        <f aca="false">IFERROR(H769/J769,0)</f>
        <v>2.68509681962211</v>
      </c>
      <c r="O769" s="14" t="n">
        <f aca="false">IFERROR(H769/K769,0)</f>
        <v>63.731782729805</v>
      </c>
      <c r="P769" s="15" t="n">
        <f aca="false">IFERROR(L769/H769,0)</f>
        <v>6.23937847114321</v>
      </c>
      <c r="Q769" s="13" t="n">
        <f aca="false">IFERROR(K769/J769,0)</f>
        <v>0.0421312052575989</v>
      </c>
      <c r="R769" s="11" t="str">
        <f aca="false">IF(COUNTIF($A$2:A769,A769)&gt;1,"Duplicate - Remove","Unique")</f>
        <v>Unique</v>
      </c>
      <c r="S769" s="11" t="str">
        <f aca="false">TRIM(IF(Raw_Data!G769="","Region missing; ","")&amp;IF(Raw_Data!H769="","Spend imputed; ","")&amp;IF(Raw_Data!L769="","Revenue imputed; ","")&amp;IF(Raw_Data!J769&lt;0,"Clicks corrected; ",""))</f>
        <v/>
      </c>
    </row>
    <row r="770" customFormat="false" ht="15" hidden="false" customHeight="true" outlineLevel="0" collapsed="false">
      <c r="A770" s="11" t="n">
        <f aca="false">Raw_Data!A770</f>
        <v>1652</v>
      </c>
      <c r="B770" s="11" t="str">
        <f aca="false">PROPER(TRIM(Raw_Data!B770))</f>
        <v>Festive Gift Bundle</v>
      </c>
      <c r="C770" s="11" t="str">
        <f aca="false">IFERROR(INDEX(Lookup_Tables!$B$2:$B$26,MATCH(UPPER(TRIM(Raw_Data!C770)),Lookup_Tables!$C$2:$C$26,0)),"Unknown")</f>
        <v>YouTube</v>
      </c>
      <c r="D770" s="12" t="n">
        <f aca="false">IFERROR(IF(ISNUMBER(SEARCH("/",Raw_Data!D770)),DATE(VALUE(RIGHT(Raw_Data!D770,4)),VALUE(MID(Raw_Data!D770,FIND("/",Raw_Data!D770)+1,FIND("/",Raw_Data!D770,FIND("/",Raw_Data!D770)+1)-FIND("/",Raw_Data!D770)-1)),VALUE(LEFT(Raw_Data!D770,FIND("/",Raw_Data!D770)-1))),IF(ISNUMBER(VALUE(LEFT(Raw_Data!D770,4))),DATE(VALUE(LEFT(Raw_Data!D770,4)),VALUE(MID(Raw_Data!D770,6,2)),VALUE(MID(Raw_Data!D770,9,2))),DATEVALUE(Raw_Data!D770))),"")</f>
        <v>45554</v>
      </c>
      <c r="E770" s="12" t="n">
        <f aca="false">IFERROR(IF(ISNUMBER(SEARCH("/",Raw_Data!E770)),DATE(VALUE(RIGHT(Raw_Data!E770,4)),VALUE(MID(Raw_Data!E770,FIND("/",Raw_Data!E770)+1,FIND("/",Raw_Data!E770,FIND("/",Raw_Data!E770)+1)-FIND("/",Raw_Data!E770)-1)),VALUE(LEFT(Raw_Data!E770,FIND("/",Raw_Data!E770)-1))),IF(ISNUMBER(VALUE(LEFT(Raw_Data!E770,4))),DATE(VALUE(LEFT(Raw_Data!E770,4)),VALUE(MID(Raw_Data!E770,6,2)),VALUE(MID(Raw_Data!E770,9,2))),DATEVALUE(Raw_Data!E770))),"")</f>
        <v>45570</v>
      </c>
      <c r="F770" s="11" t="str">
        <f aca="false">Raw_Data!F770</f>
        <v>Female 18-24</v>
      </c>
      <c r="G770" s="11" t="str">
        <f aca="false">IF(TRIM(Raw_Data!G770)="","Unspecified",IFERROR(INDEX(Lookup_Tables!$F$2:$F$24,MATCH(UPPER(TRIM(Raw_Data!G770)),Lookup_Tables!$G$2:$G$24,0)),"Unknown"))</f>
        <v>West</v>
      </c>
      <c r="H770" s="11" t="n">
        <f aca="false">IF(Raw_Data!H770="",ROUND(AVERAGEIFS(Raw_Data!$H$2:$H$839,Raw_Data!$C$2:$C$839,Raw_Data!C770),2),Raw_Data!H770)</f>
        <v>57428.59</v>
      </c>
      <c r="I770" s="11" t="n">
        <f aca="false">Raw_Data!I770</f>
        <v>2290904</v>
      </c>
      <c r="J770" s="11" t="n">
        <f aca="false">IF(Raw_Data!J770&lt;0,ABS(Raw_Data!J770),Raw_Data!J770)</f>
        <v>77418</v>
      </c>
      <c r="K770" s="11" t="n">
        <f aca="false">Raw_Data!K770</f>
        <v>5505</v>
      </c>
      <c r="L770" s="11" t="n">
        <f aca="false">IF(Raw_Data!L770="",ROUND(AVERAGEIFS(Raw_Data!$L$2:$L$839,Raw_Data!$C$2:$C$839,Raw_Data!C770),2),Raw_Data!L770)</f>
        <v>4537504.6</v>
      </c>
      <c r="M770" s="13" t="n">
        <f aca="false">IFERROR(J770/I770,0)</f>
        <v>0.0337936465255637</v>
      </c>
      <c r="N770" s="14" t="n">
        <f aca="false">IFERROR(H770/J770,0)</f>
        <v>0.74179893564804</v>
      </c>
      <c r="O770" s="14" t="n">
        <f aca="false">IFERROR(H770/K770,0)</f>
        <v>10.4320781108084</v>
      </c>
      <c r="P770" s="15" t="n">
        <f aca="false">IFERROR(L770/H770,0)</f>
        <v>79.011248578452</v>
      </c>
      <c r="Q770" s="13" t="n">
        <f aca="false">IFERROR(K770/J770,0)</f>
        <v>0.0711074943811517</v>
      </c>
      <c r="R770" s="11" t="str">
        <f aca="false">IF(COUNTIF($A$2:A770,A770)&gt;1,"Duplicate - Remove","Unique")</f>
        <v>Unique</v>
      </c>
      <c r="S770" s="11" t="str">
        <f aca="false">TRIM(IF(Raw_Data!G770="","Region missing; ","")&amp;IF(Raw_Data!H770="","Spend imputed; ","")&amp;IF(Raw_Data!L770="","Revenue imputed; ","")&amp;IF(Raw_Data!J770&lt;0,"Clicks corrected; ",""))</f>
        <v/>
      </c>
    </row>
    <row r="771" customFormat="false" ht="15" hidden="false" customHeight="true" outlineLevel="0" collapsed="false">
      <c r="A771" s="11" t="n">
        <f aca="false">Raw_Data!A771</f>
        <v>1354</v>
      </c>
      <c r="B771" s="11" t="str">
        <f aca="false">PROPER(TRIM(Raw_Data!B771))</f>
        <v>Herbal Range Awareness</v>
      </c>
      <c r="C771" s="11" t="str">
        <f aca="false">IFERROR(INDEX(Lookup_Tables!$B$2:$B$26,MATCH(UPPER(TRIM(Raw_Data!C771)),Lookup_Tables!$C$2:$C$26,0)),"Unknown")</f>
        <v>Instagram</v>
      </c>
      <c r="D771" s="12" t="n">
        <f aca="false">IFERROR(IF(ISNUMBER(SEARCH("/",Raw_Data!D771)),DATE(VALUE(RIGHT(Raw_Data!D771,4)),VALUE(MID(Raw_Data!D771,FIND("/",Raw_Data!D771)+1,FIND("/",Raw_Data!D771,FIND("/",Raw_Data!D771)+1)-FIND("/",Raw_Data!D771)-1)),VALUE(LEFT(Raw_Data!D771,FIND("/",Raw_Data!D771)-1))),IF(ISNUMBER(VALUE(LEFT(Raw_Data!D771,4))),DATE(VALUE(LEFT(Raw_Data!D771,4)),VALUE(MID(Raw_Data!D771,6,2)),VALUE(MID(Raw_Data!D771,9,2))),DATEVALUE(Raw_Data!D771))),"")</f>
        <v>45515</v>
      </c>
      <c r="E771" s="12" t="n">
        <f aca="false">IFERROR(IF(ISNUMBER(SEARCH("/",Raw_Data!E771)),DATE(VALUE(RIGHT(Raw_Data!E771,4)),VALUE(MID(Raw_Data!E771,FIND("/",Raw_Data!E771)+1,FIND("/",Raw_Data!E771,FIND("/",Raw_Data!E771)+1)-FIND("/",Raw_Data!E771)-1)),VALUE(LEFT(Raw_Data!E771,FIND("/",Raw_Data!E771)-1))),IF(ISNUMBER(VALUE(LEFT(Raw_Data!E771,4))),DATE(VALUE(LEFT(Raw_Data!E771,4)),VALUE(MID(Raw_Data!E771,6,2)),VALUE(MID(Raw_Data!E771,9,2))),DATEVALUE(Raw_Data!E771))),"")</f>
        <v>45526</v>
      </c>
      <c r="F771" s="11" t="str">
        <f aca="false">Raw_Data!F771</f>
        <v>Male 35-44</v>
      </c>
      <c r="G771" s="11" t="str">
        <f aca="false">IF(TRIM(Raw_Data!G771)="","Unspecified",IFERROR(INDEX(Lookup_Tables!$F$2:$F$24,MATCH(UPPER(TRIM(Raw_Data!G771)),Lookup_Tables!$G$2:$G$24,0)),"Unknown"))</f>
        <v>East</v>
      </c>
      <c r="H771" s="11" t="n">
        <f aca="false">IF(Raw_Data!H771="",ROUND(AVERAGEIFS(Raw_Data!$H$2:$H$839,Raw_Data!$C$2:$C$839,Raw_Data!C771),2),Raw_Data!H771)</f>
        <v>41043.1</v>
      </c>
      <c r="I771" s="11" t="n">
        <f aca="false">Raw_Data!I771</f>
        <v>1615156</v>
      </c>
      <c r="J771" s="11" t="n">
        <f aca="false">IF(Raw_Data!J771&lt;0,ABS(Raw_Data!J771),Raw_Data!J771)</f>
        <v>11725</v>
      </c>
      <c r="K771" s="11" t="n">
        <f aca="false">Raw_Data!K771</f>
        <v>815</v>
      </c>
      <c r="L771" s="11" t="n">
        <f aca="false">IF(Raw_Data!L771="",ROUND(AVERAGEIFS(Raw_Data!$L$2:$L$839,Raw_Data!$C$2:$C$839,Raw_Data!C771),2),Raw_Data!L771)</f>
        <v>538239.16</v>
      </c>
      <c r="M771" s="13" t="n">
        <f aca="false">IFERROR(J771/I771,0)</f>
        <v>0.00725936070571511</v>
      </c>
      <c r="N771" s="14" t="n">
        <f aca="false">IFERROR(H771/J771,0)</f>
        <v>3.5004776119403</v>
      </c>
      <c r="O771" s="14" t="n">
        <f aca="false">IFERROR(H771/K771,0)</f>
        <v>50.3596319018405</v>
      </c>
      <c r="P771" s="15" t="n">
        <f aca="false">IFERROR(L771/H771,0)</f>
        <v>13.1139986989287</v>
      </c>
      <c r="Q771" s="13" t="n">
        <f aca="false">IFERROR(K771/J771,0)</f>
        <v>0.0695095948827292</v>
      </c>
      <c r="R771" s="11" t="str">
        <f aca="false">IF(COUNTIF($A$2:A771,A771)&gt;1,"Duplicate - Remove","Unique")</f>
        <v>Unique</v>
      </c>
      <c r="S771" s="11" t="str">
        <f aca="false">TRIM(IF(Raw_Data!G771="","Region missing; ","")&amp;IF(Raw_Data!H771="","Spend imputed; ","")&amp;IF(Raw_Data!L771="","Revenue imputed; ","")&amp;IF(Raw_Data!J771&lt;0,"Clicks corrected; ",""))</f>
        <v/>
      </c>
    </row>
    <row r="772" customFormat="false" ht="15" hidden="false" customHeight="true" outlineLevel="0" collapsed="false">
      <c r="A772" s="11" t="n">
        <f aca="false">Raw_Data!A772</f>
        <v>1387</v>
      </c>
      <c r="B772" s="11" t="str">
        <f aca="false">PROPER(TRIM(Raw_Data!B772))</f>
        <v>Back To College Offer</v>
      </c>
      <c r="C772" s="11" t="str">
        <f aca="false">IFERROR(INDEX(Lookup_Tables!$B$2:$B$26,MATCH(UPPER(TRIM(Raw_Data!C772)),Lookup_Tables!$C$2:$C$26,0)),"Unknown")</f>
        <v>Google Ads</v>
      </c>
      <c r="D772" s="12" t="n">
        <f aca="false">IFERROR(IF(ISNUMBER(SEARCH("/",Raw_Data!D772)),DATE(VALUE(RIGHT(Raw_Data!D772,4)),VALUE(MID(Raw_Data!D772,FIND("/",Raw_Data!D772)+1,FIND("/",Raw_Data!D772,FIND("/",Raw_Data!D772)+1)-FIND("/",Raw_Data!D772)-1)),VALUE(LEFT(Raw_Data!D772,FIND("/",Raw_Data!D772)-1))),IF(ISNUMBER(VALUE(LEFT(Raw_Data!D772,4))),DATE(VALUE(LEFT(Raw_Data!D772,4)),VALUE(MID(Raw_Data!D772,6,2)),VALUE(MID(Raw_Data!D772,9,2))),DATEVALUE(Raw_Data!D772))),"")</f>
        <v>45526</v>
      </c>
      <c r="E772" s="12" t="n">
        <f aca="false">IFERROR(IF(ISNUMBER(SEARCH("/",Raw_Data!E772)),DATE(VALUE(RIGHT(Raw_Data!E772,4)),VALUE(MID(Raw_Data!E772,FIND("/",Raw_Data!E772)+1,FIND("/",Raw_Data!E772,FIND("/",Raw_Data!E772)+1)-FIND("/",Raw_Data!E772)-1)),VALUE(LEFT(Raw_Data!E772,FIND("/",Raw_Data!E772)-1))),IF(ISNUMBER(VALUE(LEFT(Raw_Data!E772,4))),DATE(VALUE(LEFT(Raw_Data!E772,4)),VALUE(MID(Raw_Data!E772,6,2)),VALUE(MID(Raw_Data!E772,9,2))),DATEVALUE(Raw_Data!E772))),"")</f>
        <v>45555</v>
      </c>
      <c r="F772" s="11" t="str">
        <f aca="false">Raw_Data!F772</f>
        <v>Male 45+</v>
      </c>
      <c r="G772" s="11" t="str">
        <f aca="false">IF(TRIM(Raw_Data!G772)="","Unspecified",IFERROR(INDEX(Lookup_Tables!$F$2:$F$24,MATCH(UPPER(TRIM(Raw_Data!G772)),Lookup_Tables!$G$2:$G$24,0)),"Unknown"))</f>
        <v>North</v>
      </c>
      <c r="H772" s="11" t="n">
        <f aca="false">IF(Raw_Data!H772="",ROUND(AVERAGEIFS(Raw_Data!$H$2:$H$839,Raw_Data!$C$2:$C$839,Raw_Data!C772),2),Raw_Data!H772)</f>
        <v>78226.18</v>
      </c>
      <c r="I772" s="11" t="n">
        <f aca="false">Raw_Data!I772</f>
        <v>2702034</v>
      </c>
      <c r="J772" s="11" t="n">
        <f aca="false">IF(Raw_Data!J772&lt;0,ABS(Raw_Data!J772),Raw_Data!J772)</f>
        <v>62929</v>
      </c>
      <c r="K772" s="11" t="n">
        <f aca="false">Raw_Data!K772</f>
        <v>4410</v>
      </c>
      <c r="L772" s="11" t="n">
        <f aca="false">IF(Raw_Data!L772="",ROUND(AVERAGEIFS(Raw_Data!$L$2:$L$839,Raw_Data!$C$2:$C$839,Raw_Data!C772),2),Raw_Data!L772)</f>
        <v>2194895.18</v>
      </c>
      <c r="M772" s="13" t="n">
        <f aca="false">IFERROR(J772/I772,0)</f>
        <v>0.0232894922861815</v>
      </c>
      <c r="N772" s="14" t="n">
        <f aca="false">IFERROR(H772/J772,0)</f>
        <v>1.24308633539386</v>
      </c>
      <c r="O772" s="14" t="n">
        <f aca="false">IFERROR(H772/K772,0)</f>
        <v>17.7383628117914</v>
      </c>
      <c r="P772" s="15" t="n">
        <f aca="false">IFERROR(L772/H772,0)</f>
        <v>28.0583198617138</v>
      </c>
      <c r="Q772" s="13" t="n">
        <f aca="false">IFERROR(K772/J772,0)</f>
        <v>0.0700789778957238</v>
      </c>
      <c r="R772" s="11" t="str">
        <f aca="false">IF(COUNTIF($A$2:A772,A772)&gt;1,"Duplicate - Remove","Unique")</f>
        <v>Unique</v>
      </c>
      <c r="S772" s="11" t="str">
        <f aca="false">TRIM(IF(Raw_Data!G772="","Region missing; ","")&amp;IF(Raw_Data!H772="","Spend imputed; ","")&amp;IF(Raw_Data!L772="","Revenue imputed; ","")&amp;IF(Raw_Data!J772&lt;0,"Clicks corrected; ",""))</f>
        <v/>
      </c>
    </row>
    <row r="773" customFormat="false" ht="15" hidden="false" customHeight="true" outlineLevel="0" collapsed="false">
      <c r="A773" s="11" t="n">
        <f aca="false">Raw_Data!A773</f>
        <v>1252</v>
      </c>
      <c r="B773" s="11" t="str">
        <f aca="false">PROPER(TRIM(Raw_Data!B773))</f>
        <v>Festive Gift Bundle</v>
      </c>
      <c r="C773" s="11" t="str">
        <f aca="false">IFERROR(INDEX(Lookup_Tables!$B$2:$B$26,MATCH(UPPER(TRIM(Raw_Data!C773)),Lookup_Tables!$C$2:$C$26,0)),"Unknown")</f>
        <v>Google Ads</v>
      </c>
      <c r="D773" s="12" t="n">
        <f aca="false">IFERROR(IF(ISNUMBER(SEARCH("/",Raw_Data!D773)),DATE(VALUE(RIGHT(Raw_Data!D773,4)),VALUE(MID(Raw_Data!D773,FIND("/",Raw_Data!D773)+1,FIND("/",Raw_Data!D773,FIND("/",Raw_Data!D773)+1)-FIND("/",Raw_Data!D773)-1)),VALUE(LEFT(Raw_Data!D773,FIND("/",Raw_Data!D773)-1))),IF(ISNUMBER(VALUE(LEFT(Raw_Data!D773,4))),DATE(VALUE(LEFT(Raw_Data!D773,4)),VALUE(MID(Raw_Data!D773,6,2)),VALUE(MID(Raw_Data!D773,9,2))),DATEVALUE(Raw_Data!D773))),"")</f>
        <v>45589</v>
      </c>
      <c r="E773" s="12" t="n">
        <f aca="false">IFERROR(IF(ISNUMBER(SEARCH("/",Raw_Data!E773)),DATE(VALUE(RIGHT(Raw_Data!E773,4)),VALUE(MID(Raw_Data!E773,FIND("/",Raw_Data!E773)+1,FIND("/",Raw_Data!E773,FIND("/",Raw_Data!E773)+1)-FIND("/",Raw_Data!E773)-1)),VALUE(LEFT(Raw_Data!E773,FIND("/",Raw_Data!E773)-1))),IF(ISNUMBER(VALUE(LEFT(Raw_Data!E773,4))),DATE(VALUE(LEFT(Raw_Data!E773,4)),VALUE(MID(Raw_Data!E773,6,2)),VALUE(MID(Raw_Data!E773,9,2))),DATEVALUE(Raw_Data!E773))),"")</f>
        <v>45619</v>
      </c>
      <c r="F773" s="11" t="str">
        <f aca="false">Raw_Data!F773</f>
        <v>Female 18-24</v>
      </c>
      <c r="G773" s="11" t="str">
        <f aca="false">IF(TRIM(Raw_Data!G773)="","Unspecified",IFERROR(INDEX(Lookup_Tables!$F$2:$F$24,MATCH(UPPER(TRIM(Raw_Data!G773)),Lookup_Tables!$G$2:$G$24,0)),"Unknown"))</f>
        <v>Unspecified</v>
      </c>
      <c r="H773" s="11" t="n">
        <f aca="false">IF(Raw_Data!H773="",ROUND(AVERAGEIFS(Raw_Data!$H$2:$H$839,Raw_Data!$C$2:$C$839,Raw_Data!C773),2),Raw_Data!H773)</f>
        <v>43268.95</v>
      </c>
      <c r="I773" s="11" t="n">
        <f aca="false">Raw_Data!I773</f>
        <v>1293971</v>
      </c>
      <c r="J773" s="11" t="n">
        <f aca="false">IF(Raw_Data!J773&lt;0,ABS(Raw_Data!J773),Raw_Data!J773)</f>
        <v>20887</v>
      </c>
      <c r="K773" s="11" t="n">
        <f aca="false">Raw_Data!K773</f>
        <v>339</v>
      </c>
      <c r="L773" s="11" t="n">
        <f aca="false">IF(Raw_Data!L773="",ROUND(AVERAGEIFS(Raw_Data!$L$2:$L$839,Raw_Data!$C$2:$C$839,Raw_Data!C773),2),Raw_Data!L773)</f>
        <v>196166.68</v>
      </c>
      <c r="M773" s="13" t="n">
        <f aca="false">IFERROR(J773/I773,0)</f>
        <v>0.0161417837030351</v>
      </c>
      <c r="N773" s="14" t="n">
        <f aca="false">IFERROR(H773/J773,0)</f>
        <v>2.0715732273663</v>
      </c>
      <c r="O773" s="14" t="n">
        <f aca="false">IFERROR(H773/K773,0)</f>
        <v>127.637020648968</v>
      </c>
      <c r="P773" s="15" t="n">
        <f aca="false">IFERROR(L773/H773,0)</f>
        <v>4.5336593561896</v>
      </c>
      <c r="Q773" s="13" t="n">
        <f aca="false">IFERROR(K773/J773,0)</f>
        <v>0.0162301910279121</v>
      </c>
      <c r="R773" s="11" t="str">
        <f aca="false">IF(COUNTIF($A$2:A773,A773)&gt;1,"Duplicate - Remove","Unique")</f>
        <v>Unique</v>
      </c>
      <c r="S773" s="11" t="str">
        <f aca="false">TRIM(IF(Raw_Data!G773="","Region missing; ","")&amp;IF(Raw_Data!H773="","Spend imputed; ","")&amp;IF(Raw_Data!L773="","Revenue imputed; ","")&amp;IF(Raw_Data!J773&lt;0,"Clicks corrected; ",""))</f>
        <v>Region missing;</v>
      </c>
    </row>
    <row r="774" customFormat="false" ht="15" hidden="false" customHeight="true" outlineLevel="0" collapsed="false">
      <c r="A774" s="11" t="n">
        <f aca="false">Raw_Data!A774</f>
        <v>1808</v>
      </c>
      <c r="B774" s="11" t="str">
        <f aca="false">PROPER(TRIM(Raw_Data!B774))</f>
        <v>Monsoon Skincare Push</v>
      </c>
      <c r="C774" s="11" t="str">
        <f aca="false">IFERROR(INDEX(Lookup_Tables!$B$2:$B$26,MATCH(UPPER(TRIM(Raw_Data!C774)),Lookup_Tables!$C$2:$C$26,0)),"Unknown")</f>
        <v>Email</v>
      </c>
      <c r="D774" s="12" t="n">
        <f aca="false">IFERROR(IF(ISNUMBER(SEARCH("/",Raw_Data!D774)),DATE(VALUE(RIGHT(Raw_Data!D774,4)),VALUE(MID(Raw_Data!D774,FIND("/",Raw_Data!D774)+1,FIND("/",Raw_Data!D774,FIND("/",Raw_Data!D774)+1)-FIND("/",Raw_Data!D774)-1)),VALUE(LEFT(Raw_Data!D774,FIND("/",Raw_Data!D774)-1))),IF(ISNUMBER(VALUE(LEFT(Raw_Data!D774,4))),DATE(VALUE(LEFT(Raw_Data!D774,4)),VALUE(MID(Raw_Data!D774,6,2)),VALUE(MID(Raw_Data!D774,9,2))),DATEVALUE(Raw_Data!D774))),"")</f>
        <v>45536</v>
      </c>
      <c r="E774" s="12" t="n">
        <f aca="false">IFERROR(IF(ISNUMBER(SEARCH("/",Raw_Data!E774)),DATE(VALUE(RIGHT(Raw_Data!E774,4)),VALUE(MID(Raw_Data!E774,FIND("/",Raw_Data!E774)+1,FIND("/",Raw_Data!E774,FIND("/",Raw_Data!E774)+1)-FIND("/",Raw_Data!E774)-1)),VALUE(LEFT(Raw_Data!E774,FIND("/",Raw_Data!E774)-1))),IF(ISNUMBER(VALUE(LEFT(Raw_Data!E774,4))),DATE(VALUE(LEFT(Raw_Data!E774,4)),VALUE(MID(Raw_Data!E774,6,2)),VALUE(MID(Raw_Data!E774,9,2))),DATEVALUE(Raw_Data!E774))),"")</f>
        <v>45553</v>
      </c>
      <c r="F774" s="11" t="str">
        <f aca="false">Raw_Data!F774</f>
        <v>Male 25-34</v>
      </c>
      <c r="G774" s="11" t="str">
        <f aca="false">IF(TRIM(Raw_Data!G774)="","Unspecified",IFERROR(INDEX(Lookup_Tables!$F$2:$F$24,MATCH(UPPER(TRIM(Raw_Data!G774)),Lookup_Tables!$G$2:$G$24,0)),"Unknown"))</f>
        <v>South</v>
      </c>
      <c r="H774" s="11" t="n">
        <f aca="false">IF(Raw_Data!H774="",ROUND(AVERAGEIFS(Raw_Data!$H$2:$H$839,Raw_Data!$C$2:$C$839,Raw_Data!C774),2),Raw_Data!H774)</f>
        <v>2123.21</v>
      </c>
      <c r="I774" s="11" t="n">
        <f aca="false">Raw_Data!I774</f>
        <v>43555</v>
      </c>
      <c r="J774" s="11" t="n">
        <f aca="false">IF(Raw_Data!J774&lt;0,ABS(Raw_Data!J774),Raw_Data!J774)</f>
        <v>1400</v>
      </c>
      <c r="K774" s="11" t="n">
        <f aca="false">Raw_Data!K774</f>
        <v>15</v>
      </c>
      <c r="L774" s="11" t="n">
        <f aca="false">IF(Raw_Data!L774="",ROUND(AVERAGEIFS(Raw_Data!$L$2:$L$839,Raw_Data!$C$2:$C$839,Raw_Data!C774),2),Raw_Data!L774)</f>
        <v>10348.66</v>
      </c>
      <c r="M774" s="13" t="n">
        <f aca="false">IFERROR(J774/I774,0)</f>
        <v>0.0321432671335094</v>
      </c>
      <c r="N774" s="14" t="n">
        <f aca="false">IFERROR(H774/J774,0)</f>
        <v>1.51657857142857</v>
      </c>
      <c r="O774" s="14" t="n">
        <f aca="false">IFERROR(H774/K774,0)</f>
        <v>141.547333333333</v>
      </c>
      <c r="P774" s="15" t="n">
        <f aca="false">IFERROR(L774/H774,0)</f>
        <v>4.87406332863918</v>
      </c>
      <c r="Q774" s="13" t="n">
        <f aca="false">IFERROR(K774/J774,0)</f>
        <v>0.0107142857142857</v>
      </c>
      <c r="R774" s="11" t="str">
        <f aca="false">IF(COUNTIF($A$2:A774,A774)&gt;1,"Duplicate - Remove","Unique")</f>
        <v>Unique</v>
      </c>
      <c r="S774" s="11" t="str">
        <f aca="false">TRIM(IF(Raw_Data!G774="","Region missing; ","")&amp;IF(Raw_Data!H774="","Spend imputed; ","")&amp;IF(Raw_Data!L774="","Revenue imputed; ","")&amp;IF(Raw_Data!J774&lt;0,"Clicks corrected; ",""))</f>
        <v/>
      </c>
    </row>
    <row r="775" customFormat="false" ht="15" hidden="false" customHeight="true" outlineLevel="0" collapsed="false">
      <c r="A775" s="11" t="n">
        <f aca="false">Raw_Data!A775</f>
        <v>1678</v>
      </c>
      <c r="B775" s="11" t="str">
        <f aca="false">PROPER(TRIM(Raw_Data!B775))</f>
        <v>Herbal Range Awareness</v>
      </c>
      <c r="C775" s="11" t="str">
        <f aca="false">IFERROR(INDEX(Lookup_Tables!$B$2:$B$26,MATCH(UPPER(TRIM(Raw_Data!C775)),Lookup_Tables!$C$2:$C$26,0)),"Unknown")</f>
        <v>Email</v>
      </c>
      <c r="D775" s="12" t="n">
        <f aca="false">IFERROR(IF(ISNUMBER(SEARCH("/",Raw_Data!D775)),DATE(VALUE(RIGHT(Raw_Data!D775,4)),VALUE(MID(Raw_Data!D775,FIND("/",Raw_Data!D775)+1,FIND("/",Raw_Data!D775,FIND("/",Raw_Data!D775)+1)-FIND("/",Raw_Data!D775)-1)),VALUE(LEFT(Raw_Data!D775,FIND("/",Raw_Data!D775)-1))),IF(ISNUMBER(VALUE(LEFT(Raw_Data!D775,4))),DATE(VALUE(LEFT(Raw_Data!D775,4)),VALUE(MID(Raw_Data!D775,6,2)),VALUE(MID(Raw_Data!D775,9,2))),DATEVALUE(Raw_Data!D775))),"")</f>
        <v>45389</v>
      </c>
      <c r="E775" s="12" t="n">
        <f aca="false">IFERROR(IF(ISNUMBER(SEARCH("/",Raw_Data!E775)),DATE(VALUE(RIGHT(Raw_Data!E775,4)),VALUE(MID(Raw_Data!E775,FIND("/",Raw_Data!E775)+1,FIND("/",Raw_Data!E775,FIND("/",Raw_Data!E775)+1)-FIND("/",Raw_Data!E775)-1)),VALUE(LEFT(Raw_Data!E775,FIND("/",Raw_Data!E775)-1))),IF(ISNUMBER(VALUE(LEFT(Raw_Data!E775,4))),DATE(VALUE(LEFT(Raw_Data!E775,4)),VALUE(MID(Raw_Data!E775,6,2)),VALUE(MID(Raw_Data!E775,9,2))),DATEVALUE(Raw_Data!E775))),"")</f>
        <v>45412</v>
      </c>
      <c r="F775" s="11" t="str">
        <f aca="false">Raw_Data!F775</f>
        <v>Female 25-34</v>
      </c>
      <c r="G775" s="11" t="str">
        <f aca="false">IF(TRIM(Raw_Data!G775)="","Unspecified",IFERROR(INDEX(Lookup_Tables!$F$2:$F$24,MATCH(UPPER(TRIM(Raw_Data!G775)),Lookup_Tables!$G$2:$G$24,0)),"Unknown"))</f>
        <v>South</v>
      </c>
      <c r="H775" s="11" t="n">
        <f aca="false">IF(Raw_Data!H775="",ROUND(AVERAGEIFS(Raw_Data!$H$2:$H$839,Raw_Data!$C$2:$C$839,Raw_Data!C775),2),Raw_Data!H775)</f>
        <v>7361.81</v>
      </c>
      <c r="I775" s="11" t="n">
        <f aca="false">Raw_Data!I775</f>
        <v>239300</v>
      </c>
      <c r="J775" s="11" t="n">
        <f aca="false">IF(Raw_Data!J775&lt;0,ABS(Raw_Data!J775),Raw_Data!J775)</f>
        <v>5220</v>
      </c>
      <c r="K775" s="11" t="n">
        <f aca="false">Raw_Data!K775</f>
        <v>328</v>
      </c>
      <c r="L775" s="11" t="n">
        <f aca="false">IF(Raw_Data!L775="",ROUND(AVERAGEIFS(Raw_Data!$L$2:$L$839,Raw_Data!$C$2:$C$839,Raw_Data!C775),2),Raw_Data!L775)</f>
        <v>370793.77</v>
      </c>
      <c r="M775" s="13" t="n">
        <f aca="false">IFERROR(J775/I775,0)</f>
        <v>0.0218136230672796</v>
      </c>
      <c r="N775" s="14" t="n">
        <f aca="false">IFERROR(H775/J775,0)</f>
        <v>1.41030842911877</v>
      </c>
      <c r="O775" s="14" t="n">
        <f aca="false">IFERROR(H775/K775,0)</f>
        <v>22.4445426829268</v>
      </c>
      <c r="P775" s="15" t="n">
        <f aca="false">IFERROR(L775/H775,0)</f>
        <v>50.3672018158578</v>
      </c>
      <c r="Q775" s="13" t="n">
        <f aca="false">IFERROR(K775/J775,0)</f>
        <v>0.0628352490421456</v>
      </c>
      <c r="R775" s="11" t="str">
        <f aca="false">IF(COUNTIF($A$2:A775,A775)&gt;1,"Duplicate - Remove","Unique")</f>
        <v>Unique</v>
      </c>
      <c r="S775" s="11" t="str">
        <f aca="false">TRIM(IF(Raw_Data!G775="","Region missing; ","")&amp;IF(Raw_Data!H775="","Spend imputed; ","")&amp;IF(Raw_Data!L775="","Revenue imputed; ","")&amp;IF(Raw_Data!J775&lt;0,"Clicks corrected; ",""))</f>
        <v/>
      </c>
    </row>
    <row r="776" customFormat="false" ht="15" hidden="false" customHeight="true" outlineLevel="0" collapsed="false">
      <c r="A776" s="11" t="n">
        <f aca="false">Raw_Data!A776</f>
        <v>1003</v>
      </c>
      <c r="B776" s="11" t="str">
        <f aca="false">PROPER(TRIM(Raw_Data!B776))</f>
        <v>Baby Care Trust Campaign</v>
      </c>
      <c r="C776" s="11" t="str">
        <f aca="false">IFERROR(INDEX(Lookup_Tables!$B$2:$B$26,MATCH(UPPER(TRIM(Raw_Data!C776)),Lookup_Tables!$C$2:$C$26,0)),"Unknown")</f>
        <v>YouTube</v>
      </c>
      <c r="D776" s="12" t="n">
        <f aca="false">IFERROR(IF(ISNUMBER(SEARCH("/",Raw_Data!D776)),DATE(VALUE(RIGHT(Raw_Data!D776,4)),VALUE(MID(Raw_Data!D776,FIND("/",Raw_Data!D776)+1,FIND("/",Raw_Data!D776,FIND("/",Raw_Data!D776)+1)-FIND("/",Raw_Data!D776)-1)),VALUE(LEFT(Raw_Data!D776,FIND("/",Raw_Data!D776)-1))),IF(ISNUMBER(VALUE(LEFT(Raw_Data!D776,4))),DATE(VALUE(LEFT(Raw_Data!D776,4)),VALUE(MID(Raw_Data!D776,6,2)),VALUE(MID(Raw_Data!D776,9,2))),DATEVALUE(Raw_Data!D776))),"")</f>
        <v>45343</v>
      </c>
      <c r="E776" s="12" t="n">
        <f aca="false">IFERROR(IF(ISNUMBER(SEARCH("/",Raw_Data!E776)),DATE(VALUE(RIGHT(Raw_Data!E776,4)),VALUE(MID(Raw_Data!E776,FIND("/",Raw_Data!E776)+1,FIND("/",Raw_Data!E776,FIND("/",Raw_Data!E776)+1)-FIND("/",Raw_Data!E776)-1)),VALUE(LEFT(Raw_Data!E776,FIND("/",Raw_Data!E776)-1))),IF(ISNUMBER(VALUE(LEFT(Raw_Data!E776,4))),DATE(VALUE(LEFT(Raw_Data!E776,4)),VALUE(MID(Raw_Data!E776,6,2)),VALUE(MID(Raw_Data!E776,9,2))),DATEVALUE(Raw_Data!E776))),"")</f>
        <v>45360</v>
      </c>
      <c r="F776" s="11" t="str">
        <f aca="false">Raw_Data!F776</f>
        <v>Male 18-24</v>
      </c>
      <c r="G776" s="11" t="str">
        <f aca="false">IF(TRIM(Raw_Data!G776)="","Unspecified",IFERROR(INDEX(Lookup_Tables!$F$2:$F$24,MATCH(UPPER(TRIM(Raw_Data!G776)),Lookup_Tables!$G$2:$G$24,0)),"Unknown"))</f>
        <v>South</v>
      </c>
      <c r="H776" s="11" t="n">
        <f aca="false">IF(Raw_Data!H776="",ROUND(AVERAGEIFS(Raw_Data!$H$2:$H$839,Raw_Data!$C$2:$C$839,Raw_Data!C776),2),Raw_Data!H776)</f>
        <v>49005.77</v>
      </c>
      <c r="I776" s="11" t="n">
        <f aca="false">Raw_Data!I776</f>
        <v>1756992</v>
      </c>
      <c r="J776" s="11" t="n">
        <f aca="false">IF(Raw_Data!J776&lt;0,ABS(Raw_Data!J776),Raw_Data!J776)</f>
        <v>17358</v>
      </c>
      <c r="K776" s="11" t="n">
        <f aca="false">Raw_Data!K776</f>
        <v>605</v>
      </c>
      <c r="L776" s="11" t="n">
        <f aca="false">IF(Raw_Data!L776="",ROUND(AVERAGEIFS(Raw_Data!$L$2:$L$839,Raw_Data!$C$2:$C$839,Raw_Data!C776),2),Raw_Data!L776)</f>
        <v>799661.17</v>
      </c>
      <c r="M776" s="13" t="n">
        <f aca="false">IFERROR(J776/I776,0)</f>
        <v>0.00987938476669216</v>
      </c>
      <c r="N776" s="14" t="n">
        <f aca="false">IFERROR(H776/J776,0)</f>
        <v>2.82323827629911</v>
      </c>
      <c r="O776" s="14" t="n">
        <f aca="false">IFERROR(H776/K776,0)</f>
        <v>81.0012727272727</v>
      </c>
      <c r="P776" s="15" t="n">
        <f aca="false">IFERROR(L776/H776,0)</f>
        <v>16.3176942225375</v>
      </c>
      <c r="Q776" s="13" t="n">
        <f aca="false">IFERROR(K776/J776,0)</f>
        <v>0.0348542458808619</v>
      </c>
      <c r="R776" s="11" t="str">
        <f aca="false">IF(COUNTIF($A$2:A776,A776)&gt;1,"Duplicate - Remove","Unique")</f>
        <v>Unique</v>
      </c>
      <c r="S776" s="11" t="str">
        <f aca="false">TRIM(IF(Raw_Data!G776="","Region missing; ","")&amp;IF(Raw_Data!H776="","Spend imputed; ","")&amp;IF(Raw_Data!L776="","Revenue imputed; ","")&amp;IF(Raw_Data!J776&lt;0,"Clicks corrected; ",""))</f>
        <v/>
      </c>
    </row>
    <row r="777" customFormat="false" ht="15" hidden="false" customHeight="true" outlineLevel="0" collapsed="false">
      <c r="A777" s="11" t="n">
        <f aca="false">Raw_Data!A777</f>
        <v>1051</v>
      </c>
      <c r="B777" s="11" t="str">
        <f aca="false">PROPER(TRIM(Raw_Data!B777))</f>
        <v>Ayurvedic Range Launch</v>
      </c>
      <c r="C777" s="11" t="str">
        <f aca="false">IFERROR(INDEX(Lookup_Tables!$B$2:$B$26,MATCH(UPPER(TRIM(Raw_Data!C777)),Lookup_Tables!$C$2:$C$26,0)),"Unknown")</f>
        <v>YouTube</v>
      </c>
      <c r="D777" s="12" t="n">
        <f aca="false">IFERROR(IF(ISNUMBER(SEARCH("/",Raw_Data!D777)),DATE(VALUE(RIGHT(Raw_Data!D777,4)),VALUE(MID(Raw_Data!D777,FIND("/",Raw_Data!D777)+1,FIND("/",Raw_Data!D777,FIND("/",Raw_Data!D777)+1)-FIND("/",Raw_Data!D777)-1)),VALUE(LEFT(Raw_Data!D777,FIND("/",Raw_Data!D777)-1))),IF(ISNUMBER(VALUE(LEFT(Raw_Data!D777,4))),DATE(VALUE(LEFT(Raw_Data!D777,4)),VALUE(MID(Raw_Data!D777,6,2)),VALUE(MID(Raw_Data!D777,9,2))),DATEVALUE(Raw_Data!D777))),"")</f>
        <v>45539</v>
      </c>
      <c r="E777" s="12" t="n">
        <f aca="false">IFERROR(IF(ISNUMBER(SEARCH("/",Raw_Data!E777)),DATE(VALUE(RIGHT(Raw_Data!E777,4)),VALUE(MID(Raw_Data!E777,FIND("/",Raw_Data!E777)+1,FIND("/",Raw_Data!E777,FIND("/",Raw_Data!E777)+1)-FIND("/",Raw_Data!E777)-1)),VALUE(LEFT(Raw_Data!E777,FIND("/",Raw_Data!E777)-1))),IF(ISNUMBER(VALUE(LEFT(Raw_Data!E777,4))),DATE(VALUE(LEFT(Raw_Data!E777,4)),VALUE(MID(Raw_Data!E777,6,2)),VALUE(MID(Raw_Data!E777,9,2))),DATEVALUE(Raw_Data!E777))),"")</f>
        <v>45547</v>
      </c>
      <c r="F777" s="11" t="str">
        <f aca="false">Raw_Data!F777</f>
        <v>Female 45+</v>
      </c>
      <c r="G777" s="11" t="str">
        <f aca="false">IF(TRIM(Raw_Data!G777)="","Unspecified",IFERROR(INDEX(Lookup_Tables!$F$2:$F$24,MATCH(UPPER(TRIM(Raw_Data!G777)),Lookup_Tables!$G$2:$G$24,0)),"Unknown"))</f>
        <v>West</v>
      </c>
      <c r="H777" s="11" t="n">
        <f aca="false">IF(Raw_Data!H777="",ROUND(AVERAGEIFS(Raw_Data!$H$2:$H$839,Raw_Data!$C$2:$C$839,Raw_Data!C777),2),Raw_Data!H777)</f>
        <v>43602.32</v>
      </c>
      <c r="I777" s="11" t="n">
        <f aca="false">Raw_Data!I777</f>
        <v>1045321</v>
      </c>
      <c r="J777" s="11" t="n">
        <f aca="false">IF(Raw_Data!J777&lt;0,ABS(Raw_Data!J777),Raw_Data!J777)</f>
        <v>14505</v>
      </c>
      <c r="K777" s="11" t="n">
        <f aca="false">Raw_Data!K777</f>
        <v>855</v>
      </c>
      <c r="L777" s="11" t="n">
        <f aca="false">IF(Raw_Data!L777="",ROUND(AVERAGEIFS(Raw_Data!$L$2:$L$839,Raw_Data!$C$2:$C$839,Raw_Data!C777),2),Raw_Data!L777)</f>
        <v>326449.62</v>
      </c>
      <c r="M777" s="13" t="n">
        <f aca="false">IFERROR(J777/I777,0)</f>
        <v>0.0138761203496342</v>
      </c>
      <c r="N777" s="14" t="n">
        <f aca="false">IFERROR(H777/J777,0)</f>
        <v>3.00601999310583</v>
      </c>
      <c r="O777" s="14" t="n">
        <f aca="false">IFERROR(H777/K777,0)</f>
        <v>50.996865497076</v>
      </c>
      <c r="P777" s="15" t="n">
        <f aca="false">IFERROR(L777/H777,0)</f>
        <v>7.48697821583806</v>
      </c>
      <c r="Q777" s="13" t="n">
        <f aca="false">IFERROR(K777/J777,0)</f>
        <v>0.0589451913133402</v>
      </c>
      <c r="R777" s="11" t="str">
        <f aca="false">IF(COUNTIF($A$2:A777,A777)&gt;1,"Duplicate - Remove","Unique")</f>
        <v>Unique</v>
      </c>
      <c r="S777" s="11" t="str">
        <f aca="false">TRIM(IF(Raw_Data!G777="","Region missing; ","")&amp;IF(Raw_Data!H777="","Spend imputed; ","")&amp;IF(Raw_Data!L777="","Revenue imputed; ","")&amp;IF(Raw_Data!J777&lt;0,"Clicks corrected; ",""))</f>
        <v>Clicks corrected;</v>
      </c>
    </row>
    <row r="778" customFormat="false" ht="15" hidden="false" customHeight="true" outlineLevel="0" collapsed="false">
      <c r="A778" s="11" t="n">
        <f aca="false">Raw_Data!A778</f>
        <v>1614</v>
      </c>
      <c r="B778" s="11" t="str">
        <f aca="false">PROPER(TRIM(Raw_Data!B778))</f>
        <v>Herbal Range Awareness</v>
      </c>
      <c r="C778" s="11" t="str">
        <f aca="false">IFERROR(INDEX(Lookup_Tables!$B$2:$B$26,MATCH(UPPER(TRIM(Raw_Data!C778)),Lookup_Tables!$C$2:$C$26,0)),"Unknown")</f>
        <v>Email</v>
      </c>
      <c r="D778" s="12" t="n">
        <f aca="false">IFERROR(IF(ISNUMBER(SEARCH("/",Raw_Data!D778)),DATE(VALUE(RIGHT(Raw_Data!D778,4)),VALUE(MID(Raw_Data!D778,FIND("/",Raw_Data!D778)+1,FIND("/",Raw_Data!D778,FIND("/",Raw_Data!D778)+1)-FIND("/",Raw_Data!D778)-1)),VALUE(LEFT(Raw_Data!D778,FIND("/",Raw_Data!D778)-1))),IF(ISNUMBER(VALUE(LEFT(Raw_Data!D778,4))),DATE(VALUE(LEFT(Raw_Data!D778,4)),VALUE(MID(Raw_Data!D778,6,2)),VALUE(MID(Raw_Data!D778,9,2))),DATEVALUE(Raw_Data!D778))),"")</f>
        <v>45303</v>
      </c>
      <c r="E778" s="12" t="n">
        <f aca="false">IFERROR(IF(ISNUMBER(SEARCH("/",Raw_Data!E778)),DATE(VALUE(RIGHT(Raw_Data!E778,4)),VALUE(MID(Raw_Data!E778,FIND("/",Raw_Data!E778)+1,FIND("/",Raw_Data!E778,FIND("/",Raw_Data!E778)+1)-FIND("/",Raw_Data!E778)-1)),VALUE(LEFT(Raw_Data!E778,FIND("/",Raw_Data!E778)-1))),IF(ISNUMBER(VALUE(LEFT(Raw_Data!E778,4))),DATE(VALUE(LEFT(Raw_Data!E778,4)),VALUE(MID(Raw_Data!E778,6,2)),VALUE(MID(Raw_Data!E778,9,2))),DATEVALUE(Raw_Data!E778))),"")</f>
        <v>45322</v>
      </c>
      <c r="F778" s="11" t="str">
        <f aca="false">Raw_Data!F778</f>
        <v>Female 35-44</v>
      </c>
      <c r="G778" s="11" t="str">
        <f aca="false">IF(TRIM(Raw_Data!G778)="","Unspecified",IFERROR(INDEX(Lookup_Tables!$F$2:$F$24,MATCH(UPPER(TRIM(Raw_Data!G778)),Lookup_Tables!$G$2:$G$24,0)),"Unknown"))</f>
        <v>East</v>
      </c>
      <c r="H778" s="11" t="n">
        <f aca="false">IF(Raw_Data!H778="",ROUND(AVERAGEIFS(Raw_Data!$H$2:$H$839,Raw_Data!$C$2:$C$839,Raw_Data!C778),2),Raw_Data!H778)</f>
        <v>4195.12</v>
      </c>
      <c r="I778" s="11" t="n">
        <f aca="false">Raw_Data!I778</f>
        <v>123332</v>
      </c>
      <c r="J778" s="11" t="n">
        <f aca="false">IF(Raw_Data!J778&lt;0,ABS(Raw_Data!J778),Raw_Data!J778)</f>
        <v>2226</v>
      </c>
      <c r="K778" s="11" t="n">
        <f aca="false">Raw_Data!K778</f>
        <v>84</v>
      </c>
      <c r="L778" s="11" t="n">
        <f aca="false">IF(Raw_Data!L778="",ROUND(AVERAGEIFS(Raw_Data!$L$2:$L$839,Raw_Data!$C$2:$C$839,Raw_Data!C778),2),Raw_Data!L778)</f>
        <v>130992.94</v>
      </c>
      <c r="M778" s="13" t="n">
        <f aca="false">IFERROR(J778/I778,0)</f>
        <v>0.018048843771284</v>
      </c>
      <c r="N778" s="14" t="n">
        <f aca="false">IFERROR(H778/J778,0)</f>
        <v>1.88460017969452</v>
      </c>
      <c r="O778" s="14" t="n">
        <f aca="false">IFERROR(H778/K778,0)</f>
        <v>49.9419047619048</v>
      </c>
      <c r="P778" s="15" t="n">
        <f aca="false">IFERROR(L778/H778,0)</f>
        <v>31.2250758023608</v>
      </c>
      <c r="Q778" s="13" t="n">
        <f aca="false">IFERROR(K778/J778,0)</f>
        <v>0.0377358490566038</v>
      </c>
      <c r="R778" s="11" t="str">
        <f aca="false">IF(COUNTIF($A$2:A778,A778)&gt;1,"Duplicate - Remove","Unique")</f>
        <v>Unique</v>
      </c>
      <c r="S778" s="11" t="str">
        <f aca="false">TRIM(IF(Raw_Data!G778="","Region missing; ","")&amp;IF(Raw_Data!H778="","Spend imputed; ","")&amp;IF(Raw_Data!L778="","Revenue imputed; ","")&amp;IF(Raw_Data!J778&lt;0,"Clicks corrected; ",""))</f>
        <v/>
      </c>
    </row>
    <row r="779" customFormat="false" ht="15" hidden="false" customHeight="true" outlineLevel="0" collapsed="false">
      <c r="A779" s="11" t="n">
        <f aca="false">Raw_Data!A779</f>
        <v>1046</v>
      </c>
      <c r="B779" s="11" t="str">
        <f aca="false">PROPER(TRIM(Raw_Data!B779))</f>
        <v>Clearance Sale Push</v>
      </c>
      <c r="C779" s="11" t="str">
        <f aca="false">IFERROR(INDEX(Lookup_Tables!$B$2:$B$26,MATCH(UPPER(TRIM(Raw_Data!C779)),Lookup_Tables!$C$2:$C$26,0)),"Unknown")</f>
        <v>Instagram</v>
      </c>
      <c r="D779" s="12" t="n">
        <f aca="false">IFERROR(IF(ISNUMBER(SEARCH("/",Raw_Data!D779)),DATE(VALUE(RIGHT(Raw_Data!D779,4)),VALUE(MID(Raw_Data!D779,FIND("/",Raw_Data!D779)+1,FIND("/",Raw_Data!D779,FIND("/",Raw_Data!D779)+1)-FIND("/",Raw_Data!D779)-1)),VALUE(LEFT(Raw_Data!D779,FIND("/",Raw_Data!D779)-1))),IF(ISNUMBER(VALUE(LEFT(Raw_Data!D779,4))),DATE(VALUE(LEFT(Raw_Data!D779,4)),VALUE(MID(Raw_Data!D779,6,2)),VALUE(MID(Raw_Data!D779,9,2))),DATEVALUE(Raw_Data!D779))),"")</f>
        <v>45468</v>
      </c>
      <c r="E779" s="12" t="n">
        <f aca="false">IFERROR(IF(ISNUMBER(SEARCH("/",Raw_Data!E779)),DATE(VALUE(RIGHT(Raw_Data!E779,4)),VALUE(MID(Raw_Data!E779,FIND("/",Raw_Data!E779)+1,FIND("/",Raw_Data!E779,FIND("/",Raw_Data!E779)+1)-FIND("/",Raw_Data!E779)-1)),VALUE(LEFT(Raw_Data!E779,FIND("/",Raw_Data!E779)-1))),IF(ISNUMBER(VALUE(LEFT(Raw_Data!E779,4))),DATE(VALUE(LEFT(Raw_Data!E779,4)),VALUE(MID(Raw_Data!E779,6,2)),VALUE(MID(Raw_Data!E779,9,2))),DATEVALUE(Raw_Data!E779))),"")</f>
        <v>45483</v>
      </c>
      <c r="F779" s="11" t="str">
        <f aca="false">Raw_Data!F779</f>
        <v>Male 45+</v>
      </c>
      <c r="G779" s="11" t="str">
        <f aca="false">IF(TRIM(Raw_Data!G779)="","Unspecified",IFERROR(INDEX(Lookup_Tables!$F$2:$F$24,MATCH(UPPER(TRIM(Raw_Data!G779)),Lookup_Tables!$G$2:$G$24,0)),"Unknown"))</f>
        <v>West</v>
      </c>
      <c r="H779" s="11" t="n">
        <f aca="false">IF(Raw_Data!H779="",ROUND(AVERAGEIFS(Raw_Data!$H$2:$H$839,Raw_Data!$C$2:$C$839,Raw_Data!C779),2),Raw_Data!H779)</f>
        <v>47669.38</v>
      </c>
      <c r="I779" s="11" t="n">
        <f aca="false">Raw_Data!I779</f>
        <v>1164574</v>
      </c>
      <c r="J779" s="11" t="n">
        <f aca="false">IF(Raw_Data!J779&lt;0,ABS(Raw_Data!J779),Raw_Data!J779)</f>
        <v>38414</v>
      </c>
      <c r="K779" s="11" t="n">
        <f aca="false">Raw_Data!K779</f>
        <v>2722</v>
      </c>
      <c r="L779" s="11" t="n">
        <f aca="false">IF(Raw_Data!L779="",ROUND(AVERAGEIFS(Raw_Data!$L$2:$L$839,Raw_Data!$C$2:$C$839,Raw_Data!C779),2),Raw_Data!L779)</f>
        <v>4823719.39</v>
      </c>
      <c r="M779" s="13" t="n">
        <f aca="false">IFERROR(J779/I779,0)</f>
        <v>0.0329854521911016</v>
      </c>
      <c r="N779" s="14" t="n">
        <f aca="false">IFERROR(H779/J779,0)</f>
        <v>1.24093767897121</v>
      </c>
      <c r="O779" s="14" t="n">
        <f aca="false">IFERROR(H779/K779,0)</f>
        <v>17.5126304188097</v>
      </c>
      <c r="P779" s="15" t="n">
        <f aca="false">IFERROR(L779/H779,0)</f>
        <v>101.191150168095</v>
      </c>
      <c r="Q779" s="13" t="n">
        <f aca="false">IFERROR(K779/J779,0)</f>
        <v>0.0708595824439007</v>
      </c>
      <c r="R779" s="11" t="str">
        <f aca="false">IF(COUNTIF($A$2:A779,A779)&gt;1,"Duplicate - Remove","Unique")</f>
        <v>Unique</v>
      </c>
      <c r="S779" s="11" t="str">
        <f aca="false">TRIM(IF(Raw_Data!G779="","Region missing; ","")&amp;IF(Raw_Data!H779="","Spend imputed; ","")&amp;IF(Raw_Data!L779="","Revenue imputed; ","")&amp;IF(Raw_Data!J779&lt;0,"Clicks corrected; ",""))</f>
        <v/>
      </c>
    </row>
    <row r="780" customFormat="false" ht="15" hidden="false" customHeight="true" outlineLevel="0" collapsed="false">
      <c r="A780" s="11" t="n">
        <f aca="false">Raw_Data!A780</f>
        <v>1799</v>
      </c>
      <c r="B780" s="11" t="str">
        <f aca="false">PROPER(TRIM(Raw_Data!B780))</f>
        <v>Back To College Offer</v>
      </c>
      <c r="C780" s="11" t="str">
        <f aca="false">IFERROR(INDEX(Lookup_Tables!$B$2:$B$26,MATCH(UPPER(TRIM(Raw_Data!C780)),Lookup_Tables!$C$2:$C$26,0)),"Unknown")</f>
        <v>Google Ads</v>
      </c>
      <c r="D780" s="12" t="n">
        <f aca="false">IFERROR(IF(ISNUMBER(SEARCH("/",Raw_Data!D780)),DATE(VALUE(RIGHT(Raw_Data!D780,4)),VALUE(MID(Raw_Data!D780,FIND("/",Raw_Data!D780)+1,FIND("/",Raw_Data!D780,FIND("/",Raw_Data!D780)+1)-FIND("/",Raw_Data!D780)-1)),VALUE(LEFT(Raw_Data!D780,FIND("/",Raw_Data!D780)-1))),IF(ISNUMBER(VALUE(LEFT(Raw_Data!D780,4))),DATE(VALUE(LEFT(Raw_Data!D780,4)),VALUE(MID(Raw_Data!D780,6,2)),VALUE(MID(Raw_Data!D780,9,2))),DATEVALUE(Raw_Data!D780))),"")</f>
        <v>45424</v>
      </c>
      <c r="E780" s="12" t="n">
        <f aca="false">IFERROR(IF(ISNUMBER(SEARCH("/",Raw_Data!E780)),DATE(VALUE(RIGHT(Raw_Data!E780,4)),VALUE(MID(Raw_Data!E780,FIND("/",Raw_Data!E780)+1,FIND("/",Raw_Data!E780,FIND("/",Raw_Data!E780)+1)-FIND("/",Raw_Data!E780)-1)),VALUE(LEFT(Raw_Data!E780,FIND("/",Raw_Data!E780)-1))),IF(ISNUMBER(VALUE(LEFT(Raw_Data!E780,4))),DATE(VALUE(LEFT(Raw_Data!E780,4)),VALUE(MID(Raw_Data!E780,6,2)),VALUE(MID(Raw_Data!E780,9,2))),DATEVALUE(Raw_Data!E780))),"")</f>
        <v>45441</v>
      </c>
      <c r="F780" s="11" t="str">
        <f aca="false">Raw_Data!F780</f>
        <v>Female 35-44</v>
      </c>
      <c r="G780" s="11" t="str">
        <f aca="false">IF(TRIM(Raw_Data!G780)="","Unspecified",IFERROR(INDEX(Lookup_Tables!$F$2:$F$24,MATCH(UPPER(TRIM(Raw_Data!G780)),Lookup_Tables!$G$2:$G$24,0)),"Unknown"))</f>
        <v>North</v>
      </c>
      <c r="H780" s="11" t="n">
        <f aca="false">IF(Raw_Data!H780="",ROUND(AVERAGEIFS(Raw_Data!$H$2:$H$839,Raw_Data!$C$2:$C$839,Raw_Data!C780),2),Raw_Data!H780)</f>
        <v>29646.77</v>
      </c>
      <c r="I780" s="11" t="n">
        <f aca="false">Raw_Data!I780</f>
        <v>1074500</v>
      </c>
      <c r="J780" s="11" t="n">
        <f aca="false">IF(Raw_Data!J780&lt;0,ABS(Raw_Data!J780),Raw_Data!J780)</f>
        <v>37005</v>
      </c>
      <c r="K780" s="11" t="n">
        <f aca="false">Raw_Data!K780</f>
        <v>2895</v>
      </c>
      <c r="L780" s="11" t="n">
        <f aca="false">IF(Raw_Data!L780="",ROUND(AVERAGEIFS(Raw_Data!$L$2:$L$839,Raw_Data!$C$2:$C$839,Raw_Data!C780),2),Raw_Data!L780)</f>
        <v>2540329.48</v>
      </c>
      <c r="M780" s="13" t="n">
        <f aca="false">IFERROR(J780/I780,0)</f>
        <v>0.0344392740809679</v>
      </c>
      <c r="N780" s="14" t="n">
        <f aca="false">IFERROR(H780/J780,0)</f>
        <v>0.801155789758141</v>
      </c>
      <c r="O780" s="14" t="n">
        <f aca="false">IFERROR(H780/K780,0)</f>
        <v>10.2406804835924</v>
      </c>
      <c r="P780" s="15" t="n">
        <f aca="false">IFERROR(L780/H780,0)</f>
        <v>85.6865513511253</v>
      </c>
      <c r="Q780" s="13" t="n">
        <f aca="false">IFERROR(K780/J780,0)</f>
        <v>0.0782326712606405</v>
      </c>
      <c r="R780" s="11" t="str">
        <f aca="false">IF(COUNTIF($A$2:A780,A780)&gt;1,"Duplicate - Remove","Unique")</f>
        <v>Duplicate - Remove</v>
      </c>
      <c r="S780" s="11" t="str">
        <f aca="false">TRIM(IF(Raw_Data!G780="","Region missing; ","")&amp;IF(Raw_Data!H780="","Spend imputed; ","")&amp;IF(Raw_Data!L780="","Revenue imputed; ","")&amp;IF(Raw_Data!J780&lt;0,"Clicks corrected; ",""))</f>
        <v/>
      </c>
    </row>
    <row r="781" customFormat="false" ht="15" hidden="false" customHeight="true" outlineLevel="0" collapsed="false">
      <c r="A781" s="11" t="n">
        <f aca="false">Raw_Data!A781</f>
        <v>1479</v>
      </c>
      <c r="B781" s="11" t="str">
        <f aca="false">PROPER(TRIM(Raw_Data!B781))</f>
        <v>Festive Gift Bundle</v>
      </c>
      <c r="C781" s="11" t="str">
        <f aca="false">IFERROR(INDEX(Lookup_Tables!$B$2:$B$26,MATCH(UPPER(TRIM(Raw_Data!C781)),Lookup_Tables!$C$2:$C$26,0)),"Unknown")</f>
        <v>Email</v>
      </c>
      <c r="D781" s="12" t="n">
        <f aca="false">IFERROR(IF(ISNUMBER(SEARCH("/",Raw_Data!D781)),DATE(VALUE(RIGHT(Raw_Data!D781,4)),VALUE(MID(Raw_Data!D781,FIND("/",Raw_Data!D781)+1,FIND("/",Raw_Data!D781,FIND("/",Raw_Data!D781)+1)-FIND("/",Raw_Data!D781)-1)),VALUE(LEFT(Raw_Data!D781,FIND("/",Raw_Data!D781)-1))),IF(ISNUMBER(VALUE(LEFT(Raw_Data!D781,4))),DATE(VALUE(LEFT(Raw_Data!D781,4)),VALUE(MID(Raw_Data!D781,6,2)),VALUE(MID(Raw_Data!D781,9,2))),DATEVALUE(Raw_Data!D781))),"")</f>
        <v>45312</v>
      </c>
      <c r="E781" s="12" t="n">
        <f aca="false">IFERROR(IF(ISNUMBER(SEARCH("/",Raw_Data!E781)),DATE(VALUE(RIGHT(Raw_Data!E781,4)),VALUE(MID(Raw_Data!E781,FIND("/",Raw_Data!E781)+1,FIND("/",Raw_Data!E781,FIND("/",Raw_Data!E781)+1)-FIND("/",Raw_Data!E781)-1)),VALUE(LEFT(Raw_Data!E781,FIND("/",Raw_Data!E781)-1))),IF(ISNUMBER(VALUE(LEFT(Raw_Data!E781,4))),DATE(VALUE(LEFT(Raw_Data!E781,4)),VALUE(MID(Raw_Data!E781,6,2)),VALUE(MID(Raw_Data!E781,9,2))),DATEVALUE(Raw_Data!E781))),"")</f>
        <v>45321</v>
      </c>
      <c r="F781" s="11" t="str">
        <f aca="false">Raw_Data!F781</f>
        <v>Male 25-34</v>
      </c>
      <c r="G781" s="11" t="str">
        <f aca="false">IF(TRIM(Raw_Data!G781)="","Unspecified",IFERROR(INDEX(Lookup_Tables!$F$2:$F$24,MATCH(UPPER(TRIM(Raw_Data!G781)),Lookup_Tables!$G$2:$G$24,0)),"Unknown"))</f>
        <v>East</v>
      </c>
      <c r="H781" s="11" t="n">
        <f aca="false">IF(Raw_Data!H781="",ROUND(AVERAGEIFS(Raw_Data!$H$2:$H$839,Raw_Data!$C$2:$C$839,Raw_Data!C781),2),Raw_Data!H781)</f>
        <v>3947.39</v>
      </c>
      <c r="I781" s="11" t="n">
        <f aca="false">Raw_Data!I781</f>
        <v>91896</v>
      </c>
      <c r="J781" s="11" t="n">
        <f aca="false">IF(Raw_Data!J781&lt;0,ABS(Raw_Data!J781),Raw_Data!J781)</f>
        <v>546</v>
      </c>
      <c r="K781" s="11" t="n">
        <f aca="false">Raw_Data!K781</f>
        <v>30</v>
      </c>
      <c r="L781" s="11" t="n">
        <f aca="false">IF(Raw_Data!L781="",ROUND(AVERAGEIFS(Raw_Data!$L$2:$L$839,Raw_Data!$C$2:$C$839,Raw_Data!C781),2),Raw_Data!L781)</f>
        <v>51754.35</v>
      </c>
      <c r="M781" s="13" t="n">
        <f aca="false">IFERROR(J781/I781,0)</f>
        <v>0.00594149908592322</v>
      </c>
      <c r="N781" s="14" t="n">
        <f aca="false">IFERROR(H781/J781,0)</f>
        <v>7.22965201465201</v>
      </c>
      <c r="O781" s="14" t="n">
        <f aca="false">IFERROR(H781/K781,0)</f>
        <v>131.579666666667</v>
      </c>
      <c r="P781" s="15" t="n">
        <f aca="false">IFERROR(L781/H781,0)</f>
        <v>13.1110303263676</v>
      </c>
      <c r="Q781" s="13" t="n">
        <f aca="false">IFERROR(K781/J781,0)</f>
        <v>0.0549450549450549</v>
      </c>
      <c r="R781" s="11" t="str">
        <f aca="false">IF(COUNTIF($A$2:A781,A781)&gt;1,"Duplicate - Remove","Unique")</f>
        <v>Unique</v>
      </c>
      <c r="S781" s="11" t="str">
        <f aca="false">TRIM(IF(Raw_Data!G781="","Region missing; ","")&amp;IF(Raw_Data!H781="","Spend imputed; ","")&amp;IF(Raw_Data!L781="","Revenue imputed; ","")&amp;IF(Raw_Data!J781&lt;0,"Clicks corrected; ",""))</f>
        <v/>
      </c>
    </row>
    <row r="782" customFormat="false" ht="15" hidden="false" customHeight="true" outlineLevel="0" collapsed="false">
      <c r="A782" s="11" t="n">
        <f aca="false">Raw_Data!A782</f>
        <v>1446</v>
      </c>
      <c r="B782" s="11" t="str">
        <f aca="false">PROPER(TRIM(Raw_Data!B782))</f>
        <v>Festive Gift Bundle</v>
      </c>
      <c r="C782" s="11" t="str">
        <f aca="false">IFERROR(INDEX(Lookup_Tables!$B$2:$B$26,MATCH(UPPER(TRIM(Raw_Data!C782)),Lookup_Tables!$C$2:$C$26,0)),"Unknown")</f>
        <v>Instagram</v>
      </c>
      <c r="D782" s="12" t="n">
        <f aca="false">IFERROR(IF(ISNUMBER(SEARCH("/",Raw_Data!D782)),DATE(VALUE(RIGHT(Raw_Data!D782,4)),VALUE(MID(Raw_Data!D782,FIND("/",Raw_Data!D782)+1,FIND("/",Raw_Data!D782,FIND("/",Raw_Data!D782)+1)-FIND("/",Raw_Data!D782)-1)),VALUE(LEFT(Raw_Data!D782,FIND("/",Raw_Data!D782)-1))),IF(ISNUMBER(VALUE(LEFT(Raw_Data!D782,4))),DATE(VALUE(LEFT(Raw_Data!D782,4)),VALUE(MID(Raw_Data!D782,6,2)),VALUE(MID(Raw_Data!D782,9,2))),DATEVALUE(Raw_Data!D782))),"")</f>
        <v>45543</v>
      </c>
      <c r="E782" s="12" t="n">
        <f aca="false">IFERROR(IF(ISNUMBER(SEARCH("/",Raw_Data!E782)),DATE(VALUE(RIGHT(Raw_Data!E782,4)),VALUE(MID(Raw_Data!E782,FIND("/",Raw_Data!E782)+1,FIND("/",Raw_Data!E782,FIND("/",Raw_Data!E782)+1)-FIND("/",Raw_Data!E782)-1)),VALUE(LEFT(Raw_Data!E782,FIND("/",Raw_Data!E782)-1))),IF(ISNUMBER(VALUE(LEFT(Raw_Data!E782,4))),DATE(VALUE(LEFT(Raw_Data!E782,4)),VALUE(MID(Raw_Data!E782,6,2)),VALUE(MID(Raw_Data!E782,9,2))),DATEVALUE(Raw_Data!E782))),"")</f>
        <v>45560</v>
      </c>
      <c r="F782" s="11" t="str">
        <f aca="false">Raw_Data!F782</f>
        <v>Male 35-44</v>
      </c>
      <c r="G782" s="11" t="str">
        <f aca="false">IF(TRIM(Raw_Data!G782)="","Unspecified",IFERROR(INDEX(Lookup_Tables!$F$2:$F$24,MATCH(UPPER(TRIM(Raw_Data!G782)),Lookup_Tables!$G$2:$G$24,0)),"Unknown"))</f>
        <v>Unspecified</v>
      </c>
      <c r="H782" s="11" t="n">
        <f aca="false">IF(Raw_Data!H782="",ROUND(AVERAGEIFS(Raw_Data!$H$2:$H$839,Raw_Data!$C$2:$C$839,Raw_Data!C782),2),Raw_Data!H782)</f>
        <v>56894.82</v>
      </c>
      <c r="I782" s="11" t="n">
        <f aca="false">Raw_Data!I782</f>
        <v>2233822</v>
      </c>
      <c r="J782" s="11" t="n">
        <f aca="false">IF(Raw_Data!J782&lt;0,ABS(Raw_Data!J782),Raw_Data!J782)</f>
        <v>36175</v>
      </c>
      <c r="K782" s="11" t="n">
        <f aca="false">Raw_Data!K782</f>
        <v>1601</v>
      </c>
      <c r="L782" s="11" t="n">
        <f aca="false">IF(Raw_Data!L782="",ROUND(AVERAGEIFS(Raw_Data!$L$2:$L$839,Raw_Data!$C$2:$C$839,Raw_Data!C782),2),Raw_Data!L782)</f>
        <v>2048512.56</v>
      </c>
      <c r="M782" s="13" t="n">
        <f aca="false">IFERROR(J782/I782,0)</f>
        <v>0.0161942178024928</v>
      </c>
      <c r="N782" s="14" t="n">
        <f aca="false">IFERROR(H782/J782,0)</f>
        <v>1.57276627505183</v>
      </c>
      <c r="O782" s="14" t="n">
        <f aca="false">IFERROR(H782/K782,0)</f>
        <v>35.5370518425984</v>
      </c>
      <c r="P782" s="15" t="n">
        <f aca="false">IFERROR(L782/H782,0)</f>
        <v>36.0052560145194</v>
      </c>
      <c r="Q782" s="13" t="n">
        <f aca="false">IFERROR(K782/J782,0)</f>
        <v>0.0442570836212854</v>
      </c>
      <c r="R782" s="11" t="str">
        <f aca="false">IF(COUNTIF($A$2:A782,A782)&gt;1,"Duplicate - Remove","Unique")</f>
        <v>Unique</v>
      </c>
      <c r="S782" s="11" t="str">
        <f aca="false">TRIM(IF(Raw_Data!G782="","Region missing; ","")&amp;IF(Raw_Data!H782="","Spend imputed; ","")&amp;IF(Raw_Data!L782="","Revenue imputed; ","")&amp;IF(Raw_Data!J782&lt;0,"Clicks corrected; ",""))</f>
        <v>Region missing;</v>
      </c>
    </row>
    <row r="783" customFormat="false" ht="15" hidden="false" customHeight="true" outlineLevel="0" collapsed="false">
      <c r="A783" s="11" t="n">
        <f aca="false">Raw_Data!A783</f>
        <v>1520</v>
      </c>
      <c r="B783" s="11" t="str">
        <f aca="false">PROPER(TRIM(Raw_Data!B783))</f>
        <v>Summer Glow Launch</v>
      </c>
      <c r="C783" s="11" t="str">
        <f aca="false">IFERROR(INDEX(Lookup_Tables!$B$2:$B$26,MATCH(UPPER(TRIM(Raw_Data!C783)),Lookup_Tables!$C$2:$C$26,0)),"Unknown")</f>
        <v>Instagram</v>
      </c>
      <c r="D783" s="12" t="n">
        <f aca="false">IFERROR(IF(ISNUMBER(SEARCH("/",Raw_Data!D783)),DATE(VALUE(RIGHT(Raw_Data!D783,4)),VALUE(MID(Raw_Data!D783,FIND("/",Raw_Data!D783)+1,FIND("/",Raw_Data!D783,FIND("/",Raw_Data!D783)+1)-FIND("/",Raw_Data!D783)-1)),VALUE(LEFT(Raw_Data!D783,FIND("/",Raw_Data!D783)-1))),IF(ISNUMBER(VALUE(LEFT(Raw_Data!D783,4))),DATE(VALUE(LEFT(Raw_Data!D783,4)),VALUE(MID(Raw_Data!D783,6,2)),VALUE(MID(Raw_Data!D783,9,2))),DATEVALUE(Raw_Data!D783))),"")</f>
        <v>45584</v>
      </c>
      <c r="E783" s="12" t="n">
        <f aca="false">IFERROR(IF(ISNUMBER(SEARCH("/",Raw_Data!E783)),DATE(VALUE(RIGHT(Raw_Data!E783,4)),VALUE(MID(Raw_Data!E783,FIND("/",Raw_Data!E783)+1,FIND("/",Raw_Data!E783,FIND("/",Raw_Data!E783)+1)-FIND("/",Raw_Data!E783)-1)),VALUE(LEFT(Raw_Data!E783,FIND("/",Raw_Data!E783)-1))),IF(ISNUMBER(VALUE(LEFT(Raw_Data!E783,4))),DATE(VALUE(LEFT(Raw_Data!E783,4)),VALUE(MID(Raw_Data!E783,6,2)),VALUE(MID(Raw_Data!E783,9,2))),DATEVALUE(Raw_Data!E783))),"")</f>
        <v>45602</v>
      </c>
      <c r="F783" s="11" t="str">
        <f aca="false">Raw_Data!F783</f>
        <v>Female 35-44</v>
      </c>
      <c r="G783" s="11" t="str">
        <f aca="false">IF(TRIM(Raw_Data!G783)="","Unspecified",IFERROR(INDEX(Lookup_Tables!$F$2:$F$24,MATCH(UPPER(TRIM(Raw_Data!G783)),Lookup_Tables!$G$2:$G$24,0)),"Unknown"))</f>
        <v>Central</v>
      </c>
      <c r="H783" s="11" t="n">
        <f aca="false">IF(Raw_Data!H783="",ROUND(AVERAGEIFS(Raw_Data!$H$2:$H$839,Raw_Data!$C$2:$C$839,Raw_Data!C783),2),Raw_Data!H783)</f>
        <v>36898.46</v>
      </c>
      <c r="I783" s="11" t="n">
        <f aca="false">Raw_Data!I783</f>
        <v>914493</v>
      </c>
      <c r="J783" s="11" t="n">
        <f aca="false">IF(Raw_Data!J783&lt;0,ABS(Raw_Data!J783),Raw_Data!J783)</f>
        <v>21479</v>
      </c>
      <c r="K783" s="11" t="n">
        <f aca="false">Raw_Data!K783</f>
        <v>806</v>
      </c>
      <c r="L783" s="11" t="n">
        <f aca="false">IF(Raw_Data!L783="",ROUND(AVERAGEIFS(Raw_Data!$L$2:$L$839,Raw_Data!$C$2:$C$839,Raw_Data!C783),2),Raw_Data!L783)</f>
        <v>342382.71</v>
      </c>
      <c r="M783" s="13" t="n">
        <f aca="false">IFERROR(J783/I783,0)</f>
        <v>0.0234873312316223</v>
      </c>
      <c r="N783" s="14" t="n">
        <f aca="false">IFERROR(H783/J783,0)</f>
        <v>1.71788537641417</v>
      </c>
      <c r="O783" s="14" t="n">
        <f aca="false">IFERROR(H783/K783,0)</f>
        <v>45.7797270471464</v>
      </c>
      <c r="P783" s="15" t="n">
        <f aca="false">IFERROR(L783/H783,0)</f>
        <v>9.27905148344945</v>
      </c>
      <c r="Q783" s="13" t="n">
        <f aca="false">IFERROR(K783/J783,0)</f>
        <v>0.0375250244424787</v>
      </c>
      <c r="R783" s="11" t="str">
        <f aca="false">IF(COUNTIF($A$2:A783,A783)&gt;1,"Duplicate - Remove","Unique")</f>
        <v>Unique</v>
      </c>
      <c r="S783" s="11" t="str">
        <f aca="false">TRIM(IF(Raw_Data!G783="","Region missing; ","")&amp;IF(Raw_Data!H783="","Spend imputed; ","")&amp;IF(Raw_Data!L783="","Revenue imputed; ","")&amp;IF(Raw_Data!J783&lt;0,"Clicks corrected; ",""))</f>
        <v/>
      </c>
    </row>
    <row r="784" customFormat="false" ht="15" hidden="false" customHeight="true" outlineLevel="0" collapsed="false">
      <c r="A784" s="11" t="n">
        <f aca="false">Raw_Data!A784</f>
        <v>1042</v>
      </c>
      <c r="B784" s="11" t="str">
        <f aca="false">PROPER(TRIM(Raw_Data!B784))</f>
        <v>Influencer Collab - Skincare</v>
      </c>
      <c r="C784" s="11" t="str">
        <f aca="false">IFERROR(INDEX(Lookup_Tables!$B$2:$B$26,MATCH(UPPER(TRIM(Raw_Data!C784)),Lookup_Tables!$C$2:$C$26,0)),"Unknown")</f>
        <v>YouTube</v>
      </c>
      <c r="D784" s="12" t="n">
        <f aca="false">IFERROR(IF(ISNUMBER(SEARCH("/",Raw_Data!D784)),DATE(VALUE(RIGHT(Raw_Data!D784,4)),VALUE(MID(Raw_Data!D784,FIND("/",Raw_Data!D784)+1,FIND("/",Raw_Data!D784,FIND("/",Raw_Data!D784)+1)-FIND("/",Raw_Data!D784)-1)),VALUE(LEFT(Raw_Data!D784,FIND("/",Raw_Data!D784)-1))),IF(ISNUMBER(VALUE(LEFT(Raw_Data!D784,4))),DATE(VALUE(LEFT(Raw_Data!D784,4)),VALUE(MID(Raw_Data!D784,6,2)),VALUE(MID(Raw_Data!D784,9,2))),DATEVALUE(Raw_Data!D784))),"")</f>
        <v>45617</v>
      </c>
      <c r="E784" s="12" t="n">
        <f aca="false">IFERROR(IF(ISNUMBER(SEARCH("/",Raw_Data!E784)),DATE(VALUE(RIGHT(Raw_Data!E784,4)),VALUE(MID(Raw_Data!E784,FIND("/",Raw_Data!E784)+1,FIND("/",Raw_Data!E784,FIND("/",Raw_Data!E784)+1)-FIND("/",Raw_Data!E784)-1)),VALUE(LEFT(Raw_Data!E784,FIND("/",Raw_Data!E784)-1))),IF(ISNUMBER(VALUE(LEFT(Raw_Data!E784,4))),DATE(VALUE(LEFT(Raw_Data!E784,4)),VALUE(MID(Raw_Data!E784,6,2)),VALUE(MID(Raw_Data!E784,9,2))),DATEVALUE(Raw_Data!E784))),"")</f>
        <v>45637</v>
      </c>
      <c r="F784" s="11" t="str">
        <f aca="false">Raw_Data!F784</f>
        <v>Female 45+</v>
      </c>
      <c r="G784" s="11" t="str">
        <f aca="false">IF(TRIM(Raw_Data!G784)="","Unspecified",IFERROR(INDEX(Lookup_Tables!$F$2:$F$24,MATCH(UPPER(TRIM(Raw_Data!G784)),Lookup_Tables!$G$2:$G$24,0)),"Unknown"))</f>
        <v>West</v>
      </c>
      <c r="H784" s="11" t="n">
        <f aca="false">IF(Raw_Data!H784="",ROUND(AVERAGEIFS(Raw_Data!$H$2:$H$839,Raw_Data!$C$2:$C$839,Raw_Data!C784),2),Raw_Data!H784)</f>
        <v>50250.78</v>
      </c>
      <c r="I784" s="11" t="n">
        <f aca="false">Raw_Data!I784</f>
        <v>1266756</v>
      </c>
      <c r="J784" s="11" t="n">
        <f aca="false">IF(Raw_Data!J784&lt;0,ABS(Raw_Data!J784),Raw_Data!J784)</f>
        <v>18534</v>
      </c>
      <c r="K784" s="11" t="n">
        <f aca="false">Raw_Data!K784</f>
        <v>321</v>
      </c>
      <c r="L784" s="11" t="n">
        <f aca="false">IF(Raw_Data!L784="",ROUND(AVERAGEIFS(Raw_Data!$L$2:$L$839,Raw_Data!$C$2:$C$839,Raw_Data!C784),2),Raw_Data!L784)</f>
        <v>187205.93</v>
      </c>
      <c r="M784" s="13" t="n">
        <f aca="false">IFERROR(J784/I784,0)</f>
        <v>0.0146310733874558</v>
      </c>
      <c r="N784" s="14" t="n">
        <f aca="false">IFERROR(H784/J784,0)</f>
        <v>2.71127549368728</v>
      </c>
      <c r="O784" s="14" t="n">
        <f aca="false">IFERROR(H784/K784,0)</f>
        <v>156.544485981308</v>
      </c>
      <c r="P784" s="15" t="n">
        <f aca="false">IFERROR(L784/H784,0)</f>
        <v>3.72543331665698</v>
      </c>
      <c r="Q784" s="13" t="n">
        <f aca="false">IFERROR(K784/J784,0)</f>
        <v>0.0173195208805439</v>
      </c>
      <c r="R784" s="11" t="str">
        <f aca="false">IF(COUNTIF($A$2:A784,A784)&gt;1,"Duplicate - Remove","Unique")</f>
        <v>Unique</v>
      </c>
      <c r="S784" s="11" t="str">
        <f aca="false">TRIM(IF(Raw_Data!G784="","Region missing; ","")&amp;IF(Raw_Data!H784="","Spend imputed; ","")&amp;IF(Raw_Data!L784="","Revenue imputed; ","")&amp;IF(Raw_Data!J784&lt;0,"Clicks corrected; ",""))</f>
        <v/>
      </c>
    </row>
    <row r="785" customFormat="false" ht="15" hidden="false" customHeight="true" outlineLevel="0" collapsed="false">
      <c r="A785" s="11" t="n">
        <f aca="false">Raw_Data!A785</f>
        <v>1481</v>
      </c>
      <c r="B785" s="11" t="str">
        <f aca="false">PROPER(TRIM(Raw_Data!B785))</f>
        <v>Anti-Ageing Serum Push</v>
      </c>
      <c r="C785" s="11" t="str">
        <f aca="false">IFERROR(INDEX(Lookup_Tables!$B$2:$B$26,MATCH(UPPER(TRIM(Raw_Data!C785)),Lookup_Tables!$C$2:$C$26,0)),"Unknown")</f>
        <v>YouTube</v>
      </c>
      <c r="D785" s="12" t="n">
        <f aca="false">IFERROR(IF(ISNUMBER(SEARCH("/",Raw_Data!D785)),DATE(VALUE(RIGHT(Raw_Data!D785,4)),VALUE(MID(Raw_Data!D785,FIND("/",Raw_Data!D785)+1,FIND("/",Raw_Data!D785,FIND("/",Raw_Data!D785)+1)-FIND("/",Raw_Data!D785)-1)),VALUE(LEFT(Raw_Data!D785,FIND("/",Raw_Data!D785)-1))),IF(ISNUMBER(VALUE(LEFT(Raw_Data!D785,4))),DATE(VALUE(LEFT(Raw_Data!D785,4)),VALUE(MID(Raw_Data!D785,6,2)),VALUE(MID(Raw_Data!D785,9,2))),DATEVALUE(Raw_Data!D785))),"")</f>
        <v>45553</v>
      </c>
      <c r="E785" s="12" t="n">
        <f aca="false">IFERROR(IF(ISNUMBER(SEARCH("/",Raw_Data!E785)),DATE(VALUE(RIGHT(Raw_Data!E785,4)),VALUE(MID(Raw_Data!E785,FIND("/",Raw_Data!E785)+1,FIND("/",Raw_Data!E785,FIND("/",Raw_Data!E785)+1)-FIND("/",Raw_Data!E785)-1)),VALUE(LEFT(Raw_Data!E785,FIND("/",Raw_Data!E785)-1))),IF(ISNUMBER(VALUE(LEFT(Raw_Data!E785,4))),DATE(VALUE(LEFT(Raw_Data!E785,4)),VALUE(MID(Raw_Data!E785,6,2)),VALUE(MID(Raw_Data!E785,9,2))),DATEVALUE(Raw_Data!E785))),"")</f>
        <v>45563</v>
      </c>
      <c r="F785" s="11" t="str">
        <f aca="false">Raw_Data!F785</f>
        <v>Female 35-44</v>
      </c>
      <c r="G785" s="11" t="str">
        <f aca="false">IF(TRIM(Raw_Data!G785)="","Unspecified",IFERROR(INDEX(Lookup_Tables!$F$2:$F$24,MATCH(UPPER(TRIM(Raw_Data!G785)),Lookup_Tables!$G$2:$G$24,0)),"Unknown"))</f>
        <v>North</v>
      </c>
      <c r="H785" s="11" t="n">
        <f aca="false">IF(Raw_Data!H785="",ROUND(AVERAGEIFS(Raw_Data!$H$2:$H$839,Raw_Data!$C$2:$C$839,Raw_Data!C785),2),Raw_Data!H785)</f>
        <v>36085.41</v>
      </c>
      <c r="I785" s="11" t="n">
        <f aca="false">Raw_Data!I785</f>
        <v>645044</v>
      </c>
      <c r="J785" s="11" t="n">
        <f aca="false">IF(Raw_Data!J785&lt;0,ABS(Raw_Data!J785),Raw_Data!J785)</f>
        <v>8324</v>
      </c>
      <c r="K785" s="11" t="n">
        <f aca="false">Raw_Data!K785</f>
        <v>491</v>
      </c>
      <c r="L785" s="11" t="n">
        <f aca="false">IF(Raw_Data!L785="",ROUND(AVERAGEIFS(Raw_Data!$L$2:$L$839,Raw_Data!$C$2:$C$839,Raw_Data!C785),2),Raw_Data!L785)</f>
        <v>646243.96</v>
      </c>
      <c r="M785" s="13" t="n">
        <f aca="false">IFERROR(J785/I785,0)</f>
        <v>0.0129045460464712</v>
      </c>
      <c r="N785" s="14" t="n">
        <f aca="false">IFERROR(H785/J785,0)</f>
        <v>4.33510451705911</v>
      </c>
      <c r="O785" s="14" t="n">
        <f aca="false">IFERROR(H785/K785,0)</f>
        <v>73.4937067209776</v>
      </c>
      <c r="P785" s="15" t="n">
        <f aca="false">IFERROR(L785/H785,0)</f>
        <v>17.9087326429158</v>
      </c>
      <c r="Q785" s="13" t="n">
        <f aca="false">IFERROR(K785/J785,0)</f>
        <v>0.0589860643921192</v>
      </c>
      <c r="R785" s="11" t="str">
        <f aca="false">IF(COUNTIF($A$2:A785,A785)&gt;1,"Duplicate - Remove","Unique")</f>
        <v>Unique</v>
      </c>
      <c r="S785" s="11" t="str">
        <f aca="false">TRIM(IF(Raw_Data!G785="","Region missing; ","")&amp;IF(Raw_Data!H785="","Spend imputed; ","")&amp;IF(Raw_Data!L785="","Revenue imputed; ","")&amp;IF(Raw_Data!J785&lt;0,"Clicks corrected; ",""))</f>
        <v/>
      </c>
    </row>
    <row r="786" customFormat="false" ht="15" hidden="false" customHeight="true" outlineLevel="0" collapsed="false">
      <c r="A786" s="11" t="n">
        <f aca="false">Raw_Data!A786</f>
        <v>1817</v>
      </c>
      <c r="B786" s="11" t="str">
        <f aca="false">PROPER(TRIM(Raw_Data!B786))</f>
        <v>Monsoon Skincare Push</v>
      </c>
      <c r="C786" s="11" t="str">
        <f aca="false">IFERROR(INDEX(Lookup_Tables!$B$2:$B$26,MATCH(UPPER(TRIM(Raw_Data!C786)),Lookup_Tables!$C$2:$C$26,0)),"Unknown")</f>
        <v>Facebook</v>
      </c>
      <c r="D786" s="12" t="n">
        <f aca="false">IFERROR(IF(ISNUMBER(SEARCH("/",Raw_Data!D786)),DATE(VALUE(RIGHT(Raw_Data!D786,4)),VALUE(MID(Raw_Data!D786,FIND("/",Raw_Data!D786)+1,FIND("/",Raw_Data!D786,FIND("/",Raw_Data!D786)+1)-FIND("/",Raw_Data!D786)-1)),VALUE(LEFT(Raw_Data!D786,FIND("/",Raw_Data!D786)-1))),IF(ISNUMBER(VALUE(LEFT(Raw_Data!D786,4))),DATE(VALUE(LEFT(Raw_Data!D786,4)),VALUE(MID(Raw_Data!D786,6,2)),VALUE(MID(Raw_Data!D786,9,2))),DATEVALUE(Raw_Data!D786))),"")</f>
        <v>45523</v>
      </c>
      <c r="E786" s="12" t="n">
        <f aca="false">IFERROR(IF(ISNUMBER(SEARCH("/",Raw_Data!E786)),DATE(VALUE(RIGHT(Raw_Data!E786,4)),VALUE(MID(Raw_Data!E786,FIND("/",Raw_Data!E786)+1,FIND("/",Raw_Data!E786,FIND("/",Raw_Data!E786)+1)-FIND("/",Raw_Data!E786)-1)),VALUE(LEFT(Raw_Data!E786,FIND("/",Raw_Data!E786)-1))),IF(ISNUMBER(VALUE(LEFT(Raw_Data!E786,4))),DATE(VALUE(LEFT(Raw_Data!E786,4)),VALUE(MID(Raw_Data!E786,6,2)),VALUE(MID(Raw_Data!E786,9,2))),DATEVALUE(Raw_Data!E786))),"")</f>
        <v>45533</v>
      </c>
      <c r="F786" s="11" t="str">
        <f aca="false">Raw_Data!F786</f>
        <v>Male 35-44</v>
      </c>
      <c r="G786" s="11" t="str">
        <f aca="false">IF(TRIM(Raw_Data!G786)="","Unspecified",IFERROR(INDEX(Lookup_Tables!$F$2:$F$24,MATCH(UPPER(TRIM(Raw_Data!G786)),Lookup_Tables!$G$2:$G$24,0)),"Unknown"))</f>
        <v>South</v>
      </c>
      <c r="H786" s="11" t="n">
        <f aca="false">IF(Raw_Data!H786="",ROUND(AVERAGEIFS(Raw_Data!$H$2:$H$839,Raw_Data!$C$2:$C$839,Raw_Data!C786),2),Raw_Data!H786)</f>
        <v>29445.3</v>
      </c>
      <c r="I786" s="11" t="n">
        <f aca="false">Raw_Data!I786</f>
        <v>859282</v>
      </c>
      <c r="J786" s="11" t="n">
        <f aca="false">IF(Raw_Data!J786&lt;0,ABS(Raw_Data!J786),Raw_Data!J786)</f>
        <v>28879</v>
      </c>
      <c r="K786" s="11" t="n">
        <f aca="false">Raw_Data!K786</f>
        <v>1147</v>
      </c>
      <c r="L786" s="11" t="n">
        <f aca="false">IF(Raw_Data!L786="",ROUND(AVERAGEIFS(Raw_Data!$L$2:$L$839,Raw_Data!$C$2:$C$839,Raw_Data!C786),2),Raw_Data!L786)</f>
        <v>1417549.42</v>
      </c>
      <c r="M786" s="13" t="n">
        <f aca="false">IFERROR(J786/I786,0)</f>
        <v>0.0336082915736627</v>
      </c>
      <c r="N786" s="14" t="n">
        <f aca="false">IFERROR(H786/J786,0)</f>
        <v>1.01960940475778</v>
      </c>
      <c r="O786" s="14" t="n">
        <f aca="false">IFERROR(H786/K786,0)</f>
        <v>25.6715780296425</v>
      </c>
      <c r="P786" s="15" t="n">
        <f aca="false">IFERROR(L786/H786,0)</f>
        <v>48.1417890121683</v>
      </c>
      <c r="Q786" s="13" t="n">
        <f aca="false">IFERROR(K786/J786,0)</f>
        <v>0.0397174417396724</v>
      </c>
      <c r="R786" s="11" t="str">
        <f aca="false">IF(COUNTIF($A$2:A786,A786)&gt;1,"Duplicate - Remove","Unique")</f>
        <v>Unique</v>
      </c>
      <c r="S786" s="11" t="str">
        <f aca="false">TRIM(IF(Raw_Data!G786="","Region missing; ","")&amp;IF(Raw_Data!H786="","Spend imputed; ","")&amp;IF(Raw_Data!L786="","Revenue imputed; ","")&amp;IF(Raw_Data!J786&lt;0,"Clicks corrected; ",""))</f>
        <v/>
      </c>
    </row>
    <row r="787" customFormat="false" ht="15" hidden="false" customHeight="true" outlineLevel="0" collapsed="false">
      <c r="A787" s="11" t="n">
        <f aca="false">Raw_Data!A787</f>
        <v>1322</v>
      </c>
      <c r="B787" s="11" t="str">
        <f aca="false">PROPER(TRIM(Raw_Data!B787))</f>
        <v>Men'S Grooming Drive</v>
      </c>
      <c r="C787" s="11" t="str">
        <f aca="false">IFERROR(INDEX(Lookup_Tables!$B$2:$B$26,MATCH(UPPER(TRIM(Raw_Data!C787)),Lookup_Tables!$C$2:$C$26,0)),"Unknown")</f>
        <v>YouTube</v>
      </c>
      <c r="D787" s="12" t="n">
        <f aca="false">IFERROR(IF(ISNUMBER(SEARCH("/",Raw_Data!D787)),DATE(VALUE(RIGHT(Raw_Data!D787,4)),VALUE(MID(Raw_Data!D787,FIND("/",Raw_Data!D787)+1,FIND("/",Raw_Data!D787,FIND("/",Raw_Data!D787)+1)-FIND("/",Raw_Data!D787)-1)),VALUE(LEFT(Raw_Data!D787,FIND("/",Raw_Data!D787)-1))),IF(ISNUMBER(VALUE(LEFT(Raw_Data!D787,4))),DATE(VALUE(LEFT(Raw_Data!D787,4)),VALUE(MID(Raw_Data!D787,6,2)),VALUE(MID(Raw_Data!D787,9,2))),DATEVALUE(Raw_Data!D787))),"")</f>
        <v>45404</v>
      </c>
      <c r="E787" s="12" t="n">
        <f aca="false">IFERROR(IF(ISNUMBER(SEARCH("/",Raw_Data!E787)),DATE(VALUE(RIGHT(Raw_Data!E787,4)),VALUE(MID(Raw_Data!E787,FIND("/",Raw_Data!E787)+1,FIND("/",Raw_Data!E787,FIND("/",Raw_Data!E787)+1)-FIND("/",Raw_Data!E787)-1)),VALUE(LEFT(Raw_Data!E787,FIND("/",Raw_Data!E787)-1))),IF(ISNUMBER(VALUE(LEFT(Raw_Data!E787,4))),DATE(VALUE(LEFT(Raw_Data!E787,4)),VALUE(MID(Raw_Data!E787,6,2)),VALUE(MID(Raw_Data!E787,9,2))),DATEVALUE(Raw_Data!E787))),"")</f>
        <v>45418</v>
      </c>
      <c r="F787" s="11" t="str">
        <f aca="false">Raw_Data!F787</f>
        <v>Male 35-44</v>
      </c>
      <c r="G787" s="11" t="str">
        <f aca="false">IF(TRIM(Raw_Data!G787)="","Unspecified",IFERROR(INDEX(Lookup_Tables!$F$2:$F$24,MATCH(UPPER(TRIM(Raw_Data!G787)),Lookup_Tables!$G$2:$G$24,0)),"Unknown"))</f>
        <v>West</v>
      </c>
      <c r="H787" s="11" t="n">
        <f aca="false">IF(Raw_Data!H787="",ROUND(AVERAGEIFS(Raw_Data!$H$2:$H$839,Raw_Data!$C$2:$C$839,Raw_Data!C787),2),Raw_Data!H787)</f>
        <v>26759.11</v>
      </c>
      <c r="I787" s="11" t="n">
        <f aca="false">Raw_Data!I787</f>
        <v>932933</v>
      </c>
      <c r="J787" s="11" t="n">
        <f aca="false">IF(Raw_Data!J787&lt;0,ABS(Raw_Data!J787),Raw_Data!J787)</f>
        <v>31330</v>
      </c>
      <c r="K787" s="11" t="n">
        <f aca="false">Raw_Data!K787</f>
        <v>2299</v>
      </c>
      <c r="L787" s="11" t="n">
        <f aca="false">IF(Raw_Data!L787="",ROUND(AVERAGEIFS(Raw_Data!$L$2:$L$839,Raw_Data!$C$2:$C$839,Raw_Data!C787),2),Raw_Data!L787)</f>
        <v>2731846.75</v>
      </c>
      <c r="M787" s="13" t="n">
        <f aca="false">IFERROR(J787/I787,0)</f>
        <v>0.0335822615343224</v>
      </c>
      <c r="N787" s="14" t="n">
        <f aca="false">IFERROR(H787/J787,0)</f>
        <v>0.854105011171401</v>
      </c>
      <c r="O787" s="14" t="n">
        <f aca="false">IFERROR(H787/K787,0)</f>
        <v>11.6394562853415</v>
      </c>
      <c r="P787" s="15" t="n">
        <f aca="false">IFERROR(L787/H787,0)</f>
        <v>102.090344185588</v>
      </c>
      <c r="Q787" s="13" t="n">
        <f aca="false">IFERROR(K787/J787,0)</f>
        <v>0.0733801468241302</v>
      </c>
      <c r="R787" s="11" t="str">
        <f aca="false">IF(COUNTIF($A$2:A787,A787)&gt;1,"Duplicate - Remove","Unique")</f>
        <v>Unique</v>
      </c>
      <c r="S787" s="11" t="str">
        <f aca="false">TRIM(IF(Raw_Data!G787="","Region missing; ","")&amp;IF(Raw_Data!H787="","Spend imputed; ","")&amp;IF(Raw_Data!L787="","Revenue imputed; ","")&amp;IF(Raw_Data!J787&lt;0,"Clicks corrected; ",""))</f>
        <v/>
      </c>
    </row>
    <row r="788" customFormat="false" ht="15" hidden="false" customHeight="true" outlineLevel="0" collapsed="false">
      <c r="A788" s="11" t="n">
        <f aca="false">Raw_Data!A788</f>
        <v>1044</v>
      </c>
      <c r="B788" s="11" t="str">
        <f aca="false">PROPER(TRIM(Raw_Data!B788))</f>
        <v>Festive Gift Bundle</v>
      </c>
      <c r="C788" s="11" t="str">
        <f aca="false">IFERROR(INDEX(Lookup_Tables!$B$2:$B$26,MATCH(UPPER(TRIM(Raw_Data!C788)),Lookup_Tables!$C$2:$C$26,0)),"Unknown")</f>
        <v>Google Ads</v>
      </c>
      <c r="D788" s="12" t="n">
        <f aca="false">IFERROR(IF(ISNUMBER(SEARCH("/",Raw_Data!D788)),DATE(VALUE(RIGHT(Raw_Data!D788,4)),VALUE(MID(Raw_Data!D788,FIND("/",Raw_Data!D788)+1,FIND("/",Raw_Data!D788,FIND("/",Raw_Data!D788)+1)-FIND("/",Raw_Data!D788)-1)),VALUE(LEFT(Raw_Data!D788,FIND("/",Raw_Data!D788)-1))),IF(ISNUMBER(VALUE(LEFT(Raw_Data!D788,4))),DATE(VALUE(LEFT(Raw_Data!D788,4)),VALUE(MID(Raw_Data!D788,6,2)),VALUE(MID(Raw_Data!D788,9,2))),DATEVALUE(Raw_Data!D788))),"")</f>
        <v>45373</v>
      </c>
      <c r="E788" s="12" t="n">
        <f aca="false">IFERROR(IF(ISNUMBER(SEARCH("/",Raw_Data!E788)),DATE(VALUE(RIGHT(Raw_Data!E788,4)),VALUE(MID(Raw_Data!E788,FIND("/",Raw_Data!E788)+1,FIND("/",Raw_Data!E788,FIND("/",Raw_Data!E788)+1)-FIND("/",Raw_Data!E788)-1)),VALUE(LEFT(Raw_Data!E788,FIND("/",Raw_Data!E788)-1))),IF(ISNUMBER(VALUE(LEFT(Raw_Data!E788,4))),DATE(VALUE(LEFT(Raw_Data!E788,4)),VALUE(MID(Raw_Data!E788,6,2)),VALUE(MID(Raw_Data!E788,9,2))),DATEVALUE(Raw_Data!E788))),"")</f>
        <v>45387</v>
      </c>
      <c r="F788" s="11" t="str">
        <f aca="false">Raw_Data!F788</f>
        <v>Male 18-24</v>
      </c>
      <c r="G788" s="11" t="str">
        <f aca="false">IF(TRIM(Raw_Data!G788)="","Unspecified",IFERROR(INDEX(Lookup_Tables!$F$2:$F$24,MATCH(UPPER(TRIM(Raw_Data!G788)),Lookup_Tables!$G$2:$G$24,0)),"Unknown"))</f>
        <v>Unspecified</v>
      </c>
      <c r="H788" s="11" t="n">
        <f aca="false">IF(Raw_Data!H788="",ROUND(AVERAGEIFS(Raw_Data!$H$2:$H$839,Raw_Data!$C$2:$C$839,Raw_Data!C788),2),Raw_Data!H788)</f>
        <v>10957.21</v>
      </c>
      <c r="I788" s="11" t="n">
        <f aca="false">Raw_Data!I788</f>
        <v>276119</v>
      </c>
      <c r="J788" s="11" t="n">
        <f aca="false">IF(Raw_Data!J788&lt;0,ABS(Raw_Data!J788),Raw_Data!J788)</f>
        <v>3241</v>
      </c>
      <c r="K788" s="11" t="n">
        <f aca="false">Raw_Data!K788</f>
        <v>223</v>
      </c>
      <c r="L788" s="11" t="n">
        <f aca="false">IF(Raw_Data!L788="",ROUND(AVERAGEIFS(Raw_Data!$L$2:$L$839,Raw_Data!$C$2:$C$839,Raw_Data!C788),2),Raw_Data!L788)</f>
        <v>114737.65</v>
      </c>
      <c r="M788" s="13" t="n">
        <f aca="false">IFERROR(J788/I788,0)</f>
        <v>0.0117376928063625</v>
      </c>
      <c r="N788" s="14" t="n">
        <f aca="false">IFERROR(H788/J788,0)</f>
        <v>3.38081147793891</v>
      </c>
      <c r="O788" s="14" t="n">
        <f aca="false">IFERROR(H788/K788,0)</f>
        <v>49.1354708520179</v>
      </c>
      <c r="P788" s="15" t="n">
        <f aca="false">IFERROR(L788/H788,0)</f>
        <v>10.4714293145792</v>
      </c>
      <c r="Q788" s="13" t="n">
        <f aca="false">IFERROR(K788/J788,0)</f>
        <v>0.0688059240975008</v>
      </c>
      <c r="R788" s="11" t="str">
        <f aca="false">IF(COUNTIF($A$2:A788,A788)&gt;1,"Duplicate - Remove","Unique")</f>
        <v>Unique</v>
      </c>
      <c r="S788" s="11" t="str">
        <f aca="false">TRIM(IF(Raw_Data!G788="","Region missing; ","")&amp;IF(Raw_Data!H788="","Spend imputed; ","")&amp;IF(Raw_Data!L788="","Revenue imputed; ","")&amp;IF(Raw_Data!J788&lt;0,"Clicks corrected; ",""))</f>
        <v>Region missing;</v>
      </c>
    </row>
    <row r="789" customFormat="false" ht="15" hidden="false" customHeight="true" outlineLevel="0" collapsed="false">
      <c r="A789" s="11" t="n">
        <f aca="false">Raw_Data!A789</f>
        <v>1637</v>
      </c>
      <c r="B789" s="11" t="str">
        <f aca="false">PROPER(TRIM(Raw_Data!B789))</f>
        <v>Herbal Range Awareness</v>
      </c>
      <c r="C789" s="11" t="str">
        <f aca="false">IFERROR(INDEX(Lookup_Tables!$B$2:$B$26,MATCH(UPPER(TRIM(Raw_Data!C789)),Lookup_Tables!$C$2:$C$26,0)),"Unknown")</f>
        <v>Facebook</v>
      </c>
      <c r="D789" s="12" t="n">
        <f aca="false">IFERROR(IF(ISNUMBER(SEARCH("/",Raw_Data!D789)),DATE(VALUE(RIGHT(Raw_Data!D789,4)),VALUE(MID(Raw_Data!D789,FIND("/",Raw_Data!D789)+1,FIND("/",Raw_Data!D789,FIND("/",Raw_Data!D789)+1)-FIND("/",Raw_Data!D789)-1)),VALUE(LEFT(Raw_Data!D789,FIND("/",Raw_Data!D789)-1))),IF(ISNUMBER(VALUE(LEFT(Raw_Data!D789,4))),DATE(VALUE(LEFT(Raw_Data!D789,4)),VALUE(MID(Raw_Data!D789,6,2)),VALUE(MID(Raw_Data!D789,9,2))),DATEVALUE(Raw_Data!D789))),"")</f>
        <v>45363</v>
      </c>
      <c r="E789" s="12" t="n">
        <f aca="false">IFERROR(IF(ISNUMBER(SEARCH("/",Raw_Data!E789)),DATE(VALUE(RIGHT(Raw_Data!E789,4)),VALUE(MID(Raw_Data!E789,FIND("/",Raw_Data!E789)+1,FIND("/",Raw_Data!E789,FIND("/",Raw_Data!E789)+1)-FIND("/",Raw_Data!E789)-1)),VALUE(LEFT(Raw_Data!E789,FIND("/",Raw_Data!E789)-1))),IF(ISNUMBER(VALUE(LEFT(Raw_Data!E789,4))),DATE(VALUE(LEFT(Raw_Data!E789,4)),VALUE(MID(Raw_Data!E789,6,2)),VALUE(MID(Raw_Data!E789,9,2))),DATEVALUE(Raw_Data!E789))),"")</f>
        <v>45372</v>
      </c>
      <c r="F789" s="11" t="str">
        <f aca="false">Raw_Data!F789</f>
        <v>Female 18-24</v>
      </c>
      <c r="G789" s="11" t="str">
        <f aca="false">IF(TRIM(Raw_Data!G789)="","Unspecified",IFERROR(INDEX(Lookup_Tables!$F$2:$F$24,MATCH(UPPER(TRIM(Raw_Data!G789)),Lookup_Tables!$G$2:$G$24,0)),"Unknown"))</f>
        <v>West</v>
      </c>
      <c r="H789" s="11" t="n">
        <f aca="false">IF(Raw_Data!H789="",ROUND(AVERAGEIFS(Raw_Data!$H$2:$H$839,Raw_Data!$C$2:$C$839,Raw_Data!C789),2),Raw_Data!H789)</f>
        <v>18690.94</v>
      </c>
      <c r="I789" s="11" t="n">
        <f aca="false">Raw_Data!I789</f>
        <v>383641</v>
      </c>
      <c r="J789" s="11" t="n">
        <f aca="false">IF(Raw_Data!J789&lt;0,ABS(Raw_Data!J789),Raw_Data!J789)</f>
        <v>6186</v>
      </c>
      <c r="K789" s="11" t="n">
        <f aca="false">Raw_Data!K789</f>
        <v>218</v>
      </c>
      <c r="L789" s="11" t="n">
        <f aca="false">IF(Raw_Data!L789="",ROUND(AVERAGEIFS(Raw_Data!$L$2:$L$839,Raw_Data!$C$2:$C$839,Raw_Data!C789),2),Raw_Data!L789)</f>
        <v>168354.1</v>
      </c>
      <c r="M789" s="13" t="n">
        <f aca="false">IFERROR(J789/I789,0)</f>
        <v>0.0161244496808214</v>
      </c>
      <c r="N789" s="14" t="n">
        <f aca="false">IFERROR(H789/J789,0)</f>
        <v>3.0214904623343</v>
      </c>
      <c r="O789" s="14" t="n">
        <f aca="false">IFERROR(H789/K789,0)</f>
        <v>85.7382568807339</v>
      </c>
      <c r="P789" s="15" t="n">
        <f aca="false">IFERROR(L789/H789,0)</f>
        <v>9.00725699189019</v>
      </c>
      <c r="Q789" s="13" t="n">
        <f aca="false">IFERROR(K789/J789,0)</f>
        <v>0.0352408664726802</v>
      </c>
      <c r="R789" s="11" t="str">
        <f aca="false">IF(COUNTIF($A$2:A789,A789)&gt;1,"Duplicate - Remove","Unique")</f>
        <v>Unique</v>
      </c>
      <c r="S789" s="11" t="str">
        <f aca="false">TRIM(IF(Raw_Data!G789="","Region missing; ","")&amp;IF(Raw_Data!H789="","Spend imputed; ","")&amp;IF(Raw_Data!L789="","Revenue imputed; ","")&amp;IF(Raw_Data!J789&lt;0,"Clicks corrected; ",""))</f>
        <v/>
      </c>
    </row>
    <row r="790" customFormat="false" ht="15" hidden="false" customHeight="true" outlineLevel="0" collapsed="false">
      <c r="A790" s="11" t="n">
        <f aca="false">Raw_Data!A790</f>
        <v>1514</v>
      </c>
      <c r="B790" s="11" t="str">
        <f aca="false">PROPER(TRIM(Raw_Data!B790))</f>
        <v>Herbal Range Awareness</v>
      </c>
      <c r="C790" s="11" t="str">
        <f aca="false">IFERROR(INDEX(Lookup_Tables!$B$2:$B$26,MATCH(UPPER(TRIM(Raw_Data!C790)),Lookup_Tables!$C$2:$C$26,0)),"Unknown")</f>
        <v>Facebook</v>
      </c>
      <c r="D790" s="12" t="n">
        <f aca="false">IFERROR(IF(ISNUMBER(SEARCH("/",Raw_Data!D790)),DATE(VALUE(RIGHT(Raw_Data!D790,4)),VALUE(MID(Raw_Data!D790,FIND("/",Raw_Data!D790)+1,FIND("/",Raw_Data!D790,FIND("/",Raw_Data!D790)+1)-FIND("/",Raw_Data!D790)-1)),VALUE(LEFT(Raw_Data!D790,FIND("/",Raw_Data!D790)-1))),IF(ISNUMBER(VALUE(LEFT(Raw_Data!D790,4))),DATE(VALUE(LEFT(Raw_Data!D790,4)),VALUE(MID(Raw_Data!D790,6,2)),VALUE(MID(Raw_Data!D790,9,2))),DATEVALUE(Raw_Data!D790))),"")</f>
        <v>45331</v>
      </c>
      <c r="E790" s="12" t="n">
        <f aca="false">IFERROR(IF(ISNUMBER(SEARCH("/",Raw_Data!E790)),DATE(VALUE(RIGHT(Raw_Data!E790,4)),VALUE(MID(Raw_Data!E790,FIND("/",Raw_Data!E790)+1,FIND("/",Raw_Data!E790,FIND("/",Raw_Data!E790)+1)-FIND("/",Raw_Data!E790)-1)),VALUE(LEFT(Raw_Data!E790,FIND("/",Raw_Data!E790)-1))),IF(ISNUMBER(VALUE(LEFT(Raw_Data!E790,4))),DATE(VALUE(LEFT(Raw_Data!E790,4)),VALUE(MID(Raw_Data!E790,6,2)),VALUE(MID(Raw_Data!E790,9,2))),DATEVALUE(Raw_Data!E790))),"")</f>
        <v>45359</v>
      </c>
      <c r="F790" s="11" t="str">
        <f aca="false">Raw_Data!F790</f>
        <v>Male 18-24</v>
      </c>
      <c r="G790" s="11" t="str">
        <f aca="false">IF(TRIM(Raw_Data!G790)="","Unspecified",IFERROR(INDEX(Lookup_Tables!$F$2:$F$24,MATCH(UPPER(TRIM(Raw_Data!G790)),Lookup_Tables!$G$2:$G$24,0)),"Unknown"))</f>
        <v>North</v>
      </c>
      <c r="H790" s="11" t="n">
        <f aca="false">IF(Raw_Data!H790="",ROUND(AVERAGEIFS(Raw_Data!$H$2:$H$839,Raw_Data!$C$2:$C$839,Raw_Data!C790),2),Raw_Data!H790)</f>
        <v>31453.53</v>
      </c>
      <c r="I790" s="11" t="n">
        <f aca="false">Raw_Data!I790</f>
        <v>585521</v>
      </c>
      <c r="J790" s="11" t="n">
        <f aca="false">IF(Raw_Data!J790&lt;0,ABS(Raw_Data!J790),Raw_Data!J790)</f>
        <v>14592</v>
      </c>
      <c r="K790" s="11" t="n">
        <f aca="false">Raw_Data!K790</f>
        <v>987</v>
      </c>
      <c r="L790" s="11" t="n">
        <f aca="false">IF(Raw_Data!L790="",ROUND(AVERAGEIFS(Raw_Data!$L$2:$L$839,Raw_Data!$C$2:$C$839,Raw_Data!C790),2),Raw_Data!L790)</f>
        <v>1396424.43</v>
      </c>
      <c r="M790" s="13" t="n">
        <f aca="false">IFERROR(J790/I790,0)</f>
        <v>0.0249213947919887</v>
      </c>
      <c r="N790" s="14" t="n">
        <f aca="false">IFERROR(H790/J790,0)</f>
        <v>2.15553248355263</v>
      </c>
      <c r="O790" s="14" t="n">
        <f aca="false">IFERROR(H790/K790,0)</f>
        <v>31.867811550152</v>
      </c>
      <c r="P790" s="15" t="n">
        <f aca="false">IFERROR(L790/H790,0)</f>
        <v>44.3964295899379</v>
      </c>
      <c r="Q790" s="13" t="n">
        <f aca="false">IFERROR(K790/J790,0)</f>
        <v>0.0676398026315789</v>
      </c>
      <c r="R790" s="11" t="str">
        <f aca="false">IF(COUNTIF($A$2:A790,A790)&gt;1,"Duplicate - Remove","Unique")</f>
        <v>Unique</v>
      </c>
      <c r="S790" s="11" t="str">
        <f aca="false">TRIM(IF(Raw_Data!G790="","Region missing; ","")&amp;IF(Raw_Data!H790="","Spend imputed; ","")&amp;IF(Raw_Data!L790="","Revenue imputed; ","")&amp;IF(Raw_Data!J790&lt;0,"Clicks corrected; ",""))</f>
        <v/>
      </c>
    </row>
    <row r="791" customFormat="false" ht="15" hidden="false" customHeight="true" outlineLevel="0" collapsed="false">
      <c r="A791" s="11" t="n">
        <f aca="false">Raw_Data!A791</f>
        <v>1296</v>
      </c>
      <c r="B791" s="11" t="str">
        <f aca="false">PROPER(TRIM(Raw_Data!B791))</f>
        <v>Sunscreen Season Campaign</v>
      </c>
      <c r="C791" s="11" t="str">
        <f aca="false">IFERROR(INDEX(Lookup_Tables!$B$2:$B$26,MATCH(UPPER(TRIM(Raw_Data!C791)),Lookup_Tables!$C$2:$C$26,0)),"Unknown")</f>
        <v>Email</v>
      </c>
      <c r="D791" s="12" t="n">
        <f aca="false">IFERROR(IF(ISNUMBER(SEARCH("/",Raw_Data!D791)),DATE(VALUE(RIGHT(Raw_Data!D791,4)),VALUE(MID(Raw_Data!D791,FIND("/",Raw_Data!D791)+1,FIND("/",Raw_Data!D791,FIND("/",Raw_Data!D791)+1)-FIND("/",Raw_Data!D791)-1)),VALUE(LEFT(Raw_Data!D791,FIND("/",Raw_Data!D791)-1))),IF(ISNUMBER(VALUE(LEFT(Raw_Data!D791,4))),DATE(VALUE(LEFT(Raw_Data!D791,4)),VALUE(MID(Raw_Data!D791,6,2)),VALUE(MID(Raw_Data!D791,9,2))),DATEVALUE(Raw_Data!D791))),"")</f>
        <v>45367</v>
      </c>
      <c r="E791" s="12" t="n">
        <f aca="false">IFERROR(IF(ISNUMBER(SEARCH("/",Raw_Data!E791)),DATE(VALUE(RIGHT(Raw_Data!E791,4)),VALUE(MID(Raw_Data!E791,FIND("/",Raw_Data!E791)+1,FIND("/",Raw_Data!E791,FIND("/",Raw_Data!E791)+1)-FIND("/",Raw_Data!E791)-1)),VALUE(LEFT(Raw_Data!E791,FIND("/",Raw_Data!E791)-1))),IF(ISNUMBER(VALUE(LEFT(Raw_Data!E791,4))),DATE(VALUE(LEFT(Raw_Data!E791,4)),VALUE(MID(Raw_Data!E791,6,2)),VALUE(MID(Raw_Data!E791,9,2))),DATEVALUE(Raw_Data!E791))),"")</f>
        <v>45393</v>
      </c>
      <c r="F791" s="11" t="str">
        <f aca="false">Raw_Data!F791</f>
        <v>Female 18-24</v>
      </c>
      <c r="G791" s="11" t="str">
        <f aca="false">IF(TRIM(Raw_Data!G791)="","Unspecified",IFERROR(INDEX(Lookup_Tables!$F$2:$F$24,MATCH(UPPER(TRIM(Raw_Data!G791)),Lookup_Tables!$G$2:$G$24,0)),"Unknown"))</f>
        <v>South</v>
      </c>
      <c r="H791" s="11" t="n">
        <f aca="false">IF(Raw_Data!H791="",ROUND(AVERAGEIFS(Raw_Data!$H$2:$H$839,Raw_Data!$C$2:$C$839,Raw_Data!C791),2),Raw_Data!H791)</f>
        <v>4170.82</v>
      </c>
      <c r="I791" s="11" t="n">
        <f aca="false">Raw_Data!I791</f>
        <v>92957</v>
      </c>
      <c r="J791" s="11" t="n">
        <f aca="false">IF(Raw_Data!J791&lt;0,ABS(Raw_Data!J791),Raw_Data!J791)</f>
        <v>2181</v>
      </c>
      <c r="K791" s="11" t="n">
        <f aca="false">Raw_Data!K791</f>
        <v>90</v>
      </c>
      <c r="L791" s="11" t="n">
        <f aca="false">IF(Raw_Data!L791="",ROUND(AVERAGEIFS(Raw_Data!$L$2:$L$839,Raw_Data!$C$2:$C$839,Raw_Data!C791),2),Raw_Data!L791)</f>
        <v>58338.85</v>
      </c>
      <c r="M791" s="13" t="n">
        <f aca="false">IFERROR(J791/I791,0)</f>
        <v>0.0234624611379455</v>
      </c>
      <c r="N791" s="14" t="n">
        <f aca="false">IFERROR(H791/J791,0)</f>
        <v>1.91234296194406</v>
      </c>
      <c r="O791" s="14" t="n">
        <f aca="false">IFERROR(H791/K791,0)</f>
        <v>46.3424444444444</v>
      </c>
      <c r="P791" s="15" t="n">
        <f aca="false">IFERROR(L791/H791,0)</f>
        <v>13.9873813782422</v>
      </c>
      <c r="Q791" s="13" t="n">
        <f aca="false">IFERROR(K791/J791,0)</f>
        <v>0.0412654745529574</v>
      </c>
      <c r="R791" s="11" t="str">
        <f aca="false">IF(COUNTIF($A$2:A791,A791)&gt;1,"Duplicate - Remove","Unique")</f>
        <v>Unique</v>
      </c>
      <c r="S791" s="11" t="str">
        <f aca="false">TRIM(IF(Raw_Data!G791="","Region missing; ","")&amp;IF(Raw_Data!H791="","Spend imputed; ","")&amp;IF(Raw_Data!L791="","Revenue imputed; ","")&amp;IF(Raw_Data!J791&lt;0,"Clicks corrected; ",""))</f>
        <v/>
      </c>
    </row>
    <row r="792" customFormat="false" ht="15" hidden="false" customHeight="true" outlineLevel="0" collapsed="false">
      <c r="A792" s="11" t="n">
        <f aca="false">Raw_Data!A792</f>
        <v>1782</v>
      </c>
      <c r="B792" s="11" t="str">
        <f aca="false">PROPER(TRIM(Raw_Data!B792))</f>
        <v>Influencer Collab - Skincare</v>
      </c>
      <c r="C792" s="11" t="str">
        <f aca="false">IFERROR(INDEX(Lookup_Tables!$B$2:$B$26,MATCH(UPPER(TRIM(Raw_Data!C792)),Lookup_Tables!$C$2:$C$26,0)),"Unknown")</f>
        <v>Facebook</v>
      </c>
      <c r="D792" s="12" t="n">
        <f aca="false">IFERROR(IF(ISNUMBER(SEARCH("/",Raw_Data!D792)),DATE(VALUE(RIGHT(Raw_Data!D792,4)),VALUE(MID(Raw_Data!D792,FIND("/",Raw_Data!D792)+1,FIND("/",Raw_Data!D792,FIND("/",Raw_Data!D792)+1)-FIND("/",Raw_Data!D792)-1)),VALUE(LEFT(Raw_Data!D792,FIND("/",Raw_Data!D792)-1))),IF(ISNUMBER(VALUE(LEFT(Raw_Data!D792,4))),DATE(VALUE(LEFT(Raw_Data!D792,4)),VALUE(MID(Raw_Data!D792,6,2)),VALUE(MID(Raw_Data!D792,9,2))),DATEVALUE(Raw_Data!D792))),"")</f>
        <v>45343</v>
      </c>
      <c r="E792" s="12" t="n">
        <f aca="false">IFERROR(IF(ISNUMBER(SEARCH("/",Raw_Data!E792)),DATE(VALUE(RIGHT(Raw_Data!E792,4)),VALUE(MID(Raw_Data!E792,FIND("/",Raw_Data!E792)+1,FIND("/",Raw_Data!E792,FIND("/",Raw_Data!E792)+1)-FIND("/",Raw_Data!E792)-1)),VALUE(LEFT(Raw_Data!E792,FIND("/",Raw_Data!E792)-1))),IF(ISNUMBER(VALUE(LEFT(Raw_Data!E792,4))),DATE(VALUE(LEFT(Raw_Data!E792,4)),VALUE(MID(Raw_Data!E792,6,2)),VALUE(MID(Raw_Data!E792,9,2))),DATEVALUE(Raw_Data!E792))),"")</f>
        <v>45350</v>
      </c>
      <c r="F792" s="11" t="str">
        <f aca="false">Raw_Data!F792</f>
        <v>Female 25-34</v>
      </c>
      <c r="G792" s="11" t="str">
        <f aca="false">IF(TRIM(Raw_Data!G792)="","Unspecified",IFERROR(INDEX(Lookup_Tables!$F$2:$F$24,MATCH(UPPER(TRIM(Raw_Data!G792)),Lookup_Tables!$G$2:$G$24,0)),"Unknown"))</f>
        <v>East</v>
      </c>
      <c r="H792" s="11" t="n">
        <f aca="false">IF(Raw_Data!H792="",ROUND(AVERAGEIFS(Raw_Data!$H$2:$H$839,Raw_Data!$C$2:$C$839,Raw_Data!C792),2),Raw_Data!H792)</f>
        <v>41032.55</v>
      </c>
      <c r="I792" s="11" t="n">
        <f aca="false">Raw_Data!I792</f>
        <v>624197</v>
      </c>
      <c r="J792" s="11" t="n">
        <f aca="false">IF(Raw_Data!J792&lt;0,ABS(Raw_Data!J792),Raw_Data!J792)</f>
        <v>13239</v>
      </c>
      <c r="K792" s="11" t="n">
        <f aca="false">Raw_Data!K792</f>
        <v>588</v>
      </c>
      <c r="L792" s="11" t="n">
        <f aca="false">IF(Raw_Data!L792="",ROUND(AVERAGEIFS(Raw_Data!$L$2:$L$839,Raw_Data!$C$2:$C$839,Raw_Data!C792),2),Raw_Data!L792)</f>
        <v>284507.81</v>
      </c>
      <c r="M792" s="13" t="n">
        <f aca="false">IFERROR(J792/I792,0)</f>
        <v>0.0212096501585237</v>
      </c>
      <c r="N792" s="14" t="n">
        <f aca="false">IFERROR(H792/J792,0)</f>
        <v>3.09936928771055</v>
      </c>
      <c r="O792" s="14" t="n">
        <f aca="false">IFERROR(H792/K792,0)</f>
        <v>69.7832482993197</v>
      </c>
      <c r="P792" s="15" t="n">
        <f aca="false">IFERROR(L792/H792,0)</f>
        <v>6.93371018861855</v>
      </c>
      <c r="Q792" s="13" t="n">
        <f aca="false">IFERROR(K792/J792,0)</f>
        <v>0.0444142306820757</v>
      </c>
      <c r="R792" s="11" t="str">
        <f aca="false">IF(COUNTIF($A$2:A792,A792)&gt;1,"Duplicate - Remove","Unique")</f>
        <v>Unique</v>
      </c>
      <c r="S792" s="11" t="str">
        <f aca="false">TRIM(IF(Raw_Data!G792="","Region missing; ","")&amp;IF(Raw_Data!H792="","Spend imputed; ","")&amp;IF(Raw_Data!L792="","Revenue imputed; ","")&amp;IF(Raw_Data!J792&lt;0,"Clicks corrected; ",""))</f>
        <v/>
      </c>
    </row>
    <row r="793" customFormat="false" ht="15" hidden="false" customHeight="true" outlineLevel="0" collapsed="false">
      <c r="A793" s="11" t="n">
        <f aca="false">Raw_Data!A793</f>
        <v>1180</v>
      </c>
      <c r="B793" s="11" t="str">
        <f aca="false">PROPER(TRIM(Raw_Data!B793))</f>
        <v>New Year Wellness</v>
      </c>
      <c r="C793" s="11" t="str">
        <f aca="false">IFERROR(INDEX(Lookup_Tables!$B$2:$B$26,MATCH(UPPER(TRIM(Raw_Data!C793)),Lookup_Tables!$C$2:$C$26,0)),"Unknown")</f>
        <v>Facebook</v>
      </c>
      <c r="D793" s="12" t="n">
        <f aca="false">IFERROR(IF(ISNUMBER(SEARCH("/",Raw_Data!D793)),DATE(VALUE(RIGHT(Raw_Data!D793,4)),VALUE(MID(Raw_Data!D793,FIND("/",Raw_Data!D793)+1,FIND("/",Raw_Data!D793,FIND("/",Raw_Data!D793)+1)-FIND("/",Raw_Data!D793)-1)),VALUE(LEFT(Raw_Data!D793,FIND("/",Raw_Data!D793)-1))),IF(ISNUMBER(VALUE(LEFT(Raw_Data!D793,4))),DATE(VALUE(LEFT(Raw_Data!D793,4)),VALUE(MID(Raw_Data!D793,6,2)),VALUE(MID(Raw_Data!D793,9,2))),DATEVALUE(Raw_Data!D793))),"")</f>
        <v>45550</v>
      </c>
      <c r="E793" s="12" t="n">
        <f aca="false">IFERROR(IF(ISNUMBER(SEARCH("/",Raw_Data!E793)),DATE(VALUE(RIGHT(Raw_Data!E793,4)),VALUE(MID(Raw_Data!E793,FIND("/",Raw_Data!E793)+1,FIND("/",Raw_Data!E793,FIND("/",Raw_Data!E793)+1)-FIND("/",Raw_Data!E793)-1)),VALUE(LEFT(Raw_Data!E793,FIND("/",Raw_Data!E793)-1))),IF(ISNUMBER(VALUE(LEFT(Raw_Data!E793,4))),DATE(VALUE(LEFT(Raw_Data!E793,4)),VALUE(MID(Raw_Data!E793,6,2)),VALUE(MID(Raw_Data!E793,9,2))),DATEVALUE(Raw_Data!E793))),"")</f>
        <v>45567</v>
      </c>
      <c r="F793" s="11" t="str">
        <f aca="false">Raw_Data!F793</f>
        <v>Male 45+</v>
      </c>
      <c r="G793" s="11" t="str">
        <f aca="false">IF(TRIM(Raw_Data!G793)="","Unspecified",IFERROR(INDEX(Lookup_Tables!$F$2:$F$24,MATCH(UPPER(TRIM(Raw_Data!G793)),Lookup_Tables!$G$2:$G$24,0)),"Unknown"))</f>
        <v>East</v>
      </c>
      <c r="H793" s="11" t="n">
        <f aca="false">IF(Raw_Data!H793="",ROUND(AVERAGEIFS(Raw_Data!$H$2:$H$839,Raw_Data!$C$2:$C$839,Raw_Data!C793),2),Raw_Data!H793)</f>
        <v>46615.24</v>
      </c>
      <c r="I793" s="11" t="n">
        <f aca="false">Raw_Data!I793</f>
        <v>1493056</v>
      </c>
      <c r="J793" s="11" t="n">
        <f aca="false">IF(Raw_Data!J793&lt;0,ABS(Raw_Data!J793),Raw_Data!J793)</f>
        <v>18302</v>
      </c>
      <c r="K793" s="11" t="n">
        <f aca="false">Raw_Data!K793</f>
        <v>809</v>
      </c>
      <c r="L793" s="11" t="n">
        <f aca="false">IF(Raw_Data!L793="",ROUND(AVERAGEIFS(Raw_Data!$L$2:$L$839,Raw_Data!$C$2:$C$839,Raw_Data!C793),2),Raw_Data!L793)</f>
        <v>806451.63</v>
      </c>
      <c r="M793" s="13" t="n">
        <f aca="false">IFERROR(J793/I793,0)</f>
        <v>0.0122580800720134</v>
      </c>
      <c r="N793" s="14" t="n">
        <f aca="false">IFERROR(H793/J793,0)</f>
        <v>2.54700251338652</v>
      </c>
      <c r="O793" s="14" t="n">
        <f aca="false">IFERROR(H793/K793,0)</f>
        <v>57.6208158220025</v>
      </c>
      <c r="P793" s="15" t="n">
        <f aca="false">IFERROR(L793/H793,0)</f>
        <v>17.3001711457455</v>
      </c>
      <c r="Q793" s="13" t="n">
        <f aca="false">IFERROR(K793/J793,0)</f>
        <v>0.0442028193640039</v>
      </c>
      <c r="R793" s="11" t="str">
        <f aca="false">IF(COUNTIF($A$2:A793,A793)&gt;1,"Duplicate - Remove","Unique")</f>
        <v>Unique</v>
      </c>
      <c r="S793" s="11" t="str">
        <f aca="false">TRIM(IF(Raw_Data!G793="","Region missing; ","")&amp;IF(Raw_Data!H793="","Spend imputed; ","")&amp;IF(Raw_Data!L793="","Revenue imputed; ","")&amp;IF(Raw_Data!J793&lt;0,"Clicks corrected; ",""))</f>
        <v/>
      </c>
    </row>
    <row r="794" customFormat="false" ht="15" hidden="false" customHeight="true" outlineLevel="0" collapsed="false">
      <c r="A794" s="11" t="n">
        <f aca="false">Raw_Data!A794</f>
        <v>1155</v>
      </c>
      <c r="B794" s="11" t="str">
        <f aca="false">PROPER(TRIM(Raw_Data!B794))</f>
        <v>Sunscreen Season Campaign</v>
      </c>
      <c r="C794" s="11" t="str">
        <f aca="false">IFERROR(INDEX(Lookup_Tables!$B$2:$B$26,MATCH(UPPER(TRIM(Raw_Data!C794)),Lookup_Tables!$C$2:$C$26,0)),"Unknown")</f>
        <v>YouTube</v>
      </c>
      <c r="D794" s="12" t="n">
        <f aca="false">IFERROR(IF(ISNUMBER(SEARCH("/",Raw_Data!D794)),DATE(VALUE(RIGHT(Raw_Data!D794,4)),VALUE(MID(Raw_Data!D794,FIND("/",Raw_Data!D794)+1,FIND("/",Raw_Data!D794,FIND("/",Raw_Data!D794)+1)-FIND("/",Raw_Data!D794)-1)),VALUE(LEFT(Raw_Data!D794,FIND("/",Raw_Data!D794)-1))),IF(ISNUMBER(VALUE(LEFT(Raw_Data!D794,4))),DATE(VALUE(LEFT(Raw_Data!D794,4)),VALUE(MID(Raw_Data!D794,6,2)),VALUE(MID(Raw_Data!D794,9,2))),DATEVALUE(Raw_Data!D794))),"")</f>
        <v>45369</v>
      </c>
      <c r="E794" s="12" t="n">
        <f aca="false">IFERROR(IF(ISNUMBER(SEARCH("/",Raw_Data!E794)),DATE(VALUE(RIGHT(Raw_Data!E794,4)),VALUE(MID(Raw_Data!E794,FIND("/",Raw_Data!E794)+1,FIND("/",Raw_Data!E794,FIND("/",Raw_Data!E794)+1)-FIND("/",Raw_Data!E794)-1)),VALUE(LEFT(Raw_Data!E794,FIND("/",Raw_Data!E794)-1))),IF(ISNUMBER(VALUE(LEFT(Raw_Data!E794,4))),DATE(VALUE(LEFT(Raw_Data!E794,4)),VALUE(MID(Raw_Data!E794,6,2)),VALUE(MID(Raw_Data!E794,9,2))),DATEVALUE(Raw_Data!E794))),"")</f>
        <v>45374</v>
      </c>
      <c r="F794" s="11" t="str">
        <f aca="false">Raw_Data!F794</f>
        <v>Male 18-24</v>
      </c>
      <c r="G794" s="11" t="str">
        <f aca="false">IF(TRIM(Raw_Data!G794)="","Unspecified",IFERROR(INDEX(Lookup_Tables!$F$2:$F$24,MATCH(UPPER(TRIM(Raw_Data!G794)),Lookup_Tables!$G$2:$G$24,0)),"Unknown"))</f>
        <v>South</v>
      </c>
      <c r="H794" s="11" t="n">
        <f aca="false">IF(Raw_Data!H794="",ROUND(AVERAGEIFS(Raw_Data!$H$2:$H$839,Raw_Data!$C$2:$C$839,Raw_Data!C794),2),Raw_Data!H794)</f>
        <v>16793.27</v>
      </c>
      <c r="I794" s="11" t="n">
        <f aca="false">Raw_Data!I794</f>
        <v>479256</v>
      </c>
      <c r="J794" s="11" t="n">
        <f aca="false">IF(Raw_Data!J794&lt;0,ABS(Raw_Data!J794),Raw_Data!J794)</f>
        <v>11539</v>
      </c>
      <c r="K794" s="11" t="n">
        <f aca="false">Raw_Data!K794</f>
        <v>675</v>
      </c>
      <c r="L794" s="11" t="n">
        <f aca="false">IF(Raw_Data!L794="",ROUND(AVERAGEIFS(Raw_Data!$L$2:$L$839,Raw_Data!$C$2:$C$839,Raw_Data!C794),2),Raw_Data!L794)</f>
        <v>245640.93</v>
      </c>
      <c r="M794" s="13" t="n">
        <f aca="false">IFERROR(J794/I794,0)</f>
        <v>0.0240769025322583</v>
      </c>
      <c r="N794" s="14" t="n">
        <f aca="false">IFERROR(H794/J794,0)</f>
        <v>1.4553488170552</v>
      </c>
      <c r="O794" s="14" t="n">
        <f aca="false">IFERROR(H794/K794,0)</f>
        <v>24.8789185185185</v>
      </c>
      <c r="P794" s="15" t="n">
        <f aca="false">IFERROR(L794/H794,0)</f>
        <v>14.6273435727527</v>
      </c>
      <c r="Q794" s="13" t="n">
        <f aca="false">IFERROR(K794/J794,0)</f>
        <v>0.0584972701273941</v>
      </c>
      <c r="R794" s="11" t="str">
        <f aca="false">IF(COUNTIF($A$2:A794,A794)&gt;1,"Duplicate - Remove","Unique")</f>
        <v>Unique</v>
      </c>
      <c r="S794" s="11" t="str">
        <f aca="false">TRIM(IF(Raw_Data!G794="","Region missing; ","")&amp;IF(Raw_Data!H794="","Spend imputed; ","")&amp;IF(Raw_Data!L794="","Revenue imputed; ","")&amp;IF(Raw_Data!J794&lt;0,"Clicks corrected; ",""))</f>
        <v/>
      </c>
    </row>
    <row r="795" customFormat="false" ht="15" hidden="false" customHeight="true" outlineLevel="0" collapsed="false">
      <c r="A795" s="11" t="n">
        <f aca="false">Raw_Data!A795</f>
        <v>1079</v>
      </c>
      <c r="B795" s="11" t="str">
        <f aca="false">PROPER(TRIM(Raw_Data!B795))</f>
        <v>Sunscreen Season Campaign</v>
      </c>
      <c r="C795" s="11" t="str">
        <f aca="false">IFERROR(INDEX(Lookup_Tables!$B$2:$B$26,MATCH(UPPER(TRIM(Raw_Data!C795)),Lookup_Tables!$C$2:$C$26,0)),"Unknown")</f>
        <v>Facebook</v>
      </c>
      <c r="D795" s="12" t="n">
        <f aca="false">IFERROR(IF(ISNUMBER(SEARCH("/",Raw_Data!D795)),DATE(VALUE(RIGHT(Raw_Data!D795,4)),VALUE(MID(Raw_Data!D795,FIND("/",Raw_Data!D795)+1,FIND("/",Raw_Data!D795,FIND("/",Raw_Data!D795)+1)-FIND("/",Raw_Data!D795)-1)),VALUE(LEFT(Raw_Data!D795,FIND("/",Raw_Data!D795)-1))),IF(ISNUMBER(VALUE(LEFT(Raw_Data!D795,4))),DATE(VALUE(LEFT(Raw_Data!D795,4)),VALUE(MID(Raw_Data!D795,6,2)),VALUE(MID(Raw_Data!D795,9,2))),DATEVALUE(Raw_Data!D795))),"")</f>
        <v>45572</v>
      </c>
      <c r="E795" s="12" t="n">
        <f aca="false">IFERROR(IF(ISNUMBER(SEARCH("/",Raw_Data!E795)),DATE(VALUE(RIGHT(Raw_Data!E795,4)),VALUE(MID(Raw_Data!E795,FIND("/",Raw_Data!E795)+1,FIND("/",Raw_Data!E795,FIND("/",Raw_Data!E795)+1)-FIND("/",Raw_Data!E795)-1)),VALUE(LEFT(Raw_Data!E795,FIND("/",Raw_Data!E795)-1))),IF(ISNUMBER(VALUE(LEFT(Raw_Data!E795,4))),DATE(VALUE(LEFT(Raw_Data!E795,4)),VALUE(MID(Raw_Data!E795,6,2)),VALUE(MID(Raw_Data!E795,9,2))),DATEVALUE(Raw_Data!E795))),"")</f>
        <v>45600</v>
      </c>
      <c r="F795" s="11" t="str">
        <f aca="false">Raw_Data!F795</f>
        <v>Female 35-44</v>
      </c>
      <c r="G795" s="11" t="str">
        <f aca="false">IF(TRIM(Raw_Data!G795)="","Unspecified",IFERROR(INDEX(Lookup_Tables!$F$2:$F$24,MATCH(UPPER(TRIM(Raw_Data!G795)),Lookup_Tables!$G$2:$G$24,0)),"Unknown"))</f>
        <v>North</v>
      </c>
      <c r="H795" s="11" t="n">
        <f aca="false">IF(Raw_Data!H795="",ROUND(AVERAGEIFS(Raw_Data!$H$2:$H$839,Raw_Data!$C$2:$C$839,Raw_Data!C795),2),Raw_Data!H795)</f>
        <v>29221.95</v>
      </c>
      <c r="I795" s="11" t="n">
        <f aca="false">Raw_Data!I795</f>
        <v>519556</v>
      </c>
      <c r="J795" s="11" t="n">
        <f aca="false">IF(Raw_Data!J795&lt;0,ABS(Raw_Data!J795),Raw_Data!J795)</f>
        <v>7088</v>
      </c>
      <c r="K795" s="11" t="n">
        <f aca="false">Raw_Data!K795</f>
        <v>220</v>
      </c>
      <c r="L795" s="11" t="n">
        <f aca="false">IF(Raw_Data!L795="",ROUND(AVERAGEIFS(Raw_Data!$L$2:$L$839,Raw_Data!$C$2:$C$839,Raw_Data!C795),2),Raw_Data!L795)</f>
        <v>92232.07</v>
      </c>
      <c r="M795" s="13" t="n">
        <f aca="false">IFERROR(J795/I795,0)</f>
        <v>0.0136424177567</v>
      </c>
      <c r="N795" s="14" t="n">
        <f aca="false">IFERROR(H795/J795,0)</f>
        <v>4.12273560948081</v>
      </c>
      <c r="O795" s="14" t="n">
        <f aca="false">IFERROR(H795/K795,0)</f>
        <v>132.827045454545</v>
      </c>
      <c r="P795" s="15" t="n">
        <f aca="false">IFERROR(L795/H795,0)</f>
        <v>3.15625993474084</v>
      </c>
      <c r="Q795" s="13" t="n">
        <f aca="false">IFERROR(K795/J795,0)</f>
        <v>0.031038374717833</v>
      </c>
      <c r="R795" s="11" t="str">
        <f aca="false">IF(COUNTIF($A$2:A795,A795)&gt;1,"Duplicate - Remove","Unique")</f>
        <v>Unique</v>
      </c>
      <c r="S795" s="11" t="str">
        <f aca="false">TRIM(IF(Raw_Data!G795="","Region missing; ","")&amp;IF(Raw_Data!H795="","Spend imputed; ","")&amp;IF(Raw_Data!L795="","Revenue imputed; ","")&amp;IF(Raw_Data!J795&lt;0,"Clicks corrected; ",""))</f>
        <v/>
      </c>
    </row>
    <row r="796" customFormat="false" ht="15" hidden="false" customHeight="true" outlineLevel="0" collapsed="false">
      <c r="A796" s="11" t="n">
        <f aca="false">Raw_Data!A796</f>
        <v>1787</v>
      </c>
      <c r="B796" s="11" t="str">
        <f aca="false">PROPER(TRIM(Raw_Data!B796))</f>
        <v>Herbal Range Awareness</v>
      </c>
      <c r="C796" s="11" t="str">
        <f aca="false">IFERROR(INDEX(Lookup_Tables!$B$2:$B$26,MATCH(UPPER(TRIM(Raw_Data!C796)),Lookup_Tables!$C$2:$C$26,0)),"Unknown")</f>
        <v>Email</v>
      </c>
      <c r="D796" s="12" t="n">
        <f aca="false">IFERROR(IF(ISNUMBER(SEARCH("/",Raw_Data!D796)),DATE(VALUE(RIGHT(Raw_Data!D796,4)),VALUE(MID(Raw_Data!D796,FIND("/",Raw_Data!D796)+1,FIND("/",Raw_Data!D796,FIND("/",Raw_Data!D796)+1)-FIND("/",Raw_Data!D796)-1)),VALUE(LEFT(Raw_Data!D796,FIND("/",Raw_Data!D796)-1))),IF(ISNUMBER(VALUE(LEFT(Raw_Data!D796,4))),DATE(VALUE(LEFT(Raw_Data!D796,4)),VALUE(MID(Raw_Data!D796,6,2)),VALUE(MID(Raw_Data!D796,9,2))),DATEVALUE(Raw_Data!D796))),"")</f>
        <v>45491</v>
      </c>
      <c r="E796" s="12" t="n">
        <f aca="false">IFERROR(IF(ISNUMBER(SEARCH("/",Raw_Data!E796)),DATE(VALUE(RIGHT(Raw_Data!E796,4)),VALUE(MID(Raw_Data!E796,FIND("/",Raw_Data!E796)+1,FIND("/",Raw_Data!E796,FIND("/",Raw_Data!E796)+1)-FIND("/",Raw_Data!E796)-1)),VALUE(LEFT(Raw_Data!E796,FIND("/",Raw_Data!E796)-1))),IF(ISNUMBER(VALUE(LEFT(Raw_Data!E796,4))),DATE(VALUE(LEFT(Raw_Data!E796,4)),VALUE(MID(Raw_Data!E796,6,2)),VALUE(MID(Raw_Data!E796,9,2))),DATEVALUE(Raw_Data!E796))),"")</f>
        <v>45501</v>
      </c>
      <c r="F796" s="11" t="str">
        <f aca="false">Raw_Data!F796</f>
        <v>Male 25-34</v>
      </c>
      <c r="G796" s="11" t="str">
        <f aca="false">IF(TRIM(Raw_Data!G796)="","Unspecified",IFERROR(INDEX(Lookup_Tables!$F$2:$F$24,MATCH(UPPER(TRIM(Raw_Data!G796)),Lookup_Tables!$G$2:$G$24,0)),"Unknown"))</f>
        <v>Unspecified</v>
      </c>
      <c r="H796" s="11" t="n">
        <f aca="false">IF(Raw_Data!H796="",ROUND(AVERAGEIFS(Raw_Data!$H$2:$H$839,Raw_Data!$C$2:$C$839,Raw_Data!C796),2),Raw_Data!H796)</f>
        <v>4244.53</v>
      </c>
      <c r="I796" s="11" t="n">
        <f aca="false">Raw_Data!I796</f>
        <v>166231</v>
      </c>
      <c r="J796" s="11" t="n">
        <f aca="false">IF(Raw_Data!J796&lt;0,ABS(Raw_Data!J796),Raw_Data!J796)</f>
        <v>4739</v>
      </c>
      <c r="K796" s="11" t="n">
        <f aca="false">Raw_Data!K796</f>
        <v>333</v>
      </c>
      <c r="L796" s="11" t="n">
        <f aca="false">IF(Raw_Data!L796="",ROUND(AVERAGEIFS(Raw_Data!$L$2:$L$839,Raw_Data!$C$2:$C$839,Raw_Data!C796),2),Raw_Data!L796)</f>
        <v>333645.27</v>
      </c>
      <c r="M796" s="13" t="n">
        <f aca="false">IFERROR(J796/I796,0)</f>
        <v>0.0285085212746118</v>
      </c>
      <c r="N796" s="14" t="n">
        <f aca="false">IFERROR(H796/J796,0)</f>
        <v>0.895659421818949</v>
      </c>
      <c r="O796" s="14" t="n">
        <f aca="false">IFERROR(H796/K796,0)</f>
        <v>12.7463363363363</v>
      </c>
      <c r="P796" s="15" t="n">
        <f aca="false">IFERROR(L796/H796,0)</f>
        <v>78.6059398802694</v>
      </c>
      <c r="Q796" s="13" t="n">
        <f aca="false">IFERROR(K796/J796,0)</f>
        <v>0.0702679890272209</v>
      </c>
      <c r="R796" s="11" t="str">
        <f aca="false">IF(COUNTIF($A$2:A796,A796)&gt;1,"Duplicate - Remove","Unique")</f>
        <v>Unique</v>
      </c>
      <c r="S796" s="11" t="str">
        <f aca="false">TRIM(IF(Raw_Data!G796="","Region missing; ","")&amp;IF(Raw_Data!H796="","Spend imputed; ","")&amp;IF(Raw_Data!L796="","Revenue imputed; ","")&amp;IF(Raw_Data!J796&lt;0,"Clicks corrected; ",""))</f>
        <v>Region missing;</v>
      </c>
    </row>
    <row r="797" customFormat="false" ht="15" hidden="false" customHeight="true" outlineLevel="0" collapsed="false">
      <c r="A797" s="11" t="n">
        <f aca="false">Raw_Data!A797</f>
        <v>1535</v>
      </c>
      <c r="B797" s="11" t="str">
        <f aca="false">PROPER(TRIM(Raw_Data!B797))</f>
        <v>Men'S Grooming Drive</v>
      </c>
      <c r="C797" s="11" t="str">
        <f aca="false">IFERROR(INDEX(Lookup_Tables!$B$2:$B$26,MATCH(UPPER(TRIM(Raw_Data!C797)),Lookup_Tables!$C$2:$C$26,0)),"Unknown")</f>
        <v>Facebook</v>
      </c>
      <c r="D797" s="12" t="n">
        <f aca="false">IFERROR(IF(ISNUMBER(SEARCH("/",Raw_Data!D797)),DATE(VALUE(RIGHT(Raw_Data!D797,4)),VALUE(MID(Raw_Data!D797,FIND("/",Raw_Data!D797)+1,FIND("/",Raw_Data!D797,FIND("/",Raw_Data!D797)+1)-FIND("/",Raw_Data!D797)-1)),VALUE(LEFT(Raw_Data!D797,FIND("/",Raw_Data!D797)-1))),IF(ISNUMBER(VALUE(LEFT(Raw_Data!D797,4))),DATE(VALUE(LEFT(Raw_Data!D797,4)),VALUE(MID(Raw_Data!D797,6,2)),VALUE(MID(Raw_Data!D797,9,2))),DATEVALUE(Raw_Data!D797))),"")</f>
        <v>45623</v>
      </c>
      <c r="E797" s="12" t="n">
        <f aca="false">IFERROR(IF(ISNUMBER(SEARCH("/",Raw_Data!E797)),DATE(VALUE(RIGHT(Raw_Data!E797,4)),VALUE(MID(Raw_Data!E797,FIND("/",Raw_Data!E797)+1,FIND("/",Raw_Data!E797,FIND("/",Raw_Data!E797)+1)-FIND("/",Raw_Data!E797)-1)),VALUE(LEFT(Raw_Data!E797,FIND("/",Raw_Data!E797)-1))),IF(ISNUMBER(VALUE(LEFT(Raw_Data!E797,4))),DATE(VALUE(LEFT(Raw_Data!E797,4)),VALUE(MID(Raw_Data!E797,6,2)),VALUE(MID(Raw_Data!E797,9,2))),DATEVALUE(Raw_Data!E797))),"")</f>
        <v>45651</v>
      </c>
      <c r="F797" s="11" t="str">
        <f aca="false">Raw_Data!F797</f>
        <v>Male 18-24</v>
      </c>
      <c r="G797" s="11" t="str">
        <f aca="false">IF(TRIM(Raw_Data!G797)="","Unspecified",IFERROR(INDEX(Lookup_Tables!$F$2:$F$24,MATCH(UPPER(TRIM(Raw_Data!G797)),Lookup_Tables!$G$2:$G$24,0)),"Unknown"))</f>
        <v>East</v>
      </c>
      <c r="H797" s="11" t="n">
        <f aca="false">IF(Raw_Data!H797="",ROUND(AVERAGEIFS(Raw_Data!$H$2:$H$839,Raw_Data!$C$2:$C$839,Raw_Data!C797),2),Raw_Data!H797)</f>
        <v>36578.46</v>
      </c>
      <c r="I797" s="11" t="n">
        <f aca="false">Raw_Data!I797</f>
        <v>617393</v>
      </c>
      <c r="J797" s="11" t="n">
        <f aca="false">IF(Raw_Data!J797&lt;0,ABS(Raw_Data!J797),Raw_Data!J797)</f>
        <v>12247</v>
      </c>
      <c r="K797" s="11" t="n">
        <f aca="false">Raw_Data!K797</f>
        <v>304</v>
      </c>
      <c r="L797" s="11" t="n">
        <f aca="false">IF(Raw_Data!L797="",ROUND(AVERAGEIFS(Raw_Data!$L$2:$L$839,Raw_Data!$C$2:$C$839,Raw_Data!C797),2),Raw_Data!L797)</f>
        <v>401955.94</v>
      </c>
      <c r="M797" s="13" t="n">
        <f aca="false">IFERROR(J797/I797,0)</f>
        <v>0.0198366356599443</v>
      </c>
      <c r="N797" s="14" t="n">
        <f aca="false">IFERROR(H797/J797,0)</f>
        <v>2.98672817832939</v>
      </c>
      <c r="O797" s="14" t="n">
        <f aca="false">IFERROR(H797/K797,0)</f>
        <v>120.323881578947</v>
      </c>
      <c r="P797" s="15" t="n">
        <f aca="false">IFERROR(L797/H797,0)</f>
        <v>10.9888699524256</v>
      </c>
      <c r="Q797" s="13" t="n">
        <f aca="false">IFERROR(K797/J797,0)</f>
        <v>0.0248224054870581</v>
      </c>
      <c r="R797" s="11" t="str">
        <f aca="false">IF(COUNTIF($A$2:A797,A797)&gt;1,"Duplicate - Remove","Unique")</f>
        <v>Unique</v>
      </c>
      <c r="S797" s="11" t="str">
        <f aca="false">TRIM(IF(Raw_Data!G797="","Region missing; ","")&amp;IF(Raw_Data!H797="","Spend imputed; ","")&amp;IF(Raw_Data!L797="","Revenue imputed; ","")&amp;IF(Raw_Data!J797&lt;0,"Clicks corrected; ",""))</f>
        <v/>
      </c>
    </row>
    <row r="798" customFormat="false" ht="15" hidden="false" customHeight="true" outlineLevel="0" collapsed="false">
      <c r="A798" s="11" t="n">
        <f aca="false">Raw_Data!A798</f>
        <v>1503</v>
      </c>
      <c r="B798" s="11" t="str">
        <f aca="false">PROPER(TRIM(Raw_Data!B798))</f>
        <v>Back To College Offer</v>
      </c>
      <c r="C798" s="11" t="str">
        <f aca="false">IFERROR(INDEX(Lookup_Tables!$B$2:$B$26,MATCH(UPPER(TRIM(Raw_Data!C798)),Lookup_Tables!$C$2:$C$26,0)),"Unknown")</f>
        <v>YouTube</v>
      </c>
      <c r="D798" s="12" t="n">
        <f aca="false">IFERROR(IF(ISNUMBER(SEARCH("/",Raw_Data!D798)),DATE(VALUE(RIGHT(Raw_Data!D798,4)),VALUE(MID(Raw_Data!D798,FIND("/",Raw_Data!D798)+1,FIND("/",Raw_Data!D798,FIND("/",Raw_Data!D798)+1)-FIND("/",Raw_Data!D798)-1)),VALUE(LEFT(Raw_Data!D798,FIND("/",Raw_Data!D798)-1))),IF(ISNUMBER(VALUE(LEFT(Raw_Data!D798,4))),DATE(VALUE(LEFT(Raw_Data!D798,4)),VALUE(MID(Raw_Data!D798,6,2)),VALUE(MID(Raw_Data!D798,9,2))),DATEVALUE(Raw_Data!D798))),"")</f>
        <v>45486</v>
      </c>
      <c r="E798" s="12" t="n">
        <f aca="false">IFERROR(IF(ISNUMBER(SEARCH("/",Raw_Data!E798)),DATE(VALUE(RIGHT(Raw_Data!E798,4)),VALUE(MID(Raw_Data!E798,FIND("/",Raw_Data!E798)+1,FIND("/",Raw_Data!E798,FIND("/",Raw_Data!E798)+1)-FIND("/",Raw_Data!E798)-1)),VALUE(LEFT(Raw_Data!E798,FIND("/",Raw_Data!E798)-1))),IF(ISNUMBER(VALUE(LEFT(Raw_Data!E798,4))),DATE(VALUE(LEFT(Raw_Data!E798,4)),VALUE(MID(Raw_Data!E798,6,2)),VALUE(MID(Raw_Data!E798,9,2))),DATEVALUE(Raw_Data!E798))),"")</f>
        <v>45496</v>
      </c>
      <c r="F798" s="11" t="str">
        <f aca="false">Raw_Data!F798</f>
        <v>Female 45+</v>
      </c>
      <c r="G798" s="11" t="str">
        <f aca="false">IF(TRIM(Raw_Data!G798)="","Unspecified",IFERROR(INDEX(Lookup_Tables!$F$2:$F$24,MATCH(UPPER(TRIM(Raw_Data!G798)),Lookup_Tables!$G$2:$G$24,0)),"Unknown"))</f>
        <v>West</v>
      </c>
      <c r="H798" s="11" t="n">
        <f aca="false">IF(Raw_Data!H798="",ROUND(AVERAGEIFS(Raw_Data!$H$2:$H$839,Raw_Data!$C$2:$C$839,Raw_Data!C798),2),Raw_Data!H798)</f>
        <v>75250.44</v>
      </c>
      <c r="I798" s="11" t="n">
        <f aca="false">Raw_Data!I798</f>
        <v>2345268</v>
      </c>
      <c r="J798" s="11" t="n">
        <f aca="false">IF(Raw_Data!J798&lt;0,ABS(Raw_Data!J798),Raw_Data!J798)</f>
        <v>25427</v>
      </c>
      <c r="K798" s="11" t="n">
        <f aca="false">Raw_Data!K798</f>
        <v>447</v>
      </c>
      <c r="L798" s="11" t="n">
        <f aca="false">IF(Raw_Data!L798="",ROUND(AVERAGEIFS(Raw_Data!$L$2:$L$839,Raw_Data!$C$2:$C$839,Raw_Data!C798),2),Raw_Data!L798)</f>
        <v>206881.63</v>
      </c>
      <c r="M798" s="13" t="n">
        <f aca="false">IFERROR(J798/I798,0)</f>
        <v>0.0108418312960395</v>
      </c>
      <c r="N798" s="14" t="n">
        <f aca="false">IFERROR(H798/J798,0)</f>
        <v>2.95946985487867</v>
      </c>
      <c r="O798" s="14" t="n">
        <f aca="false">IFERROR(H798/K798,0)</f>
        <v>168.345503355705</v>
      </c>
      <c r="P798" s="15" t="n">
        <f aca="false">IFERROR(L798/H798,0)</f>
        <v>2.7492414662293</v>
      </c>
      <c r="Q798" s="13" t="n">
        <f aca="false">IFERROR(K798/J798,0)</f>
        <v>0.0175797380737012</v>
      </c>
      <c r="R798" s="11" t="str">
        <f aca="false">IF(COUNTIF($A$2:A798,A798)&gt;1,"Duplicate - Remove","Unique")</f>
        <v>Unique</v>
      </c>
      <c r="S798" s="11" t="str">
        <f aca="false">TRIM(IF(Raw_Data!G798="","Region missing; ","")&amp;IF(Raw_Data!H798="","Spend imputed; ","")&amp;IF(Raw_Data!L798="","Revenue imputed; ","")&amp;IF(Raw_Data!J798&lt;0,"Clicks corrected; ",""))</f>
        <v/>
      </c>
    </row>
    <row r="799" customFormat="false" ht="15" hidden="false" customHeight="true" outlineLevel="0" collapsed="false">
      <c r="A799" s="11" t="n">
        <f aca="false">Raw_Data!A799</f>
        <v>1295</v>
      </c>
      <c r="B799" s="11" t="str">
        <f aca="false">PROPER(TRIM(Raw_Data!B799))</f>
        <v>Influencer Collab - Skincare</v>
      </c>
      <c r="C799" s="11" t="str">
        <f aca="false">IFERROR(INDEX(Lookup_Tables!$B$2:$B$26,MATCH(UPPER(TRIM(Raw_Data!C799)),Lookup_Tables!$C$2:$C$26,0)),"Unknown")</f>
        <v>Email</v>
      </c>
      <c r="D799" s="12" t="n">
        <f aca="false">IFERROR(IF(ISNUMBER(SEARCH("/",Raw_Data!D799)),DATE(VALUE(RIGHT(Raw_Data!D799,4)),VALUE(MID(Raw_Data!D799,FIND("/",Raw_Data!D799)+1,FIND("/",Raw_Data!D799,FIND("/",Raw_Data!D799)+1)-FIND("/",Raw_Data!D799)-1)),VALUE(LEFT(Raw_Data!D799,FIND("/",Raw_Data!D799)-1))),IF(ISNUMBER(VALUE(LEFT(Raw_Data!D799,4))),DATE(VALUE(LEFT(Raw_Data!D799,4)),VALUE(MID(Raw_Data!D799,6,2)),VALUE(MID(Raw_Data!D799,9,2))),DATEVALUE(Raw_Data!D799))),"")</f>
        <v>45350</v>
      </c>
      <c r="E799" s="12" t="n">
        <f aca="false">IFERROR(IF(ISNUMBER(SEARCH("/",Raw_Data!E799)),DATE(VALUE(RIGHT(Raw_Data!E799,4)),VALUE(MID(Raw_Data!E799,FIND("/",Raw_Data!E799)+1,FIND("/",Raw_Data!E799,FIND("/",Raw_Data!E799)+1)-FIND("/",Raw_Data!E799)-1)),VALUE(LEFT(Raw_Data!E799,FIND("/",Raw_Data!E799)-1))),IF(ISNUMBER(VALUE(LEFT(Raw_Data!E799,4))),DATE(VALUE(LEFT(Raw_Data!E799,4)),VALUE(MID(Raw_Data!E799,6,2)),VALUE(MID(Raw_Data!E799,9,2))),DATEVALUE(Raw_Data!E799))),"")</f>
        <v>45373</v>
      </c>
      <c r="F799" s="11" t="str">
        <f aca="false">Raw_Data!F799</f>
        <v>Male 45+</v>
      </c>
      <c r="G799" s="11" t="str">
        <f aca="false">IF(TRIM(Raw_Data!G799)="","Unspecified",IFERROR(INDEX(Lookup_Tables!$F$2:$F$24,MATCH(UPPER(TRIM(Raw_Data!G799)),Lookup_Tables!$G$2:$G$24,0)),"Unknown"))</f>
        <v>South</v>
      </c>
      <c r="H799" s="11" t="n">
        <f aca="false">IF(Raw_Data!H799="",ROUND(AVERAGEIFS(Raw_Data!$H$2:$H$839,Raw_Data!$C$2:$C$839,Raw_Data!C799),2),Raw_Data!H799)</f>
        <v>4240.36</v>
      </c>
      <c r="I799" s="11" t="n">
        <f aca="false">Raw_Data!I799</f>
        <v>122449</v>
      </c>
      <c r="J799" s="11" t="n">
        <f aca="false">IF(Raw_Data!J799&lt;0,ABS(Raw_Data!J799),Raw_Data!J799)</f>
        <v>3631</v>
      </c>
      <c r="K799" s="11" t="n">
        <f aca="false">Raw_Data!K799</f>
        <v>81</v>
      </c>
      <c r="L799" s="11" t="n">
        <f aca="false">IF(Raw_Data!L799="",ROUND(AVERAGEIFS(Raw_Data!$L$2:$L$839,Raw_Data!$C$2:$C$839,Raw_Data!C799),2),Raw_Data!L799)</f>
        <v>140618.51</v>
      </c>
      <c r="M799" s="13" t="n">
        <f aca="false">IFERROR(J799/I799,0)</f>
        <v>0.029653161724473</v>
      </c>
      <c r="N799" s="14" t="n">
        <f aca="false">IFERROR(H799/J799,0)</f>
        <v>1.16782153676673</v>
      </c>
      <c r="O799" s="14" t="n">
        <f aca="false">IFERROR(H799/K799,0)</f>
        <v>52.3501234567901</v>
      </c>
      <c r="P799" s="15" t="n">
        <f aca="false">IFERROR(L799/H799,0)</f>
        <v>33.1619272891924</v>
      </c>
      <c r="Q799" s="13" t="n">
        <f aca="false">IFERROR(K799/J799,0)</f>
        <v>0.022307904158634</v>
      </c>
      <c r="R799" s="11" t="str">
        <f aca="false">IF(COUNTIF($A$2:A799,A799)&gt;1,"Duplicate - Remove","Unique")</f>
        <v>Unique</v>
      </c>
      <c r="S799" s="11" t="str">
        <f aca="false">TRIM(IF(Raw_Data!G799="","Region missing; ","")&amp;IF(Raw_Data!H799="","Spend imputed; ","")&amp;IF(Raw_Data!L799="","Revenue imputed; ","")&amp;IF(Raw_Data!J799&lt;0,"Clicks corrected; ",""))</f>
        <v/>
      </c>
    </row>
    <row r="800" customFormat="false" ht="15" hidden="false" customHeight="true" outlineLevel="0" collapsed="false">
      <c r="A800" s="11" t="n">
        <f aca="false">Raw_Data!A800</f>
        <v>1489</v>
      </c>
      <c r="B800" s="11" t="str">
        <f aca="false">PROPER(TRIM(Raw_Data!B800))</f>
        <v>Back To College Offer</v>
      </c>
      <c r="C800" s="11" t="str">
        <f aca="false">IFERROR(INDEX(Lookup_Tables!$B$2:$B$26,MATCH(UPPER(TRIM(Raw_Data!C800)),Lookup_Tables!$C$2:$C$26,0)),"Unknown")</f>
        <v>Instagram</v>
      </c>
      <c r="D800" s="12" t="n">
        <f aca="false">IFERROR(IF(ISNUMBER(SEARCH("/",Raw_Data!D800)),DATE(VALUE(RIGHT(Raw_Data!D800,4)),VALUE(MID(Raw_Data!D800,FIND("/",Raw_Data!D800)+1,FIND("/",Raw_Data!D800,FIND("/",Raw_Data!D800)+1)-FIND("/",Raw_Data!D800)-1)),VALUE(LEFT(Raw_Data!D800,FIND("/",Raw_Data!D800)-1))),IF(ISNUMBER(VALUE(LEFT(Raw_Data!D800,4))),DATE(VALUE(LEFT(Raw_Data!D800,4)),VALUE(MID(Raw_Data!D800,6,2)),VALUE(MID(Raw_Data!D800,9,2))),DATEVALUE(Raw_Data!D800))),"")</f>
        <v>45334</v>
      </c>
      <c r="E800" s="12" t="n">
        <f aca="false">IFERROR(IF(ISNUMBER(SEARCH("/",Raw_Data!E800)),DATE(VALUE(RIGHT(Raw_Data!E800,4)),VALUE(MID(Raw_Data!E800,FIND("/",Raw_Data!E800)+1,FIND("/",Raw_Data!E800,FIND("/",Raw_Data!E800)+1)-FIND("/",Raw_Data!E800)-1)),VALUE(LEFT(Raw_Data!E800,FIND("/",Raw_Data!E800)-1))),IF(ISNUMBER(VALUE(LEFT(Raw_Data!E800,4))),DATE(VALUE(LEFT(Raw_Data!E800,4)),VALUE(MID(Raw_Data!E800,6,2)),VALUE(MID(Raw_Data!E800,9,2))),DATEVALUE(Raw_Data!E800))),"")</f>
        <v>45361</v>
      </c>
      <c r="F800" s="11" t="str">
        <f aca="false">Raw_Data!F800</f>
        <v>Male 35-44</v>
      </c>
      <c r="G800" s="11" t="str">
        <f aca="false">IF(TRIM(Raw_Data!G800)="","Unspecified",IFERROR(INDEX(Lookup_Tables!$F$2:$F$24,MATCH(UPPER(TRIM(Raw_Data!G800)),Lookup_Tables!$G$2:$G$24,0)),"Unknown"))</f>
        <v>East</v>
      </c>
      <c r="H800" s="11" t="n">
        <f aca="false">IF(Raw_Data!H800="",ROUND(AVERAGEIFS(Raw_Data!$H$2:$H$839,Raw_Data!$C$2:$C$839,Raw_Data!C800),2),Raw_Data!H800)</f>
        <v>32762.45</v>
      </c>
      <c r="I800" s="11" t="n">
        <f aca="false">Raw_Data!I800</f>
        <v>398534</v>
      </c>
      <c r="J800" s="11" t="n">
        <f aca="false">IF(Raw_Data!J800&lt;0,ABS(Raw_Data!J800),Raw_Data!J800)</f>
        <v>12733</v>
      </c>
      <c r="K800" s="11" t="n">
        <f aca="false">Raw_Data!K800</f>
        <v>390</v>
      </c>
      <c r="L800" s="11" t="n">
        <f aca="false">IF(Raw_Data!L800="",ROUND(AVERAGEIFS(Raw_Data!$L$2:$L$839,Raw_Data!$C$2:$C$839,Raw_Data!C800),2),Raw_Data!L800)</f>
        <v>693665.26</v>
      </c>
      <c r="M800" s="13" t="n">
        <f aca="false">IFERROR(J800/I800,0)</f>
        <v>0.0319495952666523</v>
      </c>
      <c r="N800" s="14" t="n">
        <f aca="false">IFERROR(H800/J800,0)</f>
        <v>2.57303463441451</v>
      </c>
      <c r="O800" s="14" t="n">
        <f aca="false">IFERROR(H800/K800,0)</f>
        <v>84.0062820512821</v>
      </c>
      <c r="P800" s="15" t="n">
        <f aca="false">IFERROR(L800/H800,0)</f>
        <v>21.1725698169703</v>
      </c>
      <c r="Q800" s="13" t="n">
        <f aca="false">IFERROR(K800/J800,0)</f>
        <v>0.0306290740595304</v>
      </c>
      <c r="R800" s="11" t="str">
        <f aca="false">IF(COUNTIF($A$2:A800,A800)&gt;1,"Duplicate - Remove","Unique")</f>
        <v>Unique</v>
      </c>
      <c r="S800" s="11" t="str">
        <f aca="false">TRIM(IF(Raw_Data!G800="","Region missing; ","")&amp;IF(Raw_Data!H800="","Spend imputed; ","")&amp;IF(Raw_Data!L800="","Revenue imputed; ","")&amp;IF(Raw_Data!J800&lt;0,"Clicks corrected; ",""))</f>
        <v>Spend imputed;</v>
      </c>
    </row>
    <row r="801" customFormat="false" ht="15" hidden="false" customHeight="true" outlineLevel="0" collapsed="false">
      <c r="A801" s="11" t="n">
        <f aca="false">Raw_Data!A801</f>
        <v>1553</v>
      </c>
      <c r="B801" s="11" t="str">
        <f aca="false">PROPER(TRIM(Raw_Data!B801))</f>
        <v>Ayurvedic Range Launch</v>
      </c>
      <c r="C801" s="11" t="str">
        <f aca="false">IFERROR(INDEX(Lookup_Tables!$B$2:$B$26,MATCH(UPPER(TRIM(Raw_Data!C801)),Lookup_Tables!$C$2:$C$26,0)),"Unknown")</f>
        <v>Email</v>
      </c>
      <c r="D801" s="12" t="n">
        <f aca="false">IFERROR(IF(ISNUMBER(SEARCH("/",Raw_Data!D801)),DATE(VALUE(RIGHT(Raw_Data!D801,4)),VALUE(MID(Raw_Data!D801,FIND("/",Raw_Data!D801)+1,FIND("/",Raw_Data!D801,FIND("/",Raw_Data!D801)+1)-FIND("/",Raw_Data!D801)-1)),VALUE(LEFT(Raw_Data!D801,FIND("/",Raw_Data!D801)-1))),IF(ISNUMBER(VALUE(LEFT(Raw_Data!D801,4))),DATE(VALUE(LEFT(Raw_Data!D801,4)),VALUE(MID(Raw_Data!D801,6,2)),VALUE(MID(Raw_Data!D801,9,2))),DATEVALUE(Raw_Data!D801))),"")</f>
        <v>45535</v>
      </c>
      <c r="E801" s="12" t="n">
        <f aca="false">IFERROR(IF(ISNUMBER(SEARCH("/",Raw_Data!E801)),DATE(VALUE(RIGHT(Raw_Data!E801,4)),VALUE(MID(Raw_Data!E801,FIND("/",Raw_Data!E801)+1,FIND("/",Raw_Data!E801,FIND("/",Raw_Data!E801)+1)-FIND("/",Raw_Data!E801)-1)),VALUE(LEFT(Raw_Data!E801,FIND("/",Raw_Data!E801)-1))),IF(ISNUMBER(VALUE(LEFT(Raw_Data!E801,4))),DATE(VALUE(LEFT(Raw_Data!E801,4)),VALUE(MID(Raw_Data!E801,6,2)),VALUE(MID(Raw_Data!E801,9,2))),DATEVALUE(Raw_Data!E801))),"")</f>
        <v>45555</v>
      </c>
      <c r="F801" s="11" t="str">
        <f aca="false">Raw_Data!F801</f>
        <v>Male 18-24</v>
      </c>
      <c r="G801" s="11" t="str">
        <f aca="false">IF(TRIM(Raw_Data!G801)="","Unspecified",IFERROR(INDEX(Lookup_Tables!$F$2:$F$24,MATCH(UPPER(TRIM(Raw_Data!G801)),Lookup_Tables!$G$2:$G$24,0)),"Unknown"))</f>
        <v>South</v>
      </c>
      <c r="H801" s="11" t="n">
        <f aca="false">IF(Raw_Data!H801="",ROUND(AVERAGEIFS(Raw_Data!$H$2:$H$839,Raw_Data!$C$2:$C$839,Raw_Data!C801),2),Raw_Data!H801)</f>
        <v>3026.14</v>
      </c>
      <c r="I801" s="11" t="n">
        <f aca="false">Raw_Data!I801</f>
        <v>52958</v>
      </c>
      <c r="J801" s="11" t="n">
        <f aca="false">IF(Raw_Data!J801&lt;0,ABS(Raw_Data!J801),Raw_Data!J801)</f>
        <v>1200</v>
      </c>
      <c r="K801" s="11" t="n">
        <f aca="false">Raw_Data!K801</f>
        <v>42</v>
      </c>
      <c r="L801" s="11" t="n">
        <f aca="false">IF(Raw_Data!L801="",ROUND(AVERAGEIFS(Raw_Data!$L$2:$L$839,Raw_Data!$C$2:$C$839,Raw_Data!C801),2),Raw_Data!L801)</f>
        <v>31458.54</v>
      </c>
      <c r="M801" s="13" t="n">
        <f aca="false">IFERROR(J801/I801,0)</f>
        <v>0.0226594659919181</v>
      </c>
      <c r="N801" s="14" t="n">
        <f aca="false">IFERROR(H801/J801,0)</f>
        <v>2.52178333333333</v>
      </c>
      <c r="O801" s="14" t="n">
        <f aca="false">IFERROR(H801/K801,0)</f>
        <v>72.0509523809524</v>
      </c>
      <c r="P801" s="15" t="n">
        <f aca="false">IFERROR(L801/H801,0)</f>
        <v>10.3955996748333</v>
      </c>
      <c r="Q801" s="13" t="n">
        <f aca="false">IFERROR(K801/J801,0)</f>
        <v>0.035</v>
      </c>
      <c r="R801" s="11" t="str">
        <f aca="false">IF(COUNTIF($A$2:A801,A801)&gt;1,"Duplicate - Remove","Unique")</f>
        <v>Unique</v>
      </c>
      <c r="S801" s="11" t="str">
        <f aca="false">TRIM(IF(Raw_Data!G801="","Region missing; ","")&amp;IF(Raw_Data!H801="","Spend imputed; ","")&amp;IF(Raw_Data!L801="","Revenue imputed; ","")&amp;IF(Raw_Data!J801&lt;0,"Clicks corrected; ",""))</f>
        <v/>
      </c>
    </row>
    <row r="802" customFormat="false" ht="15" hidden="false" customHeight="true" outlineLevel="0" collapsed="false">
      <c r="A802" s="11" t="n">
        <f aca="false">Raw_Data!A802</f>
        <v>1591</v>
      </c>
      <c r="B802" s="11" t="str">
        <f aca="false">PROPER(TRIM(Raw_Data!B802))</f>
        <v>Men'S Grooming Drive</v>
      </c>
      <c r="C802" s="11" t="str">
        <f aca="false">IFERROR(INDEX(Lookup_Tables!$B$2:$B$26,MATCH(UPPER(TRIM(Raw_Data!C802)),Lookup_Tables!$C$2:$C$26,0)),"Unknown")</f>
        <v>Google Ads</v>
      </c>
      <c r="D802" s="12" t="n">
        <f aca="false">IFERROR(IF(ISNUMBER(SEARCH("/",Raw_Data!D802)),DATE(VALUE(RIGHT(Raw_Data!D802,4)),VALUE(MID(Raw_Data!D802,FIND("/",Raw_Data!D802)+1,FIND("/",Raw_Data!D802,FIND("/",Raw_Data!D802)+1)-FIND("/",Raw_Data!D802)-1)),VALUE(LEFT(Raw_Data!D802,FIND("/",Raw_Data!D802)-1))),IF(ISNUMBER(VALUE(LEFT(Raw_Data!D802,4))),DATE(VALUE(LEFT(Raw_Data!D802,4)),VALUE(MID(Raw_Data!D802,6,2)),VALUE(MID(Raw_Data!D802,9,2))),DATEVALUE(Raw_Data!D802))),"")</f>
        <v>45606</v>
      </c>
      <c r="E802" s="12" t="n">
        <f aca="false">IFERROR(IF(ISNUMBER(SEARCH("/",Raw_Data!E802)),DATE(VALUE(RIGHT(Raw_Data!E802,4)),VALUE(MID(Raw_Data!E802,FIND("/",Raw_Data!E802)+1,FIND("/",Raw_Data!E802,FIND("/",Raw_Data!E802)+1)-FIND("/",Raw_Data!E802)-1)),VALUE(LEFT(Raw_Data!E802,FIND("/",Raw_Data!E802)-1))),IF(ISNUMBER(VALUE(LEFT(Raw_Data!E802,4))),DATE(VALUE(LEFT(Raw_Data!E802,4)),VALUE(MID(Raw_Data!E802,6,2)),VALUE(MID(Raw_Data!E802,9,2))),DATEVALUE(Raw_Data!E802))),"")</f>
        <v>45630</v>
      </c>
      <c r="F802" s="11" t="str">
        <f aca="false">Raw_Data!F802</f>
        <v>Female 25-34</v>
      </c>
      <c r="G802" s="11" t="str">
        <f aca="false">IF(TRIM(Raw_Data!G802)="","Unspecified",IFERROR(INDEX(Lookup_Tables!$F$2:$F$24,MATCH(UPPER(TRIM(Raw_Data!G802)),Lookup_Tables!$G$2:$G$24,0)),"Unknown"))</f>
        <v>South</v>
      </c>
      <c r="H802" s="11" t="n">
        <f aca="false">IF(Raw_Data!H802="",ROUND(AVERAGEIFS(Raw_Data!$H$2:$H$839,Raw_Data!$C$2:$C$839,Raw_Data!C802),2),Raw_Data!H802)</f>
        <v>19045.07</v>
      </c>
      <c r="I802" s="11" t="n">
        <f aca="false">Raw_Data!I802</f>
        <v>542673</v>
      </c>
      <c r="J802" s="11" t="n">
        <f aca="false">IF(Raw_Data!J802&lt;0,ABS(Raw_Data!J802),Raw_Data!J802)</f>
        <v>18184</v>
      </c>
      <c r="K802" s="11" t="n">
        <f aca="false">Raw_Data!K802</f>
        <v>208</v>
      </c>
      <c r="L802" s="11" t="n">
        <f aca="false">IF(Raw_Data!L802="",ROUND(AVERAGEIFS(Raw_Data!$L$2:$L$839,Raw_Data!$C$2:$C$839,Raw_Data!C802),2),Raw_Data!L802)</f>
        <v>187163.14</v>
      </c>
      <c r="M802" s="13" t="n">
        <f aca="false">IFERROR(J802/I802,0)</f>
        <v>0.0335082084422848</v>
      </c>
      <c r="N802" s="14" t="n">
        <f aca="false">IFERROR(H802/J802,0)</f>
        <v>1.04735316761989</v>
      </c>
      <c r="O802" s="14" t="n">
        <f aca="false">IFERROR(H802/K802,0)</f>
        <v>91.5628365384615</v>
      </c>
      <c r="P802" s="15" t="n">
        <f aca="false">IFERROR(L802/H802,0)</f>
        <v>9.82737999912838</v>
      </c>
      <c r="Q802" s="13" t="n">
        <f aca="false">IFERROR(K802/J802,0)</f>
        <v>0.0114386273647162</v>
      </c>
      <c r="R802" s="11" t="str">
        <f aca="false">IF(COUNTIF($A$2:A802,A802)&gt;1,"Duplicate - Remove","Unique")</f>
        <v>Unique</v>
      </c>
      <c r="S802" s="11" t="str">
        <f aca="false">TRIM(IF(Raw_Data!G802="","Region missing; ","")&amp;IF(Raw_Data!H802="","Spend imputed; ","")&amp;IF(Raw_Data!L802="","Revenue imputed; ","")&amp;IF(Raw_Data!J802&lt;0,"Clicks corrected; ",""))</f>
        <v/>
      </c>
    </row>
    <row r="803" customFormat="false" ht="15" hidden="false" customHeight="true" outlineLevel="0" collapsed="false">
      <c r="A803" s="11" t="n">
        <f aca="false">Raw_Data!A803</f>
        <v>1685</v>
      </c>
      <c r="B803" s="11" t="str">
        <f aca="false">PROPER(TRIM(Raw_Data!B803))</f>
        <v>Herbal Range Awareness</v>
      </c>
      <c r="C803" s="11" t="str">
        <f aca="false">IFERROR(INDEX(Lookup_Tables!$B$2:$B$26,MATCH(UPPER(TRIM(Raw_Data!C803)),Lookup_Tables!$C$2:$C$26,0)),"Unknown")</f>
        <v>YouTube</v>
      </c>
      <c r="D803" s="12" t="n">
        <f aca="false">IFERROR(IF(ISNUMBER(SEARCH("/",Raw_Data!D803)),DATE(VALUE(RIGHT(Raw_Data!D803,4)),VALUE(MID(Raw_Data!D803,FIND("/",Raw_Data!D803)+1,FIND("/",Raw_Data!D803,FIND("/",Raw_Data!D803)+1)-FIND("/",Raw_Data!D803)-1)),VALUE(LEFT(Raw_Data!D803,FIND("/",Raw_Data!D803)-1))),IF(ISNUMBER(VALUE(LEFT(Raw_Data!D803,4))),DATE(VALUE(LEFT(Raw_Data!D803,4)),VALUE(MID(Raw_Data!D803,6,2)),VALUE(MID(Raw_Data!D803,9,2))),DATEVALUE(Raw_Data!D803))),"")</f>
        <v>45606</v>
      </c>
      <c r="E803" s="12" t="n">
        <f aca="false">IFERROR(IF(ISNUMBER(SEARCH("/",Raw_Data!E803)),DATE(VALUE(RIGHT(Raw_Data!E803,4)),VALUE(MID(Raw_Data!E803,FIND("/",Raw_Data!E803)+1,FIND("/",Raw_Data!E803,FIND("/",Raw_Data!E803)+1)-FIND("/",Raw_Data!E803)-1)),VALUE(LEFT(Raw_Data!E803,FIND("/",Raw_Data!E803)-1))),IF(ISNUMBER(VALUE(LEFT(Raw_Data!E803,4))),DATE(VALUE(LEFT(Raw_Data!E803,4)),VALUE(MID(Raw_Data!E803,6,2)),VALUE(MID(Raw_Data!E803,9,2))),DATEVALUE(Raw_Data!E803))),"")</f>
        <v>45613</v>
      </c>
      <c r="F803" s="11" t="str">
        <f aca="false">Raw_Data!F803</f>
        <v>Female 25-34</v>
      </c>
      <c r="G803" s="11" t="str">
        <f aca="false">IF(TRIM(Raw_Data!G803)="","Unspecified",IFERROR(INDEX(Lookup_Tables!$F$2:$F$24,MATCH(UPPER(TRIM(Raw_Data!G803)),Lookup_Tables!$G$2:$G$24,0)),"Unknown"))</f>
        <v>North</v>
      </c>
      <c r="H803" s="11" t="n">
        <f aca="false">IF(Raw_Data!H803="",ROUND(AVERAGEIFS(Raw_Data!$H$2:$H$839,Raw_Data!$C$2:$C$839,Raw_Data!C803),2),Raw_Data!H803)</f>
        <v>46028.36</v>
      </c>
      <c r="I803" s="11" t="n">
        <f aca="false">Raw_Data!I803</f>
        <v>875927</v>
      </c>
      <c r="J803" s="11" t="n">
        <f aca="false">IF(Raw_Data!J803&lt;0,ABS(Raw_Data!J803),Raw_Data!J803)</f>
        <v>9493</v>
      </c>
      <c r="K803" s="11" t="n">
        <f aca="false">Raw_Data!K803</f>
        <v>746</v>
      </c>
      <c r="L803" s="11" t="n">
        <f aca="false">IF(Raw_Data!L803="",ROUND(AVERAGEIFS(Raw_Data!$L$2:$L$839,Raw_Data!$C$2:$C$839,Raw_Data!C803),2),Raw_Data!L803)</f>
        <v>1098048.29</v>
      </c>
      <c r="M803" s="13" t="n">
        <f aca="false">IFERROR(J803/I803,0)</f>
        <v>0.010837661129295</v>
      </c>
      <c r="N803" s="14" t="n">
        <f aca="false">IFERROR(H803/J803,0)</f>
        <v>4.8486632255346</v>
      </c>
      <c r="O803" s="14" t="n">
        <f aca="false">IFERROR(H803/K803,0)</f>
        <v>61.7002144772118</v>
      </c>
      <c r="P803" s="15" t="n">
        <f aca="false">IFERROR(L803/H803,0)</f>
        <v>23.8559073145339</v>
      </c>
      <c r="Q803" s="13" t="n">
        <f aca="false">IFERROR(K803/J803,0)</f>
        <v>0.0785842199515432</v>
      </c>
      <c r="R803" s="11" t="str">
        <f aca="false">IF(COUNTIF($A$2:A803,A803)&gt;1,"Duplicate - Remove","Unique")</f>
        <v>Unique</v>
      </c>
      <c r="S803" s="11" t="str">
        <f aca="false">TRIM(IF(Raw_Data!G803="","Region missing; ","")&amp;IF(Raw_Data!H803="","Spend imputed; ","")&amp;IF(Raw_Data!L803="","Revenue imputed; ","")&amp;IF(Raw_Data!J803&lt;0,"Clicks corrected; ",""))</f>
        <v/>
      </c>
    </row>
    <row r="804" customFormat="false" ht="15" hidden="false" customHeight="true" outlineLevel="0" collapsed="false">
      <c r="A804" s="11" t="n">
        <f aca="false">Raw_Data!A804</f>
        <v>1615</v>
      </c>
      <c r="B804" s="11" t="str">
        <f aca="false">PROPER(TRIM(Raw_Data!B804))</f>
        <v>Summer Glow Launch</v>
      </c>
      <c r="C804" s="11" t="str">
        <f aca="false">IFERROR(INDEX(Lookup_Tables!$B$2:$B$26,MATCH(UPPER(TRIM(Raw_Data!C804)),Lookup_Tables!$C$2:$C$26,0)),"Unknown")</f>
        <v>Email</v>
      </c>
      <c r="D804" s="12" t="n">
        <f aca="false">IFERROR(IF(ISNUMBER(SEARCH("/",Raw_Data!D804)),DATE(VALUE(RIGHT(Raw_Data!D804,4)),VALUE(MID(Raw_Data!D804,FIND("/",Raw_Data!D804)+1,FIND("/",Raw_Data!D804,FIND("/",Raw_Data!D804)+1)-FIND("/",Raw_Data!D804)-1)),VALUE(LEFT(Raw_Data!D804,FIND("/",Raw_Data!D804)-1))),IF(ISNUMBER(VALUE(LEFT(Raw_Data!D804,4))),DATE(VALUE(LEFT(Raw_Data!D804,4)),VALUE(MID(Raw_Data!D804,6,2)),VALUE(MID(Raw_Data!D804,9,2))),DATEVALUE(Raw_Data!D804))),"")</f>
        <v>45587</v>
      </c>
      <c r="E804" s="12" t="n">
        <f aca="false">IFERROR(IF(ISNUMBER(SEARCH("/",Raw_Data!E804)),DATE(VALUE(RIGHT(Raw_Data!E804,4)),VALUE(MID(Raw_Data!E804,FIND("/",Raw_Data!E804)+1,FIND("/",Raw_Data!E804,FIND("/",Raw_Data!E804)+1)-FIND("/",Raw_Data!E804)-1)),VALUE(LEFT(Raw_Data!E804,FIND("/",Raw_Data!E804)-1))),IF(ISNUMBER(VALUE(LEFT(Raw_Data!E804,4))),DATE(VALUE(LEFT(Raw_Data!E804,4)),VALUE(MID(Raw_Data!E804,6,2)),VALUE(MID(Raw_Data!E804,9,2))),DATEVALUE(Raw_Data!E804))),"")</f>
        <v>45604</v>
      </c>
      <c r="F804" s="11" t="str">
        <f aca="false">Raw_Data!F804</f>
        <v>Male 25-34</v>
      </c>
      <c r="G804" s="11" t="str">
        <f aca="false">IF(TRIM(Raw_Data!G804)="","Unspecified",IFERROR(INDEX(Lookup_Tables!$F$2:$F$24,MATCH(UPPER(TRIM(Raw_Data!G804)),Lookup_Tables!$G$2:$G$24,0)),"Unknown"))</f>
        <v>Central</v>
      </c>
      <c r="H804" s="11" t="n">
        <f aca="false">IF(Raw_Data!H804="",ROUND(AVERAGEIFS(Raw_Data!$H$2:$H$839,Raw_Data!$C$2:$C$839,Raw_Data!C804),2),Raw_Data!H804)</f>
        <v>1199.89</v>
      </c>
      <c r="I804" s="11" t="n">
        <f aca="false">Raw_Data!I804</f>
        <v>33363</v>
      </c>
      <c r="J804" s="11" t="n">
        <f aca="false">IF(Raw_Data!J804&lt;0,ABS(Raw_Data!J804),Raw_Data!J804)</f>
        <v>1089</v>
      </c>
      <c r="K804" s="11" t="n">
        <f aca="false">Raw_Data!K804</f>
        <v>78</v>
      </c>
      <c r="L804" s="11" t="n">
        <f aca="false">IF(Raw_Data!L804="",ROUND(AVERAGEIFS(Raw_Data!$L$2:$L$839,Raw_Data!$C$2:$C$839,Raw_Data!C804),2),Raw_Data!L804)</f>
        <v>136468.15</v>
      </c>
      <c r="M804" s="13" t="n">
        <f aca="false">IFERROR(J804/I804,0)</f>
        <v>0.0326409495548961</v>
      </c>
      <c r="N804" s="14" t="n">
        <f aca="false">IFERROR(H804/J804,0)</f>
        <v>1.10182736455464</v>
      </c>
      <c r="O804" s="14" t="n">
        <f aca="false">IFERROR(H804/K804,0)</f>
        <v>15.3832051282051</v>
      </c>
      <c r="P804" s="15" t="n">
        <f aca="false">IFERROR(L804/H804,0)</f>
        <v>113.733883939361</v>
      </c>
      <c r="Q804" s="13" t="n">
        <f aca="false">IFERROR(K804/J804,0)</f>
        <v>0.0716253443526171</v>
      </c>
      <c r="R804" s="11" t="str">
        <f aca="false">IF(COUNTIF($A$2:A804,A804)&gt;1,"Duplicate - Remove","Unique")</f>
        <v>Unique</v>
      </c>
      <c r="S804" s="11" t="str">
        <f aca="false">TRIM(IF(Raw_Data!G804="","Region missing; ","")&amp;IF(Raw_Data!H804="","Spend imputed; ","")&amp;IF(Raw_Data!L804="","Revenue imputed; ","")&amp;IF(Raw_Data!J804&lt;0,"Clicks corrected; ",""))</f>
        <v/>
      </c>
    </row>
    <row r="805" customFormat="false" ht="15" hidden="false" customHeight="true" outlineLevel="0" collapsed="false">
      <c r="A805" s="11" t="n">
        <f aca="false">Raw_Data!A805</f>
        <v>1152</v>
      </c>
      <c r="B805" s="11" t="str">
        <f aca="false">PROPER(TRIM(Raw_Data!B805))</f>
        <v>Influencer Collab - Skincare</v>
      </c>
      <c r="C805" s="11" t="str">
        <f aca="false">IFERROR(INDEX(Lookup_Tables!$B$2:$B$26,MATCH(UPPER(TRIM(Raw_Data!C805)),Lookup_Tables!$C$2:$C$26,0)),"Unknown")</f>
        <v>Google Ads</v>
      </c>
      <c r="D805" s="12" t="n">
        <f aca="false">IFERROR(IF(ISNUMBER(SEARCH("/",Raw_Data!D805)),DATE(VALUE(RIGHT(Raw_Data!D805,4)),VALUE(MID(Raw_Data!D805,FIND("/",Raw_Data!D805)+1,FIND("/",Raw_Data!D805,FIND("/",Raw_Data!D805)+1)-FIND("/",Raw_Data!D805)-1)),VALUE(LEFT(Raw_Data!D805,FIND("/",Raw_Data!D805)-1))),IF(ISNUMBER(VALUE(LEFT(Raw_Data!D805,4))),DATE(VALUE(LEFT(Raw_Data!D805,4)),VALUE(MID(Raw_Data!D805,6,2)),VALUE(MID(Raw_Data!D805,9,2))),DATEVALUE(Raw_Data!D805))),"")</f>
        <v>45587</v>
      </c>
      <c r="E805" s="12" t="n">
        <f aca="false">IFERROR(IF(ISNUMBER(SEARCH("/",Raw_Data!E805)),DATE(VALUE(RIGHT(Raw_Data!E805,4)),VALUE(MID(Raw_Data!E805,FIND("/",Raw_Data!E805)+1,FIND("/",Raw_Data!E805,FIND("/",Raw_Data!E805)+1)-FIND("/",Raw_Data!E805)-1)),VALUE(LEFT(Raw_Data!E805,FIND("/",Raw_Data!E805)-1))),IF(ISNUMBER(VALUE(LEFT(Raw_Data!E805,4))),DATE(VALUE(LEFT(Raw_Data!E805,4)),VALUE(MID(Raw_Data!E805,6,2)),VALUE(MID(Raw_Data!E805,9,2))),DATEVALUE(Raw_Data!E805))),"")</f>
        <v>45612</v>
      </c>
      <c r="F805" s="11" t="str">
        <f aca="false">Raw_Data!F805</f>
        <v>Male 25-34</v>
      </c>
      <c r="G805" s="11" t="str">
        <f aca="false">IF(TRIM(Raw_Data!G805)="","Unspecified",IFERROR(INDEX(Lookup_Tables!$F$2:$F$24,MATCH(UPPER(TRIM(Raw_Data!G805)),Lookup_Tables!$G$2:$G$24,0)),"Unknown"))</f>
        <v>West</v>
      </c>
      <c r="H805" s="11" t="n">
        <f aca="false">IF(Raw_Data!H805="",ROUND(AVERAGEIFS(Raw_Data!$H$2:$H$839,Raw_Data!$C$2:$C$839,Raw_Data!C805),2),Raw_Data!H805)</f>
        <v>44730.33</v>
      </c>
      <c r="I805" s="11" t="n">
        <f aca="false">Raw_Data!I805</f>
        <v>1242141</v>
      </c>
      <c r="J805" s="11" t="n">
        <f aca="false">IF(Raw_Data!J805&lt;0,ABS(Raw_Data!J805),Raw_Data!J805)</f>
        <v>8276</v>
      </c>
      <c r="K805" s="11" t="n">
        <f aca="false">Raw_Data!K805</f>
        <v>580</v>
      </c>
      <c r="L805" s="11" t="n">
        <f aca="false">IF(Raw_Data!L805="",ROUND(AVERAGEIFS(Raw_Data!$L$2:$L$839,Raw_Data!$C$2:$C$839,Raw_Data!C805),2),Raw_Data!L805)</f>
        <v>343347.25</v>
      </c>
      <c r="M805" s="13" t="n">
        <f aca="false">IFERROR(J805/I805,0)</f>
        <v>0.00666268966244573</v>
      </c>
      <c r="N805" s="14" t="n">
        <f aca="false">IFERROR(H805/J805,0)</f>
        <v>5.40482479458676</v>
      </c>
      <c r="O805" s="14" t="n">
        <f aca="false">IFERROR(H805/K805,0)</f>
        <v>77.1212586206897</v>
      </c>
      <c r="P805" s="15" t="n">
        <f aca="false">IFERROR(L805/H805,0)</f>
        <v>7.67593822804348</v>
      </c>
      <c r="Q805" s="13" t="n">
        <f aca="false">IFERROR(K805/J805,0)</f>
        <v>0.0700821652972451</v>
      </c>
      <c r="R805" s="11" t="str">
        <f aca="false">IF(COUNTIF($A$2:A805,A805)&gt;1,"Duplicate - Remove","Unique")</f>
        <v>Unique</v>
      </c>
      <c r="S805" s="11" t="str">
        <f aca="false">TRIM(IF(Raw_Data!G805="","Region missing; ","")&amp;IF(Raw_Data!H805="","Spend imputed; ","")&amp;IF(Raw_Data!L805="","Revenue imputed; ","")&amp;IF(Raw_Data!J805&lt;0,"Clicks corrected; ",""))</f>
        <v/>
      </c>
    </row>
    <row r="806" customFormat="false" ht="15" hidden="false" customHeight="true" outlineLevel="0" collapsed="false">
      <c r="A806" s="11" t="n">
        <f aca="false">Raw_Data!A806</f>
        <v>1559</v>
      </c>
      <c r="B806" s="11" t="str">
        <f aca="false">PROPER(TRIM(Raw_Data!B806))</f>
        <v>Summer Glow Launch</v>
      </c>
      <c r="C806" s="11" t="str">
        <f aca="false">IFERROR(INDEX(Lookup_Tables!$B$2:$B$26,MATCH(UPPER(TRIM(Raw_Data!C806)),Lookup_Tables!$C$2:$C$26,0)),"Unknown")</f>
        <v>Instagram</v>
      </c>
      <c r="D806" s="12" t="n">
        <f aca="false">IFERROR(IF(ISNUMBER(SEARCH("/",Raw_Data!D806)),DATE(VALUE(RIGHT(Raw_Data!D806,4)),VALUE(MID(Raw_Data!D806,FIND("/",Raw_Data!D806)+1,FIND("/",Raw_Data!D806,FIND("/",Raw_Data!D806)+1)-FIND("/",Raw_Data!D806)-1)),VALUE(LEFT(Raw_Data!D806,FIND("/",Raw_Data!D806)-1))),IF(ISNUMBER(VALUE(LEFT(Raw_Data!D806,4))),DATE(VALUE(LEFT(Raw_Data!D806,4)),VALUE(MID(Raw_Data!D806,6,2)),VALUE(MID(Raw_Data!D806,9,2))),DATEVALUE(Raw_Data!D806))),"")</f>
        <v>45466</v>
      </c>
      <c r="E806" s="12" t="n">
        <f aca="false">IFERROR(IF(ISNUMBER(SEARCH("/",Raw_Data!E806)),DATE(VALUE(RIGHT(Raw_Data!E806,4)),VALUE(MID(Raw_Data!E806,FIND("/",Raw_Data!E806)+1,FIND("/",Raw_Data!E806,FIND("/",Raw_Data!E806)+1)-FIND("/",Raw_Data!E806)-1)),VALUE(LEFT(Raw_Data!E806,FIND("/",Raw_Data!E806)-1))),IF(ISNUMBER(VALUE(LEFT(Raw_Data!E806,4))),DATE(VALUE(LEFT(Raw_Data!E806,4)),VALUE(MID(Raw_Data!E806,6,2)),VALUE(MID(Raw_Data!E806,9,2))),DATEVALUE(Raw_Data!E806))),"")</f>
        <v>45476</v>
      </c>
      <c r="F806" s="11" t="str">
        <f aca="false">Raw_Data!F806</f>
        <v>Female 25-34</v>
      </c>
      <c r="G806" s="11" t="str">
        <f aca="false">IF(TRIM(Raw_Data!G806)="","Unspecified",IFERROR(INDEX(Lookup_Tables!$F$2:$F$24,MATCH(UPPER(TRIM(Raw_Data!G806)),Lookup_Tables!$G$2:$G$24,0)),"Unknown"))</f>
        <v>East</v>
      </c>
      <c r="H806" s="11" t="n">
        <f aca="false">IF(Raw_Data!H806="",ROUND(AVERAGEIFS(Raw_Data!$H$2:$H$839,Raw_Data!$C$2:$C$839,Raw_Data!C806),2),Raw_Data!H806)</f>
        <v>45958.81</v>
      </c>
      <c r="I806" s="11" t="n">
        <f aca="false">Raw_Data!I806</f>
        <v>1736080</v>
      </c>
      <c r="J806" s="11" t="n">
        <f aca="false">IF(Raw_Data!J806&lt;0,ABS(Raw_Data!J806),Raw_Data!J806)</f>
        <v>42129</v>
      </c>
      <c r="K806" s="11" t="n">
        <f aca="false">Raw_Data!K806</f>
        <v>1884</v>
      </c>
      <c r="L806" s="11" t="n">
        <f aca="false">IF(Raw_Data!L806="",ROUND(AVERAGEIFS(Raw_Data!$L$2:$L$839,Raw_Data!$C$2:$C$839,Raw_Data!C806),2),Raw_Data!L806)</f>
        <v>2933358.27</v>
      </c>
      <c r="M806" s="13" t="n">
        <f aca="false">IFERROR(J806/I806,0)</f>
        <v>0.0242667388599604</v>
      </c>
      <c r="N806" s="14" t="n">
        <f aca="false">IFERROR(H806/J806,0)</f>
        <v>1.09090673882599</v>
      </c>
      <c r="O806" s="14" t="n">
        <f aca="false">IFERROR(H806/K806,0)</f>
        <v>24.3942728237792</v>
      </c>
      <c r="P806" s="15" t="n">
        <f aca="false">IFERROR(L806/H806,0)</f>
        <v>63.8258098936852</v>
      </c>
      <c r="Q806" s="13" t="n">
        <f aca="false">IFERROR(K806/J806,0)</f>
        <v>0.0447197892188279</v>
      </c>
      <c r="R806" s="11" t="str">
        <f aca="false">IF(COUNTIF($A$2:A806,A806)&gt;1,"Duplicate - Remove","Unique")</f>
        <v>Unique</v>
      </c>
      <c r="S806" s="11" t="str">
        <f aca="false">TRIM(IF(Raw_Data!G806="","Region missing; ","")&amp;IF(Raw_Data!H806="","Spend imputed; ","")&amp;IF(Raw_Data!L806="","Revenue imputed; ","")&amp;IF(Raw_Data!J806&lt;0,"Clicks corrected; ",""))</f>
        <v/>
      </c>
    </row>
    <row r="807" customFormat="false" ht="15" hidden="false" customHeight="true" outlineLevel="0" collapsed="false">
      <c r="A807" s="11" t="n">
        <f aca="false">Raw_Data!A807</f>
        <v>1088</v>
      </c>
      <c r="B807" s="11" t="str">
        <f aca="false">PROPER(TRIM(Raw_Data!B807))</f>
        <v>Hair Care Revamp</v>
      </c>
      <c r="C807" s="11" t="str">
        <f aca="false">IFERROR(INDEX(Lookup_Tables!$B$2:$B$26,MATCH(UPPER(TRIM(Raw_Data!C807)),Lookup_Tables!$C$2:$C$26,0)),"Unknown")</f>
        <v>Google Ads</v>
      </c>
      <c r="D807" s="12" t="n">
        <f aca="false">IFERROR(IF(ISNUMBER(SEARCH("/",Raw_Data!D807)),DATE(VALUE(RIGHT(Raw_Data!D807,4)),VALUE(MID(Raw_Data!D807,FIND("/",Raw_Data!D807)+1,FIND("/",Raw_Data!D807,FIND("/",Raw_Data!D807)+1)-FIND("/",Raw_Data!D807)-1)),VALUE(LEFT(Raw_Data!D807,FIND("/",Raw_Data!D807)-1))),IF(ISNUMBER(VALUE(LEFT(Raw_Data!D807,4))),DATE(VALUE(LEFT(Raw_Data!D807,4)),VALUE(MID(Raw_Data!D807,6,2)),VALUE(MID(Raw_Data!D807,9,2))),DATEVALUE(Raw_Data!D807))),"")</f>
        <v>45354</v>
      </c>
      <c r="E807" s="12" t="n">
        <f aca="false">IFERROR(IF(ISNUMBER(SEARCH("/",Raw_Data!E807)),DATE(VALUE(RIGHT(Raw_Data!E807,4)),VALUE(MID(Raw_Data!E807,FIND("/",Raw_Data!E807)+1,FIND("/",Raw_Data!E807,FIND("/",Raw_Data!E807)+1)-FIND("/",Raw_Data!E807)-1)),VALUE(LEFT(Raw_Data!E807,FIND("/",Raw_Data!E807)-1))),IF(ISNUMBER(VALUE(LEFT(Raw_Data!E807,4))),DATE(VALUE(LEFT(Raw_Data!E807,4)),VALUE(MID(Raw_Data!E807,6,2)),VALUE(MID(Raw_Data!E807,9,2))),DATEVALUE(Raw_Data!E807))),"")</f>
        <v>45365</v>
      </c>
      <c r="F807" s="11" t="str">
        <f aca="false">Raw_Data!F807</f>
        <v>Male 18-24</v>
      </c>
      <c r="G807" s="11" t="str">
        <f aca="false">IF(TRIM(Raw_Data!G807)="","Unspecified",IFERROR(INDEX(Lookup_Tables!$F$2:$F$24,MATCH(UPPER(TRIM(Raw_Data!G807)),Lookup_Tables!$G$2:$G$24,0)),"Unknown"))</f>
        <v>South</v>
      </c>
      <c r="H807" s="11" t="n">
        <f aca="false">IF(Raw_Data!H807="",ROUND(AVERAGEIFS(Raw_Data!$H$2:$H$839,Raw_Data!$C$2:$C$839,Raw_Data!C807),2),Raw_Data!H807)</f>
        <v>26571.53</v>
      </c>
      <c r="I807" s="11" t="n">
        <f aca="false">Raw_Data!I807</f>
        <v>726745</v>
      </c>
      <c r="J807" s="11" t="n">
        <f aca="false">IF(Raw_Data!J807&lt;0,ABS(Raw_Data!J807),Raw_Data!J807)</f>
        <v>11502</v>
      </c>
      <c r="K807" s="11" t="n">
        <f aca="false">Raw_Data!K807</f>
        <v>575</v>
      </c>
      <c r="L807" s="11" t="n">
        <f aca="false">IF(Raw_Data!L807="",ROUND(AVERAGEIFS(Raw_Data!$L$2:$L$839,Raw_Data!$C$2:$C$839,Raw_Data!C807),2),Raw_Data!L807)</f>
        <v>590949.62</v>
      </c>
      <c r="M807" s="13" t="n">
        <f aca="false">IFERROR(J807/I807,0)</f>
        <v>0.0158267342740576</v>
      </c>
      <c r="N807" s="14" t="n">
        <f aca="false">IFERROR(H807/J807,0)</f>
        <v>2.31016605807686</v>
      </c>
      <c r="O807" s="14" t="n">
        <f aca="false">IFERROR(H807/K807,0)</f>
        <v>46.2113565217391</v>
      </c>
      <c r="P807" s="15" t="n">
        <f aca="false">IFERROR(L807/H807,0)</f>
        <v>22.2399545679154</v>
      </c>
      <c r="Q807" s="13" t="n">
        <f aca="false">IFERROR(K807/J807,0)</f>
        <v>0.0499913058598505</v>
      </c>
      <c r="R807" s="11" t="str">
        <f aca="false">IF(COUNTIF($A$2:A807,A807)&gt;1,"Duplicate - Remove","Unique")</f>
        <v>Unique</v>
      </c>
      <c r="S807" s="11" t="str">
        <f aca="false">TRIM(IF(Raw_Data!G807="","Region missing; ","")&amp;IF(Raw_Data!H807="","Spend imputed; ","")&amp;IF(Raw_Data!L807="","Revenue imputed; ","")&amp;IF(Raw_Data!J807&lt;0,"Clicks corrected; ",""))</f>
        <v/>
      </c>
    </row>
    <row r="808" customFormat="false" ht="15" hidden="false" customHeight="true" outlineLevel="0" collapsed="false">
      <c r="A808" s="11" t="n">
        <f aca="false">Raw_Data!A808</f>
        <v>1164</v>
      </c>
      <c r="B808" s="11" t="str">
        <f aca="false">PROPER(TRIM(Raw_Data!B808))</f>
        <v>Wedding Season Special</v>
      </c>
      <c r="C808" s="11" t="str">
        <f aca="false">IFERROR(INDEX(Lookup_Tables!$B$2:$B$26,MATCH(UPPER(TRIM(Raw_Data!C808)),Lookup_Tables!$C$2:$C$26,0)),"Unknown")</f>
        <v>Email</v>
      </c>
      <c r="D808" s="12" t="n">
        <f aca="false">IFERROR(IF(ISNUMBER(SEARCH("/",Raw_Data!D808)),DATE(VALUE(RIGHT(Raw_Data!D808,4)),VALUE(MID(Raw_Data!D808,FIND("/",Raw_Data!D808)+1,FIND("/",Raw_Data!D808,FIND("/",Raw_Data!D808)+1)-FIND("/",Raw_Data!D808)-1)),VALUE(LEFT(Raw_Data!D808,FIND("/",Raw_Data!D808)-1))),IF(ISNUMBER(VALUE(LEFT(Raw_Data!D808,4))),DATE(VALUE(LEFT(Raw_Data!D808,4)),VALUE(MID(Raw_Data!D808,6,2)),VALUE(MID(Raw_Data!D808,9,2))),DATEVALUE(Raw_Data!D808))),"")</f>
        <v>45594</v>
      </c>
      <c r="E808" s="12" t="n">
        <f aca="false">IFERROR(IF(ISNUMBER(SEARCH("/",Raw_Data!E808)),DATE(VALUE(RIGHT(Raw_Data!E808,4)),VALUE(MID(Raw_Data!E808,FIND("/",Raw_Data!E808)+1,FIND("/",Raw_Data!E808,FIND("/",Raw_Data!E808)+1)-FIND("/",Raw_Data!E808)-1)),VALUE(LEFT(Raw_Data!E808,FIND("/",Raw_Data!E808)-1))),IF(ISNUMBER(VALUE(LEFT(Raw_Data!E808,4))),DATE(VALUE(LEFT(Raw_Data!E808,4)),VALUE(MID(Raw_Data!E808,6,2)),VALUE(MID(Raw_Data!E808,9,2))),DATEVALUE(Raw_Data!E808))),"")</f>
        <v>45599</v>
      </c>
      <c r="F808" s="11" t="str">
        <f aca="false">Raw_Data!F808</f>
        <v>Male 35-44</v>
      </c>
      <c r="G808" s="11" t="str">
        <f aca="false">IF(TRIM(Raw_Data!G808)="","Unspecified",IFERROR(INDEX(Lookup_Tables!$F$2:$F$24,MATCH(UPPER(TRIM(Raw_Data!G808)),Lookup_Tables!$G$2:$G$24,0)),"Unknown"))</f>
        <v>South</v>
      </c>
      <c r="H808" s="11" t="n">
        <f aca="false">IF(Raw_Data!H808="",ROUND(AVERAGEIFS(Raw_Data!$H$2:$H$839,Raw_Data!$C$2:$C$839,Raw_Data!C808),2),Raw_Data!H808)</f>
        <v>5903.93</v>
      </c>
      <c r="I808" s="11" t="n">
        <f aca="false">Raw_Data!I808</f>
        <v>228416</v>
      </c>
      <c r="J808" s="11" t="n">
        <f aca="false">IF(Raw_Data!J808&lt;0,ABS(Raw_Data!J808),Raw_Data!J808)</f>
        <v>5004</v>
      </c>
      <c r="K808" s="11" t="n">
        <f aca="false">Raw_Data!K808</f>
        <v>247</v>
      </c>
      <c r="L808" s="11" t="n">
        <f aca="false">IF(Raw_Data!L808="",ROUND(AVERAGEIFS(Raw_Data!$L$2:$L$839,Raw_Data!$C$2:$C$839,Raw_Data!C808),2),Raw_Data!L808)</f>
        <v>153865.89</v>
      </c>
      <c r="M808" s="13" t="n">
        <f aca="false">IFERROR(J808/I808,0)</f>
        <v>0.0219073970299804</v>
      </c>
      <c r="N808" s="14" t="n">
        <f aca="false">IFERROR(H808/J808,0)</f>
        <v>1.17984212629896</v>
      </c>
      <c r="O808" s="14" t="n">
        <f aca="false">IFERROR(H808/K808,0)</f>
        <v>23.9025506072875</v>
      </c>
      <c r="P808" s="15" t="n">
        <f aca="false">IFERROR(L808/H808,0)</f>
        <v>26.0616047276983</v>
      </c>
      <c r="Q808" s="13" t="n">
        <f aca="false">IFERROR(K808/J808,0)</f>
        <v>0.0493605115907274</v>
      </c>
      <c r="R808" s="11" t="str">
        <f aca="false">IF(COUNTIF($A$2:A808,A808)&gt;1,"Duplicate - Remove","Unique")</f>
        <v>Unique</v>
      </c>
      <c r="S808" s="11" t="str">
        <f aca="false">TRIM(IF(Raw_Data!G808="","Region missing; ","")&amp;IF(Raw_Data!H808="","Spend imputed; ","")&amp;IF(Raw_Data!L808="","Revenue imputed; ","")&amp;IF(Raw_Data!J808&lt;0,"Clicks corrected; ",""))</f>
        <v/>
      </c>
    </row>
    <row r="809" customFormat="false" ht="15" hidden="false" customHeight="true" outlineLevel="0" collapsed="false">
      <c r="A809" s="11" t="n">
        <f aca="false">Raw_Data!A809</f>
        <v>1268</v>
      </c>
      <c r="B809" s="11" t="str">
        <f aca="false">PROPER(TRIM(Raw_Data!B809))</f>
        <v>Men'S Grooming Drive</v>
      </c>
      <c r="C809" s="11" t="str">
        <f aca="false">IFERROR(INDEX(Lookup_Tables!$B$2:$B$26,MATCH(UPPER(TRIM(Raw_Data!C809)),Lookup_Tables!$C$2:$C$26,0)),"Unknown")</f>
        <v>YouTube</v>
      </c>
      <c r="D809" s="12" t="n">
        <f aca="false">IFERROR(IF(ISNUMBER(SEARCH("/",Raw_Data!D809)),DATE(VALUE(RIGHT(Raw_Data!D809,4)),VALUE(MID(Raw_Data!D809,FIND("/",Raw_Data!D809)+1,FIND("/",Raw_Data!D809,FIND("/",Raw_Data!D809)+1)-FIND("/",Raw_Data!D809)-1)),VALUE(LEFT(Raw_Data!D809,FIND("/",Raw_Data!D809)-1))),IF(ISNUMBER(VALUE(LEFT(Raw_Data!D809,4))),DATE(VALUE(LEFT(Raw_Data!D809,4)),VALUE(MID(Raw_Data!D809,6,2)),VALUE(MID(Raw_Data!D809,9,2))),DATEVALUE(Raw_Data!D809))),"")</f>
        <v>45326</v>
      </c>
      <c r="E809" s="12" t="n">
        <f aca="false">IFERROR(IF(ISNUMBER(SEARCH("/",Raw_Data!E809)),DATE(VALUE(RIGHT(Raw_Data!E809,4)),VALUE(MID(Raw_Data!E809,FIND("/",Raw_Data!E809)+1,FIND("/",Raw_Data!E809,FIND("/",Raw_Data!E809)+1)-FIND("/",Raw_Data!E809)-1)),VALUE(LEFT(Raw_Data!E809,FIND("/",Raw_Data!E809)-1))),IF(ISNUMBER(VALUE(LEFT(Raw_Data!E809,4))),DATE(VALUE(LEFT(Raw_Data!E809,4)),VALUE(MID(Raw_Data!E809,6,2)),VALUE(MID(Raw_Data!E809,9,2))),DATEVALUE(Raw_Data!E809))),"")</f>
        <v>45343</v>
      </c>
      <c r="F809" s="11" t="str">
        <f aca="false">Raw_Data!F809</f>
        <v>Female 18-24</v>
      </c>
      <c r="G809" s="11" t="str">
        <f aca="false">IF(TRIM(Raw_Data!G809)="","Unspecified",IFERROR(INDEX(Lookup_Tables!$F$2:$F$24,MATCH(UPPER(TRIM(Raw_Data!G809)),Lookup_Tables!$G$2:$G$24,0)),"Unknown"))</f>
        <v>Central</v>
      </c>
      <c r="H809" s="11" t="n">
        <f aca="false">IF(Raw_Data!H809="",ROUND(AVERAGEIFS(Raw_Data!$H$2:$H$839,Raw_Data!$C$2:$C$839,Raw_Data!C809),2),Raw_Data!H809)</f>
        <v>35348.28</v>
      </c>
      <c r="I809" s="11" t="n">
        <f aca="false">Raw_Data!I809</f>
        <v>1283215</v>
      </c>
      <c r="J809" s="11" t="n">
        <f aca="false">IF(Raw_Data!J809&lt;0,ABS(Raw_Data!J809),Raw_Data!J809)</f>
        <v>31827</v>
      </c>
      <c r="K809" s="11" t="n">
        <f aca="false">Raw_Data!K809</f>
        <v>2243</v>
      </c>
      <c r="L809" s="11" t="n">
        <f aca="false">IF(Raw_Data!L809="",ROUND(AVERAGEIFS(Raw_Data!$L$2:$L$839,Raw_Data!$C$2:$C$839,Raw_Data!C809),2),Raw_Data!L809)</f>
        <v>847099.39</v>
      </c>
      <c r="M809" s="13" t="n">
        <f aca="false">IFERROR(J809/I809,0)</f>
        <v>0.0248025467283347</v>
      </c>
      <c r="N809" s="14" t="n">
        <f aca="false">IFERROR(H809/J809,0)</f>
        <v>1.11063813743048</v>
      </c>
      <c r="O809" s="14" t="n">
        <f aca="false">IFERROR(H809/K809,0)</f>
        <v>15.759375835934</v>
      </c>
      <c r="P809" s="15" t="n">
        <f aca="false">IFERROR(L809/H809,0)</f>
        <v>23.9643736555216</v>
      </c>
      <c r="Q809" s="13" t="n">
        <f aca="false">IFERROR(K809/J809,0)</f>
        <v>0.070474754139567</v>
      </c>
      <c r="R809" s="11" t="str">
        <f aca="false">IF(COUNTIF($A$2:A809,A809)&gt;1,"Duplicate - Remove","Unique")</f>
        <v>Unique</v>
      </c>
      <c r="S809" s="11" t="str">
        <f aca="false">TRIM(IF(Raw_Data!G809="","Region missing; ","")&amp;IF(Raw_Data!H809="","Spend imputed; ","")&amp;IF(Raw_Data!L809="","Revenue imputed; ","")&amp;IF(Raw_Data!J809&lt;0,"Clicks corrected; ",""))</f>
        <v/>
      </c>
    </row>
    <row r="810" customFormat="false" ht="15" hidden="false" customHeight="true" outlineLevel="0" collapsed="false">
      <c r="A810" s="11" t="n">
        <f aca="false">Raw_Data!A810</f>
        <v>1300</v>
      </c>
      <c r="B810" s="11" t="str">
        <f aca="false">PROPER(TRIM(Raw_Data!B810))</f>
        <v>Baby Care Trust Campaign</v>
      </c>
      <c r="C810" s="11" t="str">
        <f aca="false">IFERROR(INDEX(Lookup_Tables!$B$2:$B$26,MATCH(UPPER(TRIM(Raw_Data!C810)),Lookup_Tables!$C$2:$C$26,0)),"Unknown")</f>
        <v>YouTube</v>
      </c>
      <c r="D810" s="12" t="n">
        <f aca="false">IFERROR(IF(ISNUMBER(SEARCH("/",Raw_Data!D810)),DATE(VALUE(RIGHT(Raw_Data!D810,4)),VALUE(MID(Raw_Data!D810,FIND("/",Raw_Data!D810)+1,FIND("/",Raw_Data!D810,FIND("/",Raw_Data!D810)+1)-FIND("/",Raw_Data!D810)-1)),VALUE(LEFT(Raw_Data!D810,FIND("/",Raw_Data!D810)-1))),IF(ISNUMBER(VALUE(LEFT(Raw_Data!D810,4))),DATE(VALUE(LEFT(Raw_Data!D810,4)),VALUE(MID(Raw_Data!D810,6,2)),VALUE(MID(Raw_Data!D810,9,2))),DATEVALUE(Raw_Data!D810))),"")</f>
        <v>45309</v>
      </c>
      <c r="E810" s="12" t="n">
        <f aca="false">IFERROR(IF(ISNUMBER(SEARCH("/",Raw_Data!E810)),DATE(VALUE(RIGHT(Raw_Data!E810,4)),VALUE(MID(Raw_Data!E810,FIND("/",Raw_Data!E810)+1,FIND("/",Raw_Data!E810,FIND("/",Raw_Data!E810)+1)-FIND("/",Raw_Data!E810)-1)),VALUE(LEFT(Raw_Data!E810,FIND("/",Raw_Data!E810)-1))),IF(ISNUMBER(VALUE(LEFT(Raw_Data!E810,4))),DATE(VALUE(LEFT(Raw_Data!E810,4)),VALUE(MID(Raw_Data!E810,6,2)),VALUE(MID(Raw_Data!E810,9,2))),DATEVALUE(Raw_Data!E810))),"")</f>
        <v>45315</v>
      </c>
      <c r="F810" s="11" t="str">
        <f aca="false">Raw_Data!F810</f>
        <v>Male 35-44</v>
      </c>
      <c r="G810" s="11" t="str">
        <f aca="false">IF(TRIM(Raw_Data!G810)="","Unspecified",IFERROR(INDEX(Lookup_Tables!$F$2:$F$24,MATCH(UPPER(TRIM(Raw_Data!G810)),Lookup_Tables!$G$2:$G$24,0)),"Unknown"))</f>
        <v>Central</v>
      </c>
      <c r="H810" s="11" t="n">
        <f aca="false">IF(Raw_Data!H810="",ROUND(AVERAGEIFS(Raw_Data!$H$2:$H$839,Raw_Data!$C$2:$C$839,Raw_Data!C810),2),Raw_Data!H810)</f>
        <v>51245.11</v>
      </c>
      <c r="I810" s="11" t="n">
        <f aca="false">Raw_Data!I810</f>
        <v>1240872</v>
      </c>
      <c r="J810" s="11" t="n">
        <f aca="false">IF(Raw_Data!J810&lt;0,ABS(Raw_Data!J810),Raw_Data!J810)</f>
        <v>27805</v>
      </c>
      <c r="K810" s="11" t="n">
        <f aca="false">Raw_Data!K810</f>
        <v>2149</v>
      </c>
      <c r="L810" s="11" t="n">
        <f aca="false">IF(Raw_Data!L810="",ROUND(AVERAGEIFS(Raw_Data!$L$2:$L$839,Raw_Data!$C$2:$C$839,Raw_Data!C810),2),Raw_Data!L810)</f>
        <v>1001630.64</v>
      </c>
      <c r="M810" s="13" t="n">
        <f aca="false">IFERROR(J810/I810,0)</f>
        <v>0.022407629473467</v>
      </c>
      <c r="N810" s="14" t="n">
        <f aca="false">IFERROR(H810/J810,0)</f>
        <v>1.8430178025535</v>
      </c>
      <c r="O810" s="14" t="n">
        <f aca="false">IFERROR(H810/K810,0)</f>
        <v>23.8460260586319</v>
      </c>
      <c r="P810" s="15" t="n">
        <f aca="false">IFERROR(L810/H810,0)</f>
        <v>19.5458774505509</v>
      </c>
      <c r="Q810" s="13" t="n">
        <f aca="false">IFERROR(K810/J810,0)</f>
        <v>0.0772882575076425</v>
      </c>
      <c r="R810" s="11" t="str">
        <f aca="false">IF(COUNTIF($A$2:A810,A810)&gt;1,"Duplicate - Remove","Unique")</f>
        <v>Unique</v>
      </c>
      <c r="S810" s="11" t="str">
        <f aca="false">TRIM(IF(Raw_Data!G810="","Region missing; ","")&amp;IF(Raw_Data!H810="","Spend imputed; ","")&amp;IF(Raw_Data!L810="","Revenue imputed; ","")&amp;IF(Raw_Data!J810&lt;0,"Clicks corrected; ",""))</f>
        <v/>
      </c>
    </row>
    <row r="811" customFormat="false" ht="15" hidden="false" customHeight="true" outlineLevel="0" collapsed="false">
      <c r="A811" s="11" t="n">
        <f aca="false">Raw_Data!A811</f>
        <v>1771</v>
      </c>
      <c r="B811" s="11" t="str">
        <f aca="false">PROPER(TRIM(Raw_Data!B811))</f>
        <v>Men'S Grooming Drive</v>
      </c>
      <c r="C811" s="11" t="str">
        <f aca="false">IFERROR(INDEX(Lookup_Tables!$B$2:$B$26,MATCH(UPPER(TRIM(Raw_Data!C811)),Lookup_Tables!$C$2:$C$26,0)),"Unknown")</f>
        <v>Facebook</v>
      </c>
      <c r="D811" s="12" t="n">
        <f aca="false">IFERROR(IF(ISNUMBER(SEARCH("/",Raw_Data!D811)),DATE(VALUE(RIGHT(Raw_Data!D811,4)),VALUE(MID(Raw_Data!D811,FIND("/",Raw_Data!D811)+1,FIND("/",Raw_Data!D811,FIND("/",Raw_Data!D811)+1)-FIND("/",Raw_Data!D811)-1)),VALUE(LEFT(Raw_Data!D811,FIND("/",Raw_Data!D811)-1))),IF(ISNUMBER(VALUE(LEFT(Raw_Data!D811,4))),DATE(VALUE(LEFT(Raw_Data!D811,4)),VALUE(MID(Raw_Data!D811,6,2)),VALUE(MID(Raw_Data!D811,9,2))),DATEVALUE(Raw_Data!D811))),"")</f>
        <v>45560</v>
      </c>
      <c r="E811" s="12" t="n">
        <f aca="false">IFERROR(IF(ISNUMBER(SEARCH("/",Raw_Data!E811)),DATE(VALUE(RIGHT(Raw_Data!E811,4)),VALUE(MID(Raw_Data!E811,FIND("/",Raw_Data!E811)+1,FIND("/",Raw_Data!E811,FIND("/",Raw_Data!E811)+1)-FIND("/",Raw_Data!E811)-1)),VALUE(LEFT(Raw_Data!E811,FIND("/",Raw_Data!E811)-1))),IF(ISNUMBER(VALUE(LEFT(Raw_Data!E811,4))),DATE(VALUE(LEFT(Raw_Data!E811,4)),VALUE(MID(Raw_Data!E811,6,2)),VALUE(MID(Raw_Data!E811,9,2))),DATEVALUE(Raw_Data!E811))),"")</f>
        <v>45579</v>
      </c>
      <c r="F811" s="11" t="str">
        <f aca="false">Raw_Data!F811</f>
        <v>Female 45+</v>
      </c>
      <c r="G811" s="11" t="str">
        <f aca="false">IF(TRIM(Raw_Data!G811)="","Unspecified",IFERROR(INDEX(Lookup_Tables!$F$2:$F$24,MATCH(UPPER(TRIM(Raw_Data!G811)),Lookup_Tables!$G$2:$G$24,0)),"Unknown"))</f>
        <v>West</v>
      </c>
      <c r="H811" s="11" t="n">
        <f aca="false">IF(Raw_Data!H811="",ROUND(AVERAGEIFS(Raw_Data!$H$2:$H$839,Raw_Data!$C$2:$C$839,Raw_Data!C811),2),Raw_Data!H811)</f>
        <v>47504.56</v>
      </c>
      <c r="I811" s="11" t="n">
        <f aca="false">Raw_Data!I811</f>
        <v>1132907</v>
      </c>
      <c r="J811" s="11" t="n">
        <f aca="false">IF(Raw_Data!J811&lt;0,ABS(Raw_Data!J811),Raw_Data!J811)</f>
        <v>26244</v>
      </c>
      <c r="K811" s="11" t="n">
        <f aca="false">Raw_Data!K811</f>
        <v>1582</v>
      </c>
      <c r="L811" s="11" t="n">
        <f aca="false">IF(Raw_Data!L811="",ROUND(AVERAGEIFS(Raw_Data!$L$2:$L$839,Raw_Data!$C$2:$C$839,Raw_Data!C811),2),Raw_Data!L811)</f>
        <v>2272618.6</v>
      </c>
      <c r="M811" s="13" t="n">
        <f aca="false">IFERROR(J811/I811,0)</f>
        <v>0.0231651847856885</v>
      </c>
      <c r="N811" s="14" t="n">
        <f aca="false">IFERROR(H811/J811,0)</f>
        <v>1.8101112635269</v>
      </c>
      <c r="O811" s="14" t="n">
        <f aca="false">IFERROR(H811/K811,0)</f>
        <v>30.0281668773704</v>
      </c>
      <c r="P811" s="15" t="n">
        <f aca="false">IFERROR(L811/H811,0)</f>
        <v>47.8400094643546</v>
      </c>
      <c r="Q811" s="13" t="n">
        <f aca="false">IFERROR(K811/J811,0)</f>
        <v>0.0602804450541076</v>
      </c>
      <c r="R811" s="11" t="str">
        <f aca="false">IF(COUNTIF($A$2:A811,A811)&gt;1,"Duplicate - Remove","Unique")</f>
        <v>Unique</v>
      </c>
      <c r="S811" s="11" t="str">
        <f aca="false">TRIM(IF(Raw_Data!G811="","Region missing; ","")&amp;IF(Raw_Data!H811="","Spend imputed; ","")&amp;IF(Raw_Data!L811="","Revenue imputed; ","")&amp;IF(Raw_Data!J811&lt;0,"Clicks corrected; ",""))</f>
        <v/>
      </c>
    </row>
    <row r="812" customFormat="false" ht="15" hidden="false" customHeight="true" outlineLevel="0" collapsed="false">
      <c r="A812" s="11" t="n">
        <f aca="false">Raw_Data!A812</f>
        <v>1297</v>
      </c>
      <c r="B812" s="11" t="str">
        <f aca="false">PROPER(TRIM(Raw_Data!B812))</f>
        <v>Clearance Sale Push</v>
      </c>
      <c r="C812" s="11" t="str">
        <f aca="false">IFERROR(INDEX(Lookup_Tables!$B$2:$B$26,MATCH(UPPER(TRIM(Raw_Data!C812)),Lookup_Tables!$C$2:$C$26,0)),"Unknown")</f>
        <v>Google Ads</v>
      </c>
      <c r="D812" s="12" t="n">
        <f aca="false">IFERROR(IF(ISNUMBER(SEARCH("/",Raw_Data!D812)),DATE(VALUE(RIGHT(Raw_Data!D812,4)),VALUE(MID(Raw_Data!D812,FIND("/",Raw_Data!D812)+1,FIND("/",Raw_Data!D812,FIND("/",Raw_Data!D812)+1)-FIND("/",Raw_Data!D812)-1)),VALUE(LEFT(Raw_Data!D812,FIND("/",Raw_Data!D812)-1))),IF(ISNUMBER(VALUE(LEFT(Raw_Data!D812,4))),DATE(VALUE(LEFT(Raw_Data!D812,4)),VALUE(MID(Raw_Data!D812,6,2)),VALUE(MID(Raw_Data!D812,9,2))),DATEVALUE(Raw_Data!D812))),"")</f>
        <v>45357</v>
      </c>
      <c r="E812" s="12" t="n">
        <f aca="false">IFERROR(IF(ISNUMBER(SEARCH("/",Raw_Data!E812)),DATE(VALUE(RIGHT(Raw_Data!E812,4)),VALUE(MID(Raw_Data!E812,FIND("/",Raw_Data!E812)+1,FIND("/",Raw_Data!E812,FIND("/",Raw_Data!E812)+1)-FIND("/",Raw_Data!E812)-1)),VALUE(LEFT(Raw_Data!E812,FIND("/",Raw_Data!E812)-1))),IF(ISNUMBER(VALUE(LEFT(Raw_Data!E812,4))),DATE(VALUE(LEFT(Raw_Data!E812,4)),VALUE(MID(Raw_Data!E812,6,2)),VALUE(MID(Raw_Data!E812,9,2))),DATEVALUE(Raw_Data!E812))),"")</f>
        <v>45371</v>
      </c>
      <c r="F812" s="11" t="str">
        <f aca="false">Raw_Data!F812</f>
        <v>Female 45+</v>
      </c>
      <c r="G812" s="11" t="str">
        <f aca="false">IF(TRIM(Raw_Data!G812)="","Unspecified",IFERROR(INDEX(Lookup_Tables!$F$2:$F$24,MATCH(UPPER(TRIM(Raw_Data!G812)),Lookup_Tables!$G$2:$G$24,0)),"Unknown"))</f>
        <v>Unspecified</v>
      </c>
      <c r="H812" s="11" t="n">
        <f aca="false">IF(Raw_Data!H812="",ROUND(AVERAGEIFS(Raw_Data!$H$2:$H$839,Raw_Data!$C$2:$C$839,Raw_Data!C812),2),Raw_Data!H812)</f>
        <v>35845.6</v>
      </c>
      <c r="I812" s="11" t="n">
        <f aca="false">Raw_Data!I812</f>
        <v>1029561</v>
      </c>
      <c r="J812" s="11" t="n">
        <f aca="false">IF(Raw_Data!J812&lt;0,ABS(Raw_Data!J812),Raw_Data!J812)</f>
        <v>6788</v>
      </c>
      <c r="K812" s="11" t="n">
        <f aca="false">Raw_Data!K812</f>
        <v>402</v>
      </c>
      <c r="L812" s="11" t="n">
        <f aca="false">IF(Raw_Data!L812="",ROUND(AVERAGEIFS(Raw_Data!$L$2:$L$839,Raw_Data!$C$2:$C$839,Raw_Data!C812),2),Raw_Data!L812)</f>
        <v>619117.09</v>
      </c>
      <c r="M812" s="13" t="n">
        <f aca="false">IFERROR(J812/I812,0)</f>
        <v>0.00659310133153839</v>
      </c>
      <c r="N812" s="14" t="n">
        <f aca="false">IFERROR(H812/J812,0)</f>
        <v>5.28073070123748</v>
      </c>
      <c r="O812" s="14" t="n">
        <f aca="false">IFERROR(H812/K812,0)</f>
        <v>89.1681592039801</v>
      </c>
      <c r="P812" s="15" t="n">
        <f aca="false">IFERROR(L812/H812,0)</f>
        <v>17.2717736625974</v>
      </c>
      <c r="Q812" s="13" t="n">
        <f aca="false">IFERROR(K812/J812,0)</f>
        <v>0.0592221567472009</v>
      </c>
      <c r="R812" s="11" t="str">
        <f aca="false">IF(COUNTIF($A$2:A812,A812)&gt;1,"Duplicate - Remove","Unique")</f>
        <v>Unique</v>
      </c>
      <c r="S812" s="11" t="str">
        <f aca="false">TRIM(IF(Raw_Data!G812="","Region missing; ","")&amp;IF(Raw_Data!H812="","Spend imputed; ","")&amp;IF(Raw_Data!L812="","Revenue imputed; ","")&amp;IF(Raw_Data!J812&lt;0,"Clicks corrected; ",""))</f>
        <v>Region missing;</v>
      </c>
    </row>
    <row r="813" customFormat="false" ht="15" hidden="false" customHeight="true" outlineLevel="0" collapsed="false">
      <c r="A813" s="11" t="n">
        <f aca="false">Raw_Data!A813</f>
        <v>1662</v>
      </c>
      <c r="B813" s="11" t="str">
        <f aca="false">PROPER(TRIM(Raw_Data!B813))</f>
        <v>Sunscreen Season Campaign</v>
      </c>
      <c r="C813" s="11" t="str">
        <f aca="false">IFERROR(INDEX(Lookup_Tables!$B$2:$B$26,MATCH(UPPER(TRIM(Raw_Data!C813)),Lookup_Tables!$C$2:$C$26,0)),"Unknown")</f>
        <v>Email</v>
      </c>
      <c r="D813" s="12" t="n">
        <f aca="false">IFERROR(IF(ISNUMBER(SEARCH("/",Raw_Data!D813)),DATE(VALUE(RIGHT(Raw_Data!D813,4)),VALUE(MID(Raw_Data!D813,FIND("/",Raw_Data!D813)+1,FIND("/",Raw_Data!D813,FIND("/",Raw_Data!D813)+1)-FIND("/",Raw_Data!D813)-1)),VALUE(LEFT(Raw_Data!D813,FIND("/",Raw_Data!D813)-1))),IF(ISNUMBER(VALUE(LEFT(Raw_Data!D813,4))),DATE(VALUE(LEFT(Raw_Data!D813,4)),VALUE(MID(Raw_Data!D813,6,2)),VALUE(MID(Raw_Data!D813,9,2))),DATEVALUE(Raw_Data!D813))),"")</f>
        <v>45357</v>
      </c>
      <c r="E813" s="12" t="n">
        <f aca="false">IFERROR(IF(ISNUMBER(SEARCH("/",Raw_Data!E813)),DATE(VALUE(RIGHT(Raw_Data!E813,4)),VALUE(MID(Raw_Data!E813,FIND("/",Raw_Data!E813)+1,FIND("/",Raw_Data!E813,FIND("/",Raw_Data!E813)+1)-FIND("/",Raw_Data!E813)-1)),VALUE(LEFT(Raw_Data!E813,FIND("/",Raw_Data!E813)-1))),IF(ISNUMBER(VALUE(LEFT(Raw_Data!E813,4))),DATE(VALUE(LEFT(Raw_Data!E813,4)),VALUE(MID(Raw_Data!E813,6,2)),VALUE(MID(Raw_Data!E813,9,2))),DATEVALUE(Raw_Data!E813))),"")</f>
        <v>45372</v>
      </c>
      <c r="F813" s="11" t="str">
        <f aca="false">Raw_Data!F813</f>
        <v>Male 25-34</v>
      </c>
      <c r="G813" s="11" t="str">
        <f aca="false">IF(TRIM(Raw_Data!G813)="","Unspecified",IFERROR(INDEX(Lookup_Tables!$F$2:$F$24,MATCH(UPPER(TRIM(Raw_Data!G813)),Lookup_Tables!$G$2:$G$24,0)),"Unknown"))</f>
        <v>North</v>
      </c>
      <c r="H813" s="11" t="n">
        <f aca="false">IF(Raw_Data!H813="",ROUND(AVERAGEIFS(Raw_Data!$H$2:$H$839,Raw_Data!$C$2:$C$839,Raw_Data!C813),2),Raw_Data!H813)</f>
        <v>4779.9</v>
      </c>
      <c r="I813" s="11" t="n">
        <f aca="false">Raw_Data!I813</f>
        <v>186046</v>
      </c>
      <c r="J813" s="11" t="n">
        <f aca="false">IF(Raw_Data!J813&lt;0,ABS(Raw_Data!J813),Raw_Data!J813)</f>
        <v>4661</v>
      </c>
      <c r="K813" s="11" t="n">
        <f aca="false">Raw_Data!K813</f>
        <v>78</v>
      </c>
      <c r="L813" s="11" t="n">
        <f aca="false">IF(Raw_Data!L813="",ROUND(AVERAGEIFS(Raw_Data!$L$2:$L$839,Raw_Data!$C$2:$C$839,Raw_Data!C813),2),Raw_Data!L813)</f>
        <v>83035.87</v>
      </c>
      <c r="M813" s="13" t="n">
        <f aca="false">IFERROR(J813/I813,0)</f>
        <v>0.0250529438955957</v>
      </c>
      <c r="N813" s="14" t="n">
        <f aca="false">IFERROR(H813/J813,0)</f>
        <v>1.02550954730744</v>
      </c>
      <c r="O813" s="14" t="n">
        <f aca="false">IFERROR(H813/K813,0)</f>
        <v>61.2807692307692</v>
      </c>
      <c r="P813" s="15" t="n">
        <f aca="false">IFERROR(L813/H813,0)</f>
        <v>17.371884349045</v>
      </c>
      <c r="Q813" s="13" t="n">
        <f aca="false">IFERROR(K813/J813,0)</f>
        <v>0.0167346063076593</v>
      </c>
      <c r="R813" s="11" t="str">
        <f aca="false">IF(COUNTIF($A$2:A813,A813)&gt;1,"Duplicate - Remove","Unique")</f>
        <v>Unique</v>
      </c>
      <c r="S813" s="11" t="str">
        <f aca="false">TRIM(IF(Raw_Data!G813="","Region missing; ","")&amp;IF(Raw_Data!H813="","Spend imputed; ","")&amp;IF(Raw_Data!L813="","Revenue imputed; ","")&amp;IF(Raw_Data!J813&lt;0,"Clicks corrected; ",""))</f>
        <v/>
      </c>
    </row>
    <row r="814" customFormat="false" ht="15" hidden="false" customHeight="true" outlineLevel="0" collapsed="false">
      <c r="A814" s="11" t="n">
        <f aca="false">Raw_Data!A814</f>
        <v>1517</v>
      </c>
      <c r="B814" s="11" t="str">
        <f aca="false">PROPER(TRIM(Raw_Data!B814))</f>
        <v>Monsoon Skincare Push</v>
      </c>
      <c r="C814" s="11" t="str">
        <f aca="false">IFERROR(INDEX(Lookup_Tables!$B$2:$B$26,MATCH(UPPER(TRIM(Raw_Data!C814)),Lookup_Tables!$C$2:$C$26,0)),"Unknown")</f>
        <v>YouTube</v>
      </c>
      <c r="D814" s="12" t="n">
        <f aca="false">IFERROR(IF(ISNUMBER(SEARCH("/",Raw_Data!D814)),DATE(VALUE(RIGHT(Raw_Data!D814,4)),VALUE(MID(Raw_Data!D814,FIND("/",Raw_Data!D814)+1,FIND("/",Raw_Data!D814,FIND("/",Raw_Data!D814)+1)-FIND("/",Raw_Data!D814)-1)),VALUE(LEFT(Raw_Data!D814,FIND("/",Raw_Data!D814)-1))),IF(ISNUMBER(VALUE(LEFT(Raw_Data!D814,4))),DATE(VALUE(LEFT(Raw_Data!D814,4)),VALUE(MID(Raw_Data!D814,6,2)),VALUE(MID(Raw_Data!D814,9,2))),DATEVALUE(Raw_Data!D814))),"")</f>
        <v>45569</v>
      </c>
      <c r="E814" s="12" t="n">
        <f aca="false">IFERROR(IF(ISNUMBER(SEARCH("/",Raw_Data!E814)),DATE(VALUE(RIGHT(Raw_Data!E814,4)),VALUE(MID(Raw_Data!E814,FIND("/",Raw_Data!E814)+1,FIND("/",Raw_Data!E814,FIND("/",Raw_Data!E814)+1)-FIND("/",Raw_Data!E814)-1)),VALUE(LEFT(Raw_Data!E814,FIND("/",Raw_Data!E814)-1))),IF(ISNUMBER(VALUE(LEFT(Raw_Data!E814,4))),DATE(VALUE(LEFT(Raw_Data!E814,4)),VALUE(MID(Raw_Data!E814,6,2)),VALUE(MID(Raw_Data!E814,9,2))),DATEVALUE(Raw_Data!E814))),"")</f>
        <v>45587</v>
      </c>
      <c r="F814" s="11" t="str">
        <f aca="false">Raw_Data!F814</f>
        <v>Female 35-44</v>
      </c>
      <c r="G814" s="11" t="str">
        <f aca="false">IF(TRIM(Raw_Data!G814)="","Unspecified",IFERROR(INDEX(Lookup_Tables!$F$2:$F$24,MATCH(UPPER(TRIM(Raw_Data!G814)),Lookup_Tables!$G$2:$G$24,0)),"Unknown"))</f>
        <v>East</v>
      </c>
      <c r="H814" s="11" t="n">
        <f aca="false">IF(Raw_Data!H814="",ROUND(AVERAGEIFS(Raw_Data!$H$2:$H$839,Raw_Data!$C$2:$C$839,Raw_Data!C814),2),Raw_Data!H814)</f>
        <v>36377.1</v>
      </c>
      <c r="I814" s="11" t="n">
        <f aca="false">Raw_Data!I814</f>
        <v>1145519</v>
      </c>
      <c r="J814" s="11" t="n">
        <f aca="false">IF(Raw_Data!J814&lt;0,ABS(Raw_Data!J814),Raw_Data!J814)</f>
        <v>29105</v>
      </c>
      <c r="K814" s="11" t="n">
        <f aca="false">Raw_Data!K814</f>
        <v>1582</v>
      </c>
      <c r="L814" s="11" t="n">
        <f aca="false">IF(Raw_Data!L814="",ROUND(AVERAGEIFS(Raw_Data!$L$2:$L$839,Raw_Data!$C$2:$C$839,Raw_Data!C814),2),Raw_Data!L814)</f>
        <v>2164230.27</v>
      </c>
      <c r="M814" s="13" t="n">
        <f aca="false">IFERROR(J814/I814,0)</f>
        <v>0.025407697297033</v>
      </c>
      <c r="N814" s="14" t="n">
        <f aca="false">IFERROR(H814/J814,0)</f>
        <v>1.24985741281567</v>
      </c>
      <c r="O814" s="14" t="n">
        <f aca="false">IFERROR(H814/K814,0)</f>
        <v>22.9943742098609</v>
      </c>
      <c r="P814" s="15" t="n">
        <f aca="false">IFERROR(L814/H814,0)</f>
        <v>59.4943046587001</v>
      </c>
      <c r="Q814" s="13" t="n">
        <f aca="false">IFERROR(K814/J814,0)</f>
        <v>0.0543549218347363</v>
      </c>
      <c r="R814" s="11" t="str">
        <f aca="false">IF(COUNTIF($A$2:A814,A814)&gt;1,"Duplicate - Remove","Unique")</f>
        <v>Unique</v>
      </c>
      <c r="S814" s="11" t="str">
        <f aca="false">TRIM(IF(Raw_Data!G814="","Region missing; ","")&amp;IF(Raw_Data!H814="","Spend imputed; ","")&amp;IF(Raw_Data!L814="","Revenue imputed; ","")&amp;IF(Raw_Data!J814&lt;0,"Clicks corrected; ",""))</f>
        <v/>
      </c>
    </row>
    <row r="815" customFormat="false" ht="15" hidden="false" customHeight="true" outlineLevel="0" collapsed="false">
      <c r="A815" s="11" t="n">
        <f aca="false">Raw_Data!A815</f>
        <v>1814</v>
      </c>
      <c r="B815" s="11" t="str">
        <f aca="false">PROPER(TRIM(Raw_Data!B815))</f>
        <v>Hair Care Revamp</v>
      </c>
      <c r="C815" s="11" t="str">
        <f aca="false">IFERROR(INDEX(Lookup_Tables!$B$2:$B$26,MATCH(UPPER(TRIM(Raw_Data!C815)),Lookup_Tables!$C$2:$C$26,0)),"Unknown")</f>
        <v>Email</v>
      </c>
      <c r="D815" s="12" t="n">
        <f aca="false">IFERROR(IF(ISNUMBER(SEARCH("/",Raw_Data!D815)),DATE(VALUE(RIGHT(Raw_Data!D815,4)),VALUE(MID(Raw_Data!D815,FIND("/",Raw_Data!D815)+1,FIND("/",Raw_Data!D815,FIND("/",Raw_Data!D815)+1)-FIND("/",Raw_Data!D815)-1)),VALUE(LEFT(Raw_Data!D815,FIND("/",Raw_Data!D815)-1))),IF(ISNUMBER(VALUE(LEFT(Raw_Data!D815,4))),DATE(VALUE(LEFT(Raw_Data!D815,4)),VALUE(MID(Raw_Data!D815,6,2)),VALUE(MID(Raw_Data!D815,9,2))),DATEVALUE(Raw_Data!D815))),"")</f>
        <v>45502</v>
      </c>
      <c r="E815" s="12" t="n">
        <f aca="false">IFERROR(IF(ISNUMBER(SEARCH("/",Raw_Data!E815)),DATE(VALUE(RIGHT(Raw_Data!E815,4)),VALUE(MID(Raw_Data!E815,FIND("/",Raw_Data!E815)+1,FIND("/",Raw_Data!E815,FIND("/",Raw_Data!E815)+1)-FIND("/",Raw_Data!E815)-1)),VALUE(LEFT(Raw_Data!E815,FIND("/",Raw_Data!E815)-1))),IF(ISNUMBER(VALUE(LEFT(Raw_Data!E815,4))),DATE(VALUE(LEFT(Raw_Data!E815,4)),VALUE(MID(Raw_Data!E815,6,2)),VALUE(MID(Raw_Data!E815,9,2))),DATEVALUE(Raw_Data!E815))),"")</f>
        <v>45517</v>
      </c>
      <c r="F815" s="11" t="str">
        <f aca="false">Raw_Data!F815</f>
        <v>Male 18-24</v>
      </c>
      <c r="G815" s="11" t="str">
        <f aca="false">IF(TRIM(Raw_Data!G815)="","Unspecified",IFERROR(INDEX(Lookup_Tables!$F$2:$F$24,MATCH(UPPER(TRIM(Raw_Data!G815)),Lookup_Tables!$G$2:$G$24,0)),"Unknown"))</f>
        <v>North</v>
      </c>
      <c r="H815" s="11" t="n">
        <f aca="false">IF(Raw_Data!H815="",ROUND(AVERAGEIFS(Raw_Data!$H$2:$H$839,Raw_Data!$C$2:$C$839,Raw_Data!C815),2),Raw_Data!H815)</f>
        <v>1620.97</v>
      </c>
      <c r="I815" s="11" t="n">
        <f aca="false">Raw_Data!I815</f>
        <v>47935</v>
      </c>
      <c r="J815" s="11" t="n">
        <f aca="false">IF(Raw_Data!J815&lt;0,ABS(Raw_Data!J815),Raw_Data!J815)</f>
        <v>1569</v>
      </c>
      <c r="K815" s="11" t="n">
        <f aca="false">Raw_Data!K815</f>
        <v>46</v>
      </c>
      <c r="L815" s="11" t="n">
        <f aca="false">IF(Raw_Data!L815="",ROUND(AVERAGEIFS(Raw_Data!$L$2:$L$839,Raw_Data!$C$2:$C$839,Raw_Data!C815),2),Raw_Data!L815)</f>
        <v>44587.95</v>
      </c>
      <c r="M815" s="13" t="n">
        <f aca="false">IFERROR(J815/I815,0)</f>
        <v>0.0327318243454678</v>
      </c>
      <c r="N815" s="14" t="n">
        <f aca="false">IFERROR(H815/J815,0)</f>
        <v>1.03312300828553</v>
      </c>
      <c r="O815" s="14" t="n">
        <f aca="false">IFERROR(H815/K815,0)</f>
        <v>35.2384782608696</v>
      </c>
      <c r="P815" s="15" t="n">
        <f aca="false">IFERROR(L815/H815,0)</f>
        <v>27.5069557117035</v>
      </c>
      <c r="Q815" s="13" t="n">
        <f aca="false">IFERROR(K815/J815,0)</f>
        <v>0.0293180369662205</v>
      </c>
      <c r="R815" s="11" t="str">
        <f aca="false">IF(COUNTIF($A$2:A815,A815)&gt;1,"Duplicate - Remove","Unique")</f>
        <v>Unique</v>
      </c>
      <c r="S815" s="11" t="str">
        <f aca="false">TRIM(IF(Raw_Data!G815="","Region missing; ","")&amp;IF(Raw_Data!H815="","Spend imputed; ","")&amp;IF(Raw_Data!L815="","Revenue imputed; ","")&amp;IF(Raw_Data!J815&lt;0,"Clicks corrected; ",""))</f>
        <v/>
      </c>
    </row>
    <row r="816" customFormat="false" ht="15" hidden="false" customHeight="true" outlineLevel="0" collapsed="false">
      <c r="A816" s="11" t="n">
        <f aca="false">Raw_Data!A816</f>
        <v>1118</v>
      </c>
      <c r="B816" s="11" t="str">
        <f aca="false">PROPER(TRIM(Raw_Data!B816))</f>
        <v>Anti-Ageing Serum Push</v>
      </c>
      <c r="C816" s="11" t="str">
        <f aca="false">IFERROR(INDEX(Lookup_Tables!$B$2:$B$26,MATCH(UPPER(TRIM(Raw_Data!C816)),Lookup_Tables!$C$2:$C$26,0)),"Unknown")</f>
        <v>Google Ads</v>
      </c>
      <c r="D816" s="12" t="n">
        <f aca="false">IFERROR(IF(ISNUMBER(SEARCH("/",Raw_Data!D816)),DATE(VALUE(RIGHT(Raw_Data!D816,4)),VALUE(MID(Raw_Data!D816,FIND("/",Raw_Data!D816)+1,FIND("/",Raw_Data!D816,FIND("/",Raw_Data!D816)+1)-FIND("/",Raw_Data!D816)-1)),VALUE(LEFT(Raw_Data!D816,FIND("/",Raw_Data!D816)-1))),IF(ISNUMBER(VALUE(LEFT(Raw_Data!D816,4))),DATE(VALUE(LEFT(Raw_Data!D816,4)),VALUE(MID(Raw_Data!D816,6,2)),VALUE(MID(Raw_Data!D816,9,2))),DATEVALUE(Raw_Data!D816))),"")</f>
        <v>45620</v>
      </c>
      <c r="E816" s="12" t="n">
        <f aca="false">IFERROR(IF(ISNUMBER(SEARCH("/",Raw_Data!E816)),DATE(VALUE(RIGHT(Raw_Data!E816,4)),VALUE(MID(Raw_Data!E816,FIND("/",Raw_Data!E816)+1,FIND("/",Raw_Data!E816,FIND("/",Raw_Data!E816)+1)-FIND("/",Raw_Data!E816)-1)),VALUE(LEFT(Raw_Data!E816,FIND("/",Raw_Data!E816)-1))),IF(ISNUMBER(VALUE(LEFT(Raw_Data!E816,4))),DATE(VALUE(LEFT(Raw_Data!E816,4)),VALUE(MID(Raw_Data!E816,6,2)),VALUE(MID(Raw_Data!E816,9,2))),DATEVALUE(Raw_Data!E816))),"")</f>
        <v>45648</v>
      </c>
      <c r="F816" s="11" t="str">
        <f aca="false">Raw_Data!F816</f>
        <v>Male 45+</v>
      </c>
      <c r="G816" s="11" t="str">
        <f aca="false">IF(TRIM(Raw_Data!G816)="","Unspecified",IFERROR(INDEX(Lookup_Tables!$F$2:$F$24,MATCH(UPPER(TRIM(Raw_Data!G816)),Lookup_Tables!$G$2:$G$24,0)),"Unknown"))</f>
        <v>Central</v>
      </c>
      <c r="H816" s="11" t="n">
        <f aca="false">IF(Raw_Data!H816="",ROUND(AVERAGEIFS(Raw_Data!$H$2:$H$839,Raw_Data!$C$2:$C$839,Raw_Data!C816),2),Raw_Data!H816)</f>
        <v>42258.03</v>
      </c>
      <c r="I816" s="11" t="n">
        <f aca="false">Raw_Data!I816</f>
        <v>1408008</v>
      </c>
      <c r="J816" s="11" t="n">
        <f aca="false">IF(Raw_Data!J816&lt;0,ABS(Raw_Data!J816),Raw_Data!J816)</f>
        <v>21916</v>
      </c>
      <c r="K816" s="11" t="n">
        <f aca="false">Raw_Data!K816</f>
        <v>433</v>
      </c>
      <c r="L816" s="11" t="n">
        <f aca="false">IF(Raw_Data!L816="",ROUND(AVERAGEIFS(Raw_Data!$L$2:$L$839,Raw_Data!$C$2:$C$839,Raw_Data!C816),2),Raw_Data!L816)</f>
        <v>494699.11</v>
      </c>
      <c r="M816" s="13" t="n">
        <f aca="false">IFERROR(J816/I816,0)</f>
        <v>0.0155652524701564</v>
      </c>
      <c r="N816" s="14" t="n">
        <f aca="false">IFERROR(H816/J816,0)</f>
        <v>1.92818169373973</v>
      </c>
      <c r="O816" s="14" t="n">
        <f aca="false">IFERROR(H816/K816,0)</f>
        <v>97.5936027713626</v>
      </c>
      <c r="P816" s="15" t="n">
        <f aca="false">IFERROR(L816/H816,0)</f>
        <v>11.706629722209</v>
      </c>
      <c r="Q816" s="13" t="n">
        <f aca="false">IFERROR(K816/J816,0)</f>
        <v>0.0197572549735353</v>
      </c>
      <c r="R816" s="11" t="str">
        <f aca="false">IF(COUNTIF($A$2:A816,A816)&gt;1,"Duplicate - Remove","Unique")</f>
        <v>Unique</v>
      </c>
      <c r="S816" s="11" t="str">
        <f aca="false">TRIM(IF(Raw_Data!G816="","Region missing; ","")&amp;IF(Raw_Data!H816="","Spend imputed; ","")&amp;IF(Raw_Data!L816="","Revenue imputed; ","")&amp;IF(Raw_Data!J816&lt;0,"Clicks corrected; ",""))</f>
        <v/>
      </c>
    </row>
    <row r="817" customFormat="false" ht="15" hidden="false" customHeight="true" outlineLevel="0" collapsed="false">
      <c r="A817" s="11" t="n">
        <f aca="false">Raw_Data!A817</f>
        <v>1689</v>
      </c>
      <c r="B817" s="11" t="str">
        <f aca="false">PROPER(TRIM(Raw_Data!B817))</f>
        <v>Baby Care Trust Campaign</v>
      </c>
      <c r="C817" s="11" t="str">
        <f aca="false">IFERROR(INDEX(Lookup_Tables!$B$2:$B$26,MATCH(UPPER(TRIM(Raw_Data!C817)),Lookup_Tables!$C$2:$C$26,0)),"Unknown")</f>
        <v>Email</v>
      </c>
      <c r="D817" s="12" t="n">
        <f aca="false">IFERROR(IF(ISNUMBER(SEARCH("/",Raw_Data!D817)),DATE(VALUE(RIGHT(Raw_Data!D817,4)),VALUE(MID(Raw_Data!D817,FIND("/",Raw_Data!D817)+1,FIND("/",Raw_Data!D817,FIND("/",Raw_Data!D817)+1)-FIND("/",Raw_Data!D817)-1)),VALUE(LEFT(Raw_Data!D817,FIND("/",Raw_Data!D817)-1))),IF(ISNUMBER(VALUE(LEFT(Raw_Data!D817,4))),DATE(VALUE(LEFT(Raw_Data!D817,4)),VALUE(MID(Raw_Data!D817,6,2)),VALUE(MID(Raw_Data!D817,9,2))),DATEVALUE(Raw_Data!D817))),"")</f>
        <v>45470</v>
      </c>
      <c r="E817" s="12" t="n">
        <f aca="false">IFERROR(IF(ISNUMBER(SEARCH("/",Raw_Data!E817)),DATE(VALUE(RIGHT(Raw_Data!E817,4)),VALUE(MID(Raw_Data!E817,FIND("/",Raw_Data!E817)+1,FIND("/",Raw_Data!E817,FIND("/",Raw_Data!E817)+1)-FIND("/",Raw_Data!E817)-1)),VALUE(LEFT(Raw_Data!E817,FIND("/",Raw_Data!E817)-1))),IF(ISNUMBER(VALUE(LEFT(Raw_Data!E817,4))),DATE(VALUE(LEFT(Raw_Data!E817,4)),VALUE(MID(Raw_Data!E817,6,2)),VALUE(MID(Raw_Data!E817,9,2))),DATEVALUE(Raw_Data!E817))),"")</f>
        <v>45496</v>
      </c>
      <c r="F817" s="11" t="str">
        <f aca="false">Raw_Data!F817</f>
        <v>Female 25-34</v>
      </c>
      <c r="G817" s="11" t="str">
        <f aca="false">IF(TRIM(Raw_Data!G817)="","Unspecified",IFERROR(INDEX(Lookup_Tables!$F$2:$F$24,MATCH(UPPER(TRIM(Raw_Data!G817)),Lookup_Tables!$G$2:$G$24,0)),"Unknown"))</f>
        <v>North</v>
      </c>
      <c r="H817" s="11" t="n">
        <f aca="false">IF(Raw_Data!H817="",ROUND(AVERAGEIFS(Raw_Data!$H$2:$H$839,Raw_Data!$C$2:$C$839,Raw_Data!C817),2),Raw_Data!H817)</f>
        <v>5130.74</v>
      </c>
      <c r="I817" s="11" t="n">
        <f aca="false">Raw_Data!I817</f>
        <v>98431</v>
      </c>
      <c r="J817" s="11" t="n">
        <f aca="false">IF(Raw_Data!J817&lt;0,ABS(Raw_Data!J817),Raw_Data!J817)</f>
        <v>786</v>
      </c>
      <c r="K817" s="11" t="n">
        <f aca="false">Raw_Data!K817</f>
        <v>18</v>
      </c>
      <c r="L817" s="11" t="n">
        <f aca="false">IF(Raw_Data!L817="",ROUND(AVERAGEIFS(Raw_Data!$L$2:$L$839,Raw_Data!$C$2:$C$839,Raw_Data!C817),2),Raw_Data!L817)</f>
        <v>10352.09</v>
      </c>
      <c r="M817" s="13" t="n">
        <f aca="false">IFERROR(J817/I817,0)</f>
        <v>0.00798528918734951</v>
      </c>
      <c r="N817" s="14" t="n">
        <f aca="false">IFERROR(H817/J817,0)</f>
        <v>6.52765903307888</v>
      </c>
      <c r="O817" s="14" t="n">
        <f aca="false">IFERROR(H817/K817,0)</f>
        <v>285.041111111111</v>
      </c>
      <c r="P817" s="15" t="n">
        <f aca="false">IFERROR(L817/H817,0)</f>
        <v>2.01766022055298</v>
      </c>
      <c r="Q817" s="13" t="n">
        <f aca="false">IFERROR(K817/J817,0)</f>
        <v>0.0229007633587786</v>
      </c>
      <c r="R817" s="11" t="str">
        <f aca="false">IF(COUNTIF($A$2:A817,A817)&gt;1,"Duplicate - Remove","Unique")</f>
        <v>Unique</v>
      </c>
      <c r="S817" s="11" t="str">
        <f aca="false">TRIM(IF(Raw_Data!G817="","Region missing; ","")&amp;IF(Raw_Data!H817="","Spend imputed; ","")&amp;IF(Raw_Data!L817="","Revenue imputed; ","")&amp;IF(Raw_Data!J817&lt;0,"Clicks corrected; ",""))</f>
        <v/>
      </c>
    </row>
    <row r="818" customFormat="false" ht="15" hidden="false" customHeight="true" outlineLevel="0" collapsed="false">
      <c r="A818" s="11" t="n">
        <f aca="false">Raw_Data!A818</f>
        <v>1389</v>
      </c>
      <c r="B818" s="11" t="str">
        <f aca="false">PROPER(TRIM(Raw_Data!B818))</f>
        <v>Hair Care Revamp</v>
      </c>
      <c r="C818" s="11" t="str">
        <f aca="false">IFERROR(INDEX(Lookup_Tables!$B$2:$B$26,MATCH(UPPER(TRIM(Raw_Data!C818)),Lookup_Tables!$C$2:$C$26,0)),"Unknown")</f>
        <v>Google Ads</v>
      </c>
      <c r="D818" s="12" t="n">
        <f aca="false">IFERROR(IF(ISNUMBER(SEARCH("/",Raw_Data!D818)),DATE(VALUE(RIGHT(Raw_Data!D818,4)),VALUE(MID(Raw_Data!D818,FIND("/",Raw_Data!D818)+1,FIND("/",Raw_Data!D818,FIND("/",Raw_Data!D818)+1)-FIND("/",Raw_Data!D818)-1)),VALUE(LEFT(Raw_Data!D818,FIND("/",Raw_Data!D818)-1))),IF(ISNUMBER(VALUE(LEFT(Raw_Data!D818,4))),DATE(VALUE(LEFT(Raw_Data!D818,4)),VALUE(MID(Raw_Data!D818,6,2)),VALUE(MID(Raw_Data!D818,9,2))),DATEVALUE(Raw_Data!D818))),"")</f>
        <v>45369</v>
      </c>
      <c r="E818" s="12" t="n">
        <f aca="false">IFERROR(IF(ISNUMBER(SEARCH("/",Raw_Data!E818)),DATE(VALUE(RIGHT(Raw_Data!E818,4)),VALUE(MID(Raw_Data!E818,FIND("/",Raw_Data!E818)+1,FIND("/",Raw_Data!E818,FIND("/",Raw_Data!E818)+1)-FIND("/",Raw_Data!E818)-1)),VALUE(LEFT(Raw_Data!E818,FIND("/",Raw_Data!E818)-1))),IF(ISNUMBER(VALUE(LEFT(Raw_Data!E818,4))),DATE(VALUE(LEFT(Raw_Data!E818,4)),VALUE(MID(Raw_Data!E818,6,2)),VALUE(MID(Raw_Data!E818,9,2))),DATEVALUE(Raw_Data!E818))),"")</f>
        <v>45398</v>
      </c>
      <c r="F818" s="11" t="str">
        <f aca="false">Raw_Data!F818</f>
        <v>Male 18-24</v>
      </c>
      <c r="G818" s="11" t="str">
        <f aca="false">IF(TRIM(Raw_Data!G818)="","Unspecified",IFERROR(INDEX(Lookup_Tables!$F$2:$F$24,MATCH(UPPER(TRIM(Raw_Data!G818)),Lookup_Tables!$G$2:$G$24,0)),"Unknown"))</f>
        <v>West</v>
      </c>
      <c r="H818" s="11" t="n">
        <f aca="false">IF(Raw_Data!H818="",ROUND(AVERAGEIFS(Raw_Data!$H$2:$H$839,Raw_Data!$C$2:$C$839,Raw_Data!C818),2),Raw_Data!H818)</f>
        <v>39520.55</v>
      </c>
      <c r="I818" s="11" t="n">
        <f aca="false">Raw_Data!I818</f>
        <v>818255</v>
      </c>
      <c r="J818" s="11" t="n">
        <f aca="false">IF(Raw_Data!J818&lt;0,ABS(Raw_Data!J818),Raw_Data!J818)</f>
        <v>23772</v>
      </c>
      <c r="K818" s="11" t="n">
        <f aca="false">Raw_Data!K818</f>
        <v>925</v>
      </c>
      <c r="L818" s="11" t="n">
        <f aca="false">IF(Raw_Data!L818="",ROUND(AVERAGEIFS(Raw_Data!$L$2:$L$839,Raw_Data!$C$2:$C$839,Raw_Data!C818),2),Raw_Data!L818)</f>
        <v>872736.12</v>
      </c>
      <c r="M818" s="13" t="n">
        <f aca="false">IFERROR(J818/I818,0)</f>
        <v>0.0290520681205737</v>
      </c>
      <c r="N818" s="14" t="n">
        <f aca="false">IFERROR(H818/J818,0)</f>
        <v>1.66248317348141</v>
      </c>
      <c r="O818" s="14" t="n">
        <f aca="false">IFERROR(H818/K818,0)</f>
        <v>42.7249189189189</v>
      </c>
      <c r="P818" s="15" t="n">
        <f aca="false">IFERROR(L818/H818,0)</f>
        <v>22.0830965156102</v>
      </c>
      <c r="Q818" s="13" t="n">
        <f aca="false">IFERROR(K818/J818,0)</f>
        <v>0.0389113242470133</v>
      </c>
      <c r="R818" s="11" t="str">
        <f aca="false">IF(COUNTIF($A$2:A818,A818)&gt;1,"Duplicate - Remove","Unique")</f>
        <v>Unique</v>
      </c>
      <c r="S818" s="11" t="str">
        <f aca="false">TRIM(IF(Raw_Data!G818="","Region missing; ","")&amp;IF(Raw_Data!H818="","Spend imputed; ","")&amp;IF(Raw_Data!L818="","Revenue imputed; ","")&amp;IF(Raw_Data!J818&lt;0,"Clicks corrected; ",""))</f>
        <v/>
      </c>
    </row>
    <row r="819" customFormat="false" ht="15" hidden="false" customHeight="true" outlineLevel="0" collapsed="false">
      <c r="A819" s="11" t="n">
        <f aca="false">Raw_Data!A819</f>
        <v>1321</v>
      </c>
      <c r="B819" s="11" t="str">
        <f aca="false">PROPER(TRIM(Raw_Data!B819))</f>
        <v>Wedding Season Special</v>
      </c>
      <c r="C819" s="11" t="str">
        <f aca="false">IFERROR(INDEX(Lookup_Tables!$B$2:$B$26,MATCH(UPPER(TRIM(Raw_Data!C819)),Lookup_Tables!$C$2:$C$26,0)),"Unknown")</f>
        <v>Facebook</v>
      </c>
      <c r="D819" s="12" t="n">
        <f aca="false">IFERROR(IF(ISNUMBER(SEARCH("/",Raw_Data!D819)),DATE(VALUE(RIGHT(Raw_Data!D819,4)),VALUE(MID(Raw_Data!D819,FIND("/",Raw_Data!D819)+1,FIND("/",Raw_Data!D819,FIND("/",Raw_Data!D819)+1)-FIND("/",Raw_Data!D819)-1)),VALUE(LEFT(Raw_Data!D819,FIND("/",Raw_Data!D819)-1))),IF(ISNUMBER(VALUE(LEFT(Raw_Data!D819,4))),DATE(VALUE(LEFT(Raw_Data!D819,4)),VALUE(MID(Raw_Data!D819,6,2)),VALUE(MID(Raw_Data!D819,9,2))),DATEVALUE(Raw_Data!D819))),"")</f>
        <v>45402</v>
      </c>
      <c r="E819" s="12" t="n">
        <f aca="false">IFERROR(IF(ISNUMBER(SEARCH("/",Raw_Data!E819)),DATE(VALUE(RIGHT(Raw_Data!E819,4)),VALUE(MID(Raw_Data!E819,FIND("/",Raw_Data!E819)+1,FIND("/",Raw_Data!E819,FIND("/",Raw_Data!E819)+1)-FIND("/",Raw_Data!E819)-1)),VALUE(LEFT(Raw_Data!E819,FIND("/",Raw_Data!E819)-1))),IF(ISNUMBER(VALUE(LEFT(Raw_Data!E819,4))),DATE(VALUE(LEFT(Raw_Data!E819,4)),VALUE(MID(Raw_Data!E819,6,2)),VALUE(MID(Raw_Data!E819,9,2))),DATEVALUE(Raw_Data!E819))),"")</f>
        <v>45426</v>
      </c>
      <c r="F819" s="11" t="str">
        <f aca="false">Raw_Data!F819</f>
        <v>Female 35-44</v>
      </c>
      <c r="G819" s="11" t="str">
        <f aca="false">IF(TRIM(Raw_Data!G819)="","Unspecified",IFERROR(INDEX(Lookup_Tables!$F$2:$F$24,MATCH(UPPER(TRIM(Raw_Data!G819)),Lookup_Tables!$G$2:$G$24,0)),"Unknown"))</f>
        <v>West</v>
      </c>
      <c r="H819" s="11" t="n">
        <f aca="false">IF(Raw_Data!H819="",ROUND(AVERAGEIFS(Raw_Data!$H$2:$H$839,Raw_Data!$C$2:$C$839,Raw_Data!C819),2),Raw_Data!H819)</f>
        <v>13834.67</v>
      </c>
      <c r="I819" s="11" t="n">
        <f aca="false">Raw_Data!I819</f>
        <v>336696</v>
      </c>
      <c r="J819" s="11" t="n">
        <f aca="false">IF(Raw_Data!J819&lt;0,ABS(Raw_Data!J819),Raw_Data!J819)</f>
        <v>6307</v>
      </c>
      <c r="K819" s="11" t="n">
        <f aca="false">Raw_Data!K819</f>
        <v>148</v>
      </c>
      <c r="L819" s="11" t="n">
        <f aca="false">IF(Raw_Data!L819="",ROUND(AVERAGEIFS(Raw_Data!$L$2:$L$839,Raw_Data!$C$2:$C$839,Raw_Data!C819),2),Raw_Data!L819)</f>
        <v>128753.45</v>
      </c>
      <c r="M819" s="13" t="n">
        <f aca="false">IFERROR(J819/I819,0)</f>
        <v>0.0187320312685627</v>
      </c>
      <c r="N819" s="14" t="n">
        <f aca="false">IFERROR(H819/J819,0)</f>
        <v>2.19354209608372</v>
      </c>
      <c r="O819" s="14" t="n">
        <f aca="false">IFERROR(H819/K819,0)</f>
        <v>93.4775</v>
      </c>
      <c r="P819" s="15" t="n">
        <f aca="false">IFERROR(L819/H819,0)</f>
        <v>9.30657905103627</v>
      </c>
      <c r="Q819" s="13" t="n">
        <f aca="false">IFERROR(K819/J819,0)</f>
        <v>0.0234659901696528</v>
      </c>
      <c r="R819" s="11" t="str">
        <f aca="false">IF(COUNTIF($A$2:A819,A819)&gt;1,"Duplicate - Remove","Unique")</f>
        <v>Unique</v>
      </c>
      <c r="S819" s="11" t="str">
        <f aca="false">TRIM(IF(Raw_Data!G819="","Region missing; ","")&amp;IF(Raw_Data!H819="","Spend imputed; ","")&amp;IF(Raw_Data!L819="","Revenue imputed; ","")&amp;IF(Raw_Data!J819&lt;0,"Clicks corrected; ",""))</f>
        <v/>
      </c>
    </row>
    <row r="820" customFormat="false" ht="15" hidden="false" customHeight="true" outlineLevel="0" collapsed="false">
      <c r="A820" s="11" t="n">
        <f aca="false">Raw_Data!A820</f>
        <v>1362</v>
      </c>
      <c r="B820" s="11" t="str">
        <f aca="false">PROPER(TRIM(Raw_Data!B820))</f>
        <v>Men'S Grooming Drive</v>
      </c>
      <c r="C820" s="11" t="str">
        <f aca="false">IFERROR(INDEX(Lookup_Tables!$B$2:$B$26,MATCH(UPPER(TRIM(Raw_Data!C820)),Lookup_Tables!$C$2:$C$26,0)),"Unknown")</f>
        <v>Instagram</v>
      </c>
      <c r="D820" s="12" t="n">
        <f aca="false">IFERROR(IF(ISNUMBER(SEARCH("/",Raw_Data!D820)),DATE(VALUE(RIGHT(Raw_Data!D820,4)),VALUE(MID(Raw_Data!D820,FIND("/",Raw_Data!D820)+1,FIND("/",Raw_Data!D820,FIND("/",Raw_Data!D820)+1)-FIND("/",Raw_Data!D820)-1)),VALUE(LEFT(Raw_Data!D820,FIND("/",Raw_Data!D820)-1))),IF(ISNUMBER(VALUE(LEFT(Raw_Data!D820,4))),DATE(VALUE(LEFT(Raw_Data!D820,4)),VALUE(MID(Raw_Data!D820,6,2)),VALUE(MID(Raw_Data!D820,9,2))),DATEVALUE(Raw_Data!D820))),"")</f>
        <v>45518</v>
      </c>
      <c r="E820" s="12" t="n">
        <f aca="false">IFERROR(IF(ISNUMBER(SEARCH("/",Raw_Data!E820)),DATE(VALUE(RIGHT(Raw_Data!E820,4)),VALUE(MID(Raw_Data!E820,FIND("/",Raw_Data!E820)+1,FIND("/",Raw_Data!E820,FIND("/",Raw_Data!E820)+1)-FIND("/",Raw_Data!E820)-1)),VALUE(LEFT(Raw_Data!E820,FIND("/",Raw_Data!E820)-1))),IF(ISNUMBER(VALUE(LEFT(Raw_Data!E820,4))),DATE(VALUE(LEFT(Raw_Data!E820,4)),VALUE(MID(Raw_Data!E820,6,2)),VALUE(MID(Raw_Data!E820,9,2))),DATEVALUE(Raw_Data!E820))),"")</f>
        <v>45535</v>
      </c>
      <c r="F820" s="11" t="str">
        <f aca="false">Raw_Data!F820</f>
        <v>Male 18-24</v>
      </c>
      <c r="G820" s="11" t="str">
        <f aca="false">IF(TRIM(Raw_Data!G820)="","Unspecified",IFERROR(INDEX(Lookup_Tables!$F$2:$F$24,MATCH(UPPER(TRIM(Raw_Data!G820)),Lookup_Tables!$G$2:$G$24,0)),"Unknown"))</f>
        <v>East</v>
      </c>
      <c r="H820" s="11" t="n">
        <f aca="false">IF(Raw_Data!H820="",ROUND(AVERAGEIFS(Raw_Data!$H$2:$H$839,Raw_Data!$C$2:$C$839,Raw_Data!C820),2),Raw_Data!H820)</f>
        <v>55309.03</v>
      </c>
      <c r="I820" s="11" t="n">
        <f aca="false">Raw_Data!I820</f>
        <v>1373012</v>
      </c>
      <c r="J820" s="11" t="n">
        <f aca="false">IF(Raw_Data!J820&lt;0,ABS(Raw_Data!J820),Raw_Data!J820)</f>
        <v>47148</v>
      </c>
      <c r="K820" s="11" t="n">
        <f aca="false">Raw_Data!K820</f>
        <v>1314</v>
      </c>
      <c r="L820" s="11" t="n">
        <f aca="false">IF(Raw_Data!L820="",ROUND(AVERAGEIFS(Raw_Data!$L$2:$L$839,Raw_Data!$C$2:$C$839,Raw_Data!C820),2),Raw_Data!L820)</f>
        <v>631853.95</v>
      </c>
      <c r="M820" s="13" t="n">
        <f aca="false">IFERROR(J820/I820,0)</f>
        <v>0.0343391026444052</v>
      </c>
      <c r="N820" s="14" t="n">
        <f aca="false">IFERROR(H820/J820,0)</f>
        <v>1.17309387460762</v>
      </c>
      <c r="O820" s="14" t="n">
        <f aca="false">IFERROR(H820/K820,0)</f>
        <v>42.0921080669711</v>
      </c>
      <c r="P820" s="15" t="n">
        <f aca="false">IFERROR(L820/H820,0)</f>
        <v>11.4240649311695</v>
      </c>
      <c r="Q820" s="13" t="n">
        <f aca="false">IFERROR(K820/J820,0)</f>
        <v>0.0278696869432426</v>
      </c>
      <c r="R820" s="11" t="str">
        <f aca="false">IF(COUNTIF($A$2:A820,A820)&gt;1,"Duplicate - Remove","Unique")</f>
        <v>Unique</v>
      </c>
      <c r="S820" s="11" t="str">
        <f aca="false">TRIM(IF(Raw_Data!G820="","Region missing; ","")&amp;IF(Raw_Data!H820="","Spend imputed; ","")&amp;IF(Raw_Data!L820="","Revenue imputed; ","")&amp;IF(Raw_Data!J820&lt;0,"Clicks corrected; ",""))</f>
        <v/>
      </c>
    </row>
    <row r="821" customFormat="false" ht="15" hidden="false" customHeight="true" outlineLevel="0" collapsed="false">
      <c r="A821" s="11" t="n">
        <f aca="false">Raw_Data!A821</f>
        <v>1154</v>
      </c>
      <c r="B821" s="11" t="str">
        <f aca="false">PROPER(TRIM(Raw_Data!B821))</f>
        <v>Back To College Offer</v>
      </c>
      <c r="C821" s="11" t="str">
        <f aca="false">IFERROR(INDEX(Lookup_Tables!$B$2:$B$26,MATCH(UPPER(TRIM(Raw_Data!C821)),Lookup_Tables!$C$2:$C$26,0)),"Unknown")</f>
        <v>Google Ads</v>
      </c>
      <c r="D821" s="12" t="n">
        <f aca="false">IFERROR(IF(ISNUMBER(SEARCH("/",Raw_Data!D821)),DATE(VALUE(RIGHT(Raw_Data!D821,4)),VALUE(MID(Raw_Data!D821,FIND("/",Raw_Data!D821)+1,FIND("/",Raw_Data!D821,FIND("/",Raw_Data!D821)+1)-FIND("/",Raw_Data!D821)-1)),VALUE(LEFT(Raw_Data!D821,FIND("/",Raw_Data!D821)-1))),IF(ISNUMBER(VALUE(LEFT(Raw_Data!D821,4))),DATE(VALUE(LEFT(Raw_Data!D821,4)),VALUE(MID(Raw_Data!D821,6,2)),VALUE(MID(Raw_Data!D821,9,2))),DATEVALUE(Raw_Data!D821))),"")</f>
        <v>45497</v>
      </c>
      <c r="E821" s="12" t="n">
        <f aca="false">IFERROR(IF(ISNUMBER(SEARCH("/",Raw_Data!E821)),DATE(VALUE(RIGHT(Raw_Data!E821,4)),VALUE(MID(Raw_Data!E821,FIND("/",Raw_Data!E821)+1,FIND("/",Raw_Data!E821,FIND("/",Raw_Data!E821)+1)-FIND("/",Raw_Data!E821)-1)),VALUE(LEFT(Raw_Data!E821,FIND("/",Raw_Data!E821)-1))),IF(ISNUMBER(VALUE(LEFT(Raw_Data!E821,4))),DATE(VALUE(LEFT(Raw_Data!E821,4)),VALUE(MID(Raw_Data!E821,6,2)),VALUE(MID(Raw_Data!E821,9,2))),DATEVALUE(Raw_Data!E821))),"")</f>
        <v>45504</v>
      </c>
      <c r="F821" s="11" t="str">
        <f aca="false">Raw_Data!F821</f>
        <v>Female 18-24</v>
      </c>
      <c r="G821" s="11" t="str">
        <f aca="false">IF(TRIM(Raw_Data!G821)="","Unspecified",IFERROR(INDEX(Lookup_Tables!$F$2:$F$24,MATCH(UPPER(TRIM(Raw_Data!G821)),Lookup_Tables!$G$2:$G$24,0)),"Unknown"))</f>
        <v>Central</v>
      </c>
      <c r="H821" s="11" t="n">
        <f aca="false">IF(Raw_Data!H821="",ROUND(AVERAGEIFS(Raw_Data!$H$2:$H$839,Raw_Data!$C$2:$C$839,Raw_Data!C821),2),Raw_Data!H821)</f>
        <v>70622.26</v>
      </c>
      <c r="I821" s="11" t="n">
        <f aca="false">Raw_Data!I821</f>
        <v>2425040</v>
      </c>
      <c r="J821" s="11" t="n">
        <f aca="false">IF(Raw_Data!J821&lt;0,ABS(Raw_Data!J821),Raw_Data!J821)</f>
        <v>34728</v>
      </c>
      <c r="K821" s="11" t="n">
        <f aca="false">Raw_Data!K821</f>
        <v>557</v>
      </c>
      <c r="L821" s="11" t="n">
        <f aca="false">IF(Raw_Data!L821="",ROUND(AVERAGEIFS(Raw_Data!$L$2:$L$839,Raw_Data!$C$2:$C$839,Raw_Data!C821),2),Raw_Data!L821)</f>
        <v>563841.05</v>
      </c>
      <c r="M821" s="13" t="n">
        <f aca="false">IFERROR(J821/I821,0)</f>
        <v>0.0143205885263748</v>
      </c>
      <c r="N821" s="14" t="n">
        <f aca="false">IFERROR(H821/J821,0)</f>
        <v>2.03358269983875</v>
      </c>
      <c r="O821" s="14" t="n">
        <f aca="false">IFERROR(H821/K821,0)</f>
        <v>126.790412926391</v>
      </c>
      <c r="P821" s="15" t="n">
        <f aca="false">IFERROR(L821/H821,0)</f>
        <v>7.9838998355476</v>
      </c>
      <c r="Q821" s="13" t="n">
        <f aca="false">IFERROR(K821/J821,0)</f>
        <v>0.0160389311218613</v>
      </c>
      <c r="R821" s="11" t="str">
        <f aca="false">IF(COUNTIF($A$2:A821,A821)&gt;1,"Duplicate - Remove","Unique")</f>
        <v>Unique</v>
      </c>
      <c r="S821" s="11" t="str">
        <f aca="false">TRIM(IF(Raw_Data!G821="","Region missing; ","")&amp;IF(Raw_Data!H821="","Spend imputed; ","")&amp;IF(Raw_Data!L821="","Revenue imputed; ","")&amp;IF(Raw_Data!J821&lt;0,"Clicks corrected; ",""))</f>
        <v/>
      </c>
    </row>
    <row r="822" customFormat="false" ht="15" hidden="false" customHeight="true" outlineLevel="0" collapsed="false">
      <c r="A822" s="11" t="n">
        <f aca="false">Raw_Data!A822</f>
        <v>1737</v>
      </c>
      <c r="B822" s="11" t="str">
        <f aca="false">PROPER(TRIM(Raw_Data!B822))</f>
        <v>Wedding Season Special</v>
      </c>
      <c r="C822" s="11" t="str">
        <f aca="false">IFERROR(INDEX(Lookup_Tables!$B$2:$B$26,MATCH(UPPER(TRIM(Raw_Data!C822)),Lookup_Tables!$C$2:$C$26,0)),"Unknown")</f>
        <v>Facebook</v>
      </c>
      <c r="D822" s="12" t="n">
        <f aca="false">IFERROR(IF(ISNUMBER(SEARCH("/",Raw_Data!D822)),DATE(VALUE(RIGHT(Raw_Data!D822,4)),VALUE(MID(Raw_Data!D822,FIND("/",Raw_Data!D822)+1,FIND("/",Raw_Data!D822,FIND("/",Raw_Data!D822)+1)-FIND("/",Raw_Data!D822)-1)),VALUE(LEFT(Raw_Data!D822,FIND("/",Raw_Data!D822)-1))),IF(ISNUMBER(VALUE(LEFT(Raw_Data!D822,4))),DATE(VALUE(LEFT(Raw_Data!D822,4)),VALUE(MID(Raw_Data!D822,6,2)),VALUE(MID(Raw_Data!D822,9,2))),DATEVALUE(Raw_Data!D822))),"")</f>
        <v>45336</v>
      </c>
      <c r="E822" s="12" t="n">
        <f aca="false">IFERROR(IF(ISNUMBER(SEARCH("/",Raw_Data!E822)),DATE(VALUE(RIGHT(Raw_Data!E822,4)),VALUE(MID(Raw_Data!E822,FIND("/",Raw_Data!E822)+1,FIND("/",Raw_Data!E822,FIND("/",Raw_Data!E822)+1)-FIND("/",Raw_Data!E822)-1)),VALUE(LEFT(Raw_Data!E822,FIND("/",Raw_Data!E822)-1))),IF(ISNUMBER(VALUE(LEFT(Raw_Data!E822,4))),DATE(VALUE(LEFT(Raw_Data!E822,4)),VALUE(MID(Raw_Data!E822,6,2)),VALUE(MID(Raw_Data!E822,9,2))),DATEVALUE(Raw_Data!E822))),"")</f>
        <v>45364</v>
      </c>
      <c r="F822" s="11" t="str">
        <f aca="false">Raw_Data!F822</f>
        <v>Female 25-34</v>
      </c>
      <c r="G822" s="11" t="str">
        <f aca="false">IF(TRIM(Raw_Data!G822)="","Unspecified",IFERROR(INDEX(Lookup_Tables!$F$2:$F$24,MATCH(UPPER(TRIM(Raw_Data!G822)),Lookup_Tables!$G$2:$G$24,0)),"Unknown"))</f>
        <v>North</v>
      </c>
      <c r="H822" s="11" t="n">
        <f aca="false">IF(Raw_Data!H822="",ROUND(AVERAGEIFS(Raw_Data!$H$2:$H$839,Raw_Data!$C$2:$C$839,Raw_Data!C822),2),Raw_Data!H822)</f>
        <v>26030.76</v>
      </c>
      <c r="I822" s="11" t="n">
        <f aca="false">Raw_Data!I822</f>
        <v>967329</v>
      </c>
      <c r="J822" s="11" t="n">
        <f aca="false">IF(Raw_Data!J822&lt;0,ABS(Raw_Data!J822),Raw_Data!J822)</f>
        <v>25003</v>
      </c>
      <c r="K822" s="11" t="n">
        <f aca="false">Raw_Data!K822</f>
        <v>728</v>
      </c>
      <c r="L822" s="11" t="n">
        <f aca="false">IF(Raw_Data!L822="",ROUND(AVERAGEIFS(Raw_Data!$L$2:$L$839,Raw_Data!$C$2:$C$839,Raw_Data!C822),2),Raw_Data!L822)</f>
        <v>278613.23</v>
      </c>
      <c r="M822" s="13" t="n">
        <f aca="false">IFERROR(J822/I822,0)</f>
        <v>0.0258474624455589</v>
      </c>
      <c r="N822" s="14" t="n">
        <f aca="false">IFERROR(H822/J822,0)</f>
        <v>1.04110546734392</v>
      </c>
      <c r="O822" s="14" t="n">
        <f aca="false">IFERROR(H822/K822,0)</f>
        <v>35.7565384615385</v>
      </c>
      <c r="P822" s="15" t="n">
        <f aca="false">IFERROR(L822/H822,0)</f>
        <v>10.7032307162757</v>
      </c>
      <c r="Q822" s="13" t="n">
        <f aca="false">IFERROR(K822/J822,0)</f>
        <v>0.0291165060192777</v>
      </c>
      <c r="R822" s="11" t="str">
        <f aca="false">IF(COUNTIF($A$2:A822,A822)&gt;1,"Duplicate - Remove","Unique")</f>
        <v>Unique</v>
      </c>
      <c r="S822" s="11" t="str">
        <f aca="false">TRIM(IF(Raw_Data!G822="","Region missing; ","")&amp;IF(Raw_Data!H822="","Spend imputed; ","")&amp;IF(Raw_Data!L822="","Revenue imputed; ","")&amp;IF(Raw_Data!J822&lt;0,"Clicks corrected; ",""))</f>
        <v/>
      </c>
    </row>
    <row r="823" customFormat="false" ht="15" hidden="false" customHeight="true" outlineLevel="0" collapsed="false">
      <c r="A823" s="11" t="n">
        <f aca="false">Raw_Data!A823</f>
        <v>1027</v>
      </c>
      <c r="B823" s="11" t="str">
        <f aca="false">PROPER(TRIM(Raw_Data!B823))</f>
        <v>Wedding Season Special</v>
      </c>
      <c r="C823" s="11" t="str">
        <f aca="false">IFERROR(INDEX(Lookup_Tables!$B$2:$B$26,MATCH(UPPER(TRIM(Raw_Data!C823)),Lookup_Tables!$C$2:$C$26,0)),"Unknown")</f>
        <v>Google Ads</v>
      </c>
      <c r="D823" s="12" t="n">
        <f aca="false">IFERROR(IF(ISNUMBER(SEARCH("/",Raw_Data!D823)),DATE(VALUE(RIGHT(Raw_Data!D823,4)),VALUE(MID(Raw_Data!D823,FIND("/",Raw_Data!D823)+1,FIND("/",Raw_Data!D823,FIND("/",Raw_Data!D823)+1)-FIND("/",Raw_Data!D823)-1)),VALUE(LEFT(Raw_Data!D823,FIND("/",Raw_Data!D823)-1))),IF(ISNUMBER(VALUE(LEFT(Raw_Data!D823,4))),DATE(VALUE(LEFT(Raw_Data!D823,4)),VALUE(MID(Raw_Data!D823,6,2)),VALUE(MID(Raw_Data!D823,9,2))),DATEVALUE(Raw_Data!D823))),"")</f>
        <v>45324</v>
      </c>
      <c r="E823" s="12" t="n">
        <f aca="false">IFERROR(IF(ISNUMBER(SEARCH("/",Raw_Data!E823)),DATE(VALUE(RIGHT(Raw_Data!E823,4)),VALUE(MID(Raw_Data!E823,FIND("/",Raw_Data!E823)+1,FIND("/",Raw_Data!E823,FIND("/",Raw_Data!E823)+1)-FIND("/",Raw_Data!E823)-1)),VALUE(LEFT(Raw_Data!E823,FIND("/",Raw_Data!E823)-1))),IF(ISNUMBER(VALUE(LEFT(Raw_Data!E823,4))),DATE(VALUE(LEFT(Raw_Data!E823,4)),VALUE(MID(Raw_Data!E823,6,2)),VALUE(MID(Raw_Data!E823,9,2))),DATEVALUE(Raw_Data!E823))),"")</f>
        <v>45342</v>
      </c>
      <c r="F823" s="11" t="str">
        <f aca="false">Raw_Data!F823</f>
        <v>Male 18-24</v>
      </c>
      <c r="G823" s="11" t="str">
        <f aca="false">IF(TRIM(Raw_Data!G823)="","Unspecified",IFERROR(INDEX(Lookup_Tables!$F$2:$F$24,MATCH(UPPER(TRIM(Raw_Data!G823)),Lookup_Tables!$G$2:$G$24,0)),"Unknown"))</f>
        <v>South</v>
      </c>
      <c r="H823" s="11" t="n">
        <f aca="false">IF(Raw_Data!H823="",ROUND(AVERAGEIFS(Raw_Data!$H$2:$H$839,Raw_Data!$C$2:$C$839,Raw_Data!C823),2),Raw_Data!H823)</f>
        <v>33161.7</v>
      </c>
      <c r="I823" s="11" t="n">
        <f aca="false">Raw_Data!I823</f>
        <v>883696</v>
      </c>
      <c r="J823" s="11" t="n">
        <f aca="false">IF(Raw_Data!J823&lt;0,ABS(Raw_Data!J823),Raw_Data!J823)</f>
        <v>6069</v>
      </c>
      <c r="K823" s="11" t="n">
        <f aca="false">Raw_Data!K823</f>
        <v>414</v>
      </c>
      <c r="L823" s="11" t="n">
        <f aca="false">IF(Raw_Data!L823="",ROUND(AVERAGEIFS(Raw_Data!$L$2:$L$839,Raw_Data!$C$2:$C$839,Raw_Data!C823),2),Raw_Data!L823)</f>
        <v>378702.93</v>
      </c>
      <c r="M823" s="13" t="n">
        <f aca="false">IFERROR(J823/I823,0)</f>
        <v>0.00686774637431877</v>
      </c>
      <c r="N823" s="14" t="n">
        <f aca="false">IFERROR(H823/J823,0)</f>
        <v>5.46411270390509</v>
      </c>
      <c r="O823" s="14" t="n">
        <f aca="false">IFERROR(H823/K823,0)</f>
        <v>80.1007246376812</v>
      </c>
      <c r="P823" s="15" t="n">
        <f aca="false">IFERROR(L823/H823,0)</f>
        <v>11.4198889079872</v>
      </c>
      <c r="Q823" s="13" t="n">
        <f aca="false">IFERROR(K823/J823,0)</f>
        <v>0.0682155215027187</v>
      </c>
      <c r="R823" s="11" t="str">
        <f aca="false">IF(COUNTIF($A$2:A823,A823)&gt;1,"Duplicate - Remove","Unique")</f>
        <v>Unique</v>
      </c>
      <c r="S823" s="11" t="str">
        <f aca="false">TRIM(IF(Raw_Data!G823="","Region missing; ","")&amp;IF(Raw_Data!H823="","Spend imputed; ","")&amp;IF(Raw_Data!L823="","Revenue imputed; ","")&amp;IF(Raw_Data!J823&lt;0,"Clicks corrected; ",""))</f>
        <v/>
      </c>
    </row>
    <row r="824" customFormat="false" ht="15" hidden="false" customHeight="true" outlineLevel="0" collapsed="false">
      <c r="A824" s="11" t="n">
        <f aca="false">Raw_Data!A824</f>
        <v>1620</v>
      </c>
      <c r="B824" s="11" t="str">
        <f aca="false">PROPER(TRIM(Raw_Data!B824))</f>
        <v>Anti-Ageing Serum Push</v>
      </c>
      <c r="C824" s="11" t="str">
        <f aca="false">IFERROR(INDEX(Lookup_Tables!$B$2:$B$26,MATCH(UPPER(TRIM(Raw_Data!C824)),Lookup_Tables!$C$2:$C$26,0)),"Unknown")</f>
        <v>Instagram</v>
      </c>
      <c r="D824" s="12" t="n">
        <f aca="false">IFERROR(IF(ISNUMBER(SEARCH("/",Raw_Data!D824)),DATE(VALUE(RIGHT(Raw_Data!D824,4)),VALUE(MID(Raw_Data!D824,FIND("/",Raw_Data!D824)+1,FIND("/",Raw_Data!D824,FIND("/",Raw_Data!D824)+1)-FIND("/",Raw_Data!D824)-1)),VALUE(LEFT(Raw_Data!D824,FIND("/",Raw_Data!D824)-1))),IF(ISNUMBER(VALUE(LEFT(Raw_Data!D824,4))),DATE(VALUE(LEFT(Raw_Data!D824,4)),VALUE(MID(Raw_Data!D824,6,2)),VALUE(MID(Raw_Data!D824,9,2))),DATEVALUE(Raw_Data!D824))),"")</f>
        <v>45469</v>
      </c>
      <c r="E824" s="12" t="n">
        <f aca="false">IFERROR(IF(ISNUMBER(SEARCH("/",Raw_Data!E824)),DATE(VALUE(RIGHT(Raw_Data!E824,4)),VALUE(MID(Raw_Data!E824,FIND("/",Raw_Data!E824)+1,FIND("/",Raw_Data!E824,FIND("/",Raw_Data!E824)+1)-FIND("/",Raw_Data!E824)-1)),VALUE(LEFT(Raw_Data!E824,FIND("/",Raw_Data!E824)-1))),IF(ISNUMBER(VALUE(LEFT(Raw_Data!E824,4))),DATE(VALUE(LEFT(Raw_Data!E824,4)),VALUE(MID(Raw_Data!E824,6,2)),VALUE(MID(Raw_Data!E824,9,2))),DATEVALUE(Raw_Data!E824))),"")</f>
        <v>45495</v>
      </c>
      <c r="F824" s="11" t="str">
        <f aca="false">Raw_Data!F824</f>
        <v>Female 25-34</v>
      </c>
      <c r="G824" s="11" t="str">
        <f aca="false">IF(TRIM(Raw_Data!G824)="","Unspecified",IFERROR(INDEX(Lookup_Tables!$F$2:$F$24,MATCH(UPPER(TRIM(Raw_Data!G824)),Lookup_Tables!$G$2:$G$24,0)),"Unknown"))</f>
        <v>Central</v>
      </c>
      <c r="H824" s="11" t="n">
        <f aca="false">IF(Raw_Data!H824="",ROUND(AVERAGEIFS(Raw_Data!$H$2:$H$839,Raw_Data!$C$2:$C$839,Raw_Data!C824),2),Raw_Data!H824)</f>
        <v>13273.07</v>
      </c>
      <c r="I824" s="11" t="n">
        <f aca="false">Raw_Data!I824</f>
        <v>485285</v>
      </c>
      <c r="J824" s="11" t="n">
        <f aca="false">IF(Raw_Data!J824&lt;0,ABS(Raw_Data!J824),Raw_Data!J824)</f>
        <v>14124</v>
      </c>
      <c r="K824" s="11" t="n">
        <f aca="false">Raw_Data!K824</f>
        <v>153</v>
      </c>
      <c r="L824" s="11" t="n">
        <f aca="false">IF(Raw_Data!L824="",ROUND(AVERAGEIFS(Raw_Data!$L$2:$L$839,Raw_Data!$C$2:$C$839,Raw_Data!C824),2),Raw_Data!L824)</f>
        <v>124325.87</v>
      </c>
      <c r="M824" s="13" t="n">
        <f aca="false">IFERROR(J824/I824,0)</f>
        <v>0.0291045468126977</v>
      </c>
      <c r="N824" s="14" t="n">
        <f aca="false">IFERROR(H824/J824,0)</f>
        <v>0.93975290286038</v>
      </c>
      <c r="O824" s="14" t="n">
        <f aca="false">IFERROR(H824/K824,0)</f>
        <v>86.752091503268</v>
      </c>
      <c r="P824" s="15" t="n">
        <f aca="false">IFERROR(L824/H824,0)</f>
        <v>9.36677573462658</v>
      </c>
      <c r="Q824" s="13" t="n">
        <f aca="false">IFERROR(K824/J824,0)</f>
        <v>0.0108326253186066</v>
      </c>
      <c r="R824" s="11" t="str">
        <f aca="false">IF(COUNTIF($A$2:A824,A824)&gt;1,"Duplicate - Remove","Unique")</f>
        <v>Unique</v>
      </c>
      <c r="S824" s="11" t="str">
        <f aca="false">TRIM(IF(Raw_Data!G824="","Region missing; ","")&amp;IF(Raw_Data!H824="","Spend imputed; ","")&amp;IF(Raw_Data!L824="","Revenue imputed; ","")&amp;IF(Raw_Data!J824&lt;0,"Clicks corrected; ",""))</f>
        <v/>
      </c>
    </row>
    <row r="825" customFormat="false" ht="15" hidden="false" customHeight="true" outlineLevel="0" collapsed="false">
      <c r="A825" s="11" t="n">
        <f aca="false">Raw_Data!A825</f>
        <v>1767</v>
      </c>
      <c r="B825" s="11" t="str">
        <f aca="false">PROPER(TRIM(Raw_Data!B825))</f>
        <v>Baby Care Trust Campaign</v>
      </c>
      <c r="C825" s="11" t="str">
        <f aca="false">IFERROR(INDEX(Lookup_Tables!$B$2:$B$26,MATCH(UPPER(TRIM(Raw_Data!C825)),Lookup_Tables!$C$2:$C$26,0)),"Unknown")</f>
        <v>YouTube</v>
      </c>
      <c r="D825" s="12" t="n">
        <f aca="false">IFERROR(IF(ISNUMBER(SEARCH("/",Raw_Data!D825)),DATE(VALUE(RIGHT(Raw_Data!D825,4)),VALUE(MID(Raw_Data!D825,FIND("/",Raw_Data!D825)+1,FIND("/",Raw_Data!D825,FIND("/",Raw_Data!D825)+1)-FIND("/",Raw_Data!D825)-1)),VALUE(LEFT(Raw_Data!D825,FIND("/",Raw_Data!D825)-1))),IF(ISNUMBER(VALUE(LEFT(Raw_Data!D825,4))),DATE(VALUE(LEFT(Raw_Data!D825,4)),VALUE(MID(Raw_Data!D825,6,2)),VALUE(MID(Raw_Data!D825,9,2))),DATEVALUE(Raw_Data!D825))),"")</f>
        <v>45338</v>
      </c>
      <c r="E825" s="12" t="n">
        <f aca="false">IFERROR(IF(ISNUMBER(SEARCH("/",Raw_Data!E825)),DATE(VALUE(RIGHT(Raw_Data!E825,4)),VALUE(MID(Raw_Data!E825,FIND("/",Raw_Data!E825)+1,FIND("/",Raw_Data!E825,FIND("/",Raw_Data!E825)+1)-FIND("/",Raw_Data!E825)-1)),VALUE(LEFT(Raw_Data!E825,FIND("/",Raw_Data!E825)-1))),IF(ISNUMBER(VALUE(LEFT(Raw_Data!E825,4))),DATE(VALUE(LEFT(Raw_Data!E825,4)),VALUE(MID(Raw_Data!E825,6,2)),VALUE(MID(Raw_Data!E825,9,2))),DATEVALUE(Raw_Data!E825))),"")</f>
        <v>45365</v>
      </c>
      <c r="F825" s="11" t="str">
        <f aca="false">Raw_Data!F825</f>
        <v>Male 18-24</v>
      </c>
      <c r="G825" s="11" t="str">
        <f aca="false">IF(TRIM(Raw_Data!G825)="","Unspecified",IFERROR(INDEX(Lookup_Tables!$F$2:$F$24,MATCH(UPPER(TRIM(Raw_Data!G825)),Lookup_Tables!$G$2:$G$24,0)),"Unknown"))</f>
        <v>North</v>
      </c>
      <c r="H825" s="11" t="n">
        <f aca="false">IF(Raw_Data!H825="",ROUND(AVERAGEIFS(Raw_Data!$H$2:$H$839,Raw_Data!$C$2:$C$839,Raw_Data!C825),2),Raw_Data!H825)</f>
        <v>21928.26</v>
      </c>
      <c r="I825" s="11" t="n">
        <f aca="false">Raw_Data!I825</f>
        <v>710098</v>
      </c>
      <c r="J825" s="11" t="n">
        <f aca="false">IF(Raw_Data!J825&lt;0,ABS(Raw_Data!J825),Raw_Data!J825)</f>
        <v>4617</v>
      </c>
      <c r="K825" s="11" t="n">
        <f aca="false">Raw_Data!K825</f>
        <v>71</v>
      </c>
      <c r="L825" s="11" t="n">
        <f aca="false">IF(Raw_Data!L825="",ROUND(AVERAGEIFS(Raw_Data!$L$2:$L$839,Raw_Data!$C$2:$C$839,Raw_Data!C825),2),Raw_Data!L825)</f>
        <v>120800.44</v>
      </c>
      <c r="M825" s="13" t="n">
        <f aca="false">IFERROR(J825/I825,0)</f>
        <v>0.00650191945337123</v>
      </c>
      <c r="N825" s="14" t="n">
        <f aca="false">IFERROR(H825/J825,0)</f>
        <v>4.74946068875893</v>
      </c>
      <c r="O825" s="14" t="n">
        <f aca="false">IFERROR(H825/K825,0)</f>
        <v>308.848732394366</v>
      </c>
      <c r="P825" s="15" t="n">
        <f aca="false">IFERROR(L825/H825,0)</f>
        <v>5.50889309046865</v>
      </c>
      <c r="Q825" s="13" t="n">
        <f aca="false">IFERROR(K825/J825,0)</f>
        <v>0.0153779510504657</v>
      </c>
      <c r="R825" s="11" t="str">
        <f aca="false">IF(COUNTIF($A$2:A825,A825)&gt;1,"Duplicate - Remove","Unique")</f>
        <v>Unique</v>
      </c>
      <c r="S825" s="11" t="str">
        <f aca="false">TRIM(IF(Raw_Data!G825="","Region missing; ","")&amp;IF(Raw_Data!H825="","Spend imputed; ","")&amp;IF(Raw_Data!L825="","Revenue imputed; ","")&amp;IF(Raw_Data!J825&lt;0,"Clicks corrected; ",""))</f>
        <v/>
      </c>
    </row>
    <row r="826" customFormat="false" ht="15" hidden="false" customHeight="true" outlineLevel="0" collapsed="false">
      <c r="A826" s="11" t="n">
        <f aca="false">Raw_Data!A826</f>
        <v>1646</v>
      </c>
      <c r="B826" s="11" t="str">
        <f aca="false">PROPER(TRIM(Raw_Data!B826))</f>
        <v>Men'S Grooming Drive</v>
      </c>
      <c r="C826" s="11" t="str">
        <f aca="false">IFERROR(INDEX(Lookup_Tables!$B$2:$B$26,MATCH(UPPER(TRIM(Raw_Data!C826)),Lookup_Tables!$C$2:$C$26,0)),"Unknown")</f>
        <v>Facebook</v>
      </c>
      <c r="D826" s="12" t="n">
        <f aca="false">IFERROR(IF(ISNUMBER(SEARCH("/",Raw_Data!D826)),DATE(VALUE(RIGHT(Raw_Data!D826,4)),VALUE(MID(Raw_Data!D826,FIND("/",Raw_Data!D826)+1,FIND("/",Raw_Data!D826,FIND("/",Raw_Data!D826)+1)-FIND("/",Raw_Data!D826)-1)),VALUE(LEFT(Raw_Data!D826,FIND("/",Raw_Data!D826)-1))),IF(ISNUMBER(VALUE(LEFT(Raw_Data!D826,4))),DATE(VALUE(LEFT(Raw_Data!D826,4)),VALUE(MID(Raw_Data!D826,6,2)),VALUE(MID(Raw_Data!D826,9,2))),DATEVALUE(Raw_Data!D826))),"")</f>
        <v>45604</v>
      </c>
      <c r="E826" s="12" t="n">
        <f aca="false">IFERROR(IF(ISNUMBER(SEARCH("/",Raw_Data!E826)),DATE(VALUE(RIGHT(Raw_Data!E826,4)),VALUE(MID(Raw_Data!E826,FIND("/",Raw_Data!E826)+1,FIND("/",Raw_Data!E826,FIND("/",Raw_Data!E826)+1)-FIND("/",Raw_Data!E826)-1)),VALUE(LEFT(Raw_Data!E826,FIND("/",Raw_Data!E826)-1))),IF(ISNUMBER(VALUE(LEFT(Raw_Data!E826,4))),DATE(VALUE(LEFT(Raw_Data!E826,4)),VALUE(MID(Raw_Data!E826,6,2)),VALUE(MID(Raw_Data!E826,9,2))),DATEVALUE(Raw_Data!E826))),"")</f>
        <v>45615</v>
      </c>
      <c r="F826" s="11" t="str">
        <f aca="false">Raw_Data!F826</f>
        <v>Male 25-34</v>
      </c>
      <c r="G826" s="11" t="str">
        <f aca="false">IF(TRIM(Raw_Data!G826)="","Unspecified",IFERROR(INDEX(Lookup_Tables!$F$2:$F$24,MATCH(UPPER(TRIM(Raw_Data!G826)),Lookup_Tables!$G$2:$G$24,0)),"Unknown"))</f>
        <v>Central</v>
      </c>
      <c r="H826" s="11" t="n">
        <f aca="false">IF(Raw_Data!H826="",ROUND(AVERAGEIFS(Raw_Data!$H$2:$H$839,Raw_Data!$C$2:$C$839,Raw_Data!C826),2),Raw_Data!H826)</f>
        <v>35563.04</v>
      </c>
      <c r="I826" s="11" t="n">
        <f aca="false">Raw_Data!I826</f>
        <v>821297</v>
      </c>
      <c r="J826" s="11" t="n">
        <f aca="false">IF(Raw_Data!J826&lt;0,ABS(Raw_Data!J826),Raw_Data!J826)</f>
        <v>8834</v>
      </c>
      <c r="K826" s="11" t="n">
        <f aca="false">Raw_Data!K826</f>
        <v>333</v>
      </c>
      <c r="L826" s="11" t="n">
        <f aca="false">IF(Raw_Data!L826="",ROUND(AVERAGEIFS(Raw_Data!$L$2:$L$839,Raw_Data!$C$2:$C$839,Raw_Data!C826),2),Raw_Data!L826)</f>
        <v>199492.67</v>
      </c>
      <c r="M826" s="13" t="n">
        <f aca="false">IFERROR(J826/I826,0)</f>
        <v>0.010756157638467</v>
      </c>
      <c r="N826" s="14" t="n">
        <f aca="false">IFERROR(H826/J826,0)</f>
        <v>4.02570070183382</v>
      </c>
      <c r="O826" s="14" t="n">
        <f aca="false">IFERROR(H826/K826,0)</f>
        <v>106.795915915916</v>
      </c>
      <c r="P826" s="15" t="n">
        <f aca="false">IFERROR(L826/H826,0)</f>
        <v>5.60955053336273</v>
      </c>
      <c r="Q826" s="13" t="n">
        <f aca="false">IFERROR(K826/J826,0)</f>
        <v>0.0376952682816391</v>
      </c>
      <c r="R826" s="11" t="str">
        <f aca="false">IF(COUNTIF($A$2:A826,A826)&gt;1,"Duplicate - Remove","Unique")</f>
        <v>Unique</v>
      </c>
      <c r="S826" s="11" t="str">
        <f aca="false">TRIM(IF(Raw_Data!G826="","Region missing; ","")&amp;IF(Raw_Data!H826="","Spend imputed; ","")&amp;IF(Raw_Data!L826="","Revenue imputed; ","")&amp;IF(Raw_Data!J826&lt;0,"Clicks corrected; ",""))</f>
        <v/>
      </c>
    </row>
    <row r="827" customFormat="false" ht="15" hidden="false" customHeight="true" outlineLevel="0" collapsed="false">
      <c r="A827" s="11" t="n">
        <f aca="false">Raw_Data!A827</f>
        <v>1807</v>
      </c>
      <c r="B827" s="11" t="str">
        <f aca="false">PROPER(TRIM(Raw_Data!B827))</f>
        <v>Sunscreen Season Campaign</v>
      </c>
      <c r="C827" s="11" t="str">
        <f aca="false">IFERROR(INDEX(Lookup_Tables!$B$2:$B$26,MATCH(UPPER(TRIM(Raw_Data!C827)),Lookup_Tables!$C$2:$C$26,0)),"Unknown")</f>
        <v>Facebook</v>
      </c>
      <c r="D827" s="12" t="n">
        <f aca="false">IFERROR(IF(ISNUMBER(SEARCH("/",Raw_Data!D827)),DATE(VALUE(RIGHT(Raw_Data!D827,4)),VALUE(MID(Raw_Data!D827,FIND("/",Raw_Data!D827)+1,FIND("/",Raw_Data!D827,FIND("/",Raw_Data!D827)+1)-FIND("/",Raw_Data!D827)-1)),VALUE(LEFT(Raw_Data!D827,FIND("/",Raw_Data!D827)-1))),IF(ISNUMBER(VALUE(LEFT(Raw_Data!D827,4))),DATE(VALUE(LEFT(Raw_Data!D827,4)),VALUE(MID(Raw_Data!D827,6,2)),VALUE(MID(Raw_Data!D827,9,2))),DATEVALUE(Raw_Data!D827))),"")</f>
        <v>45323</v>
      </c>
      <c r="E827" s="12" t="n">
        <f aca="false">IFERROR(IF(ISNUMBER(SEARCH("/",Raw_Data!E827)),DATE(VALUE(RIGHT(Raw_Data!E827,4)),VALUE(MID(Raw_Data!E827,FIND("/",Raw_Data!E827)+1,FIND("/",Raw_Data!E827,FIND("/",Raw_Data!E827)+1)-FIND("/",Raw_Data!E827)-1)),VALUE(LEFT(Raw_Data!E827,FIND("/",Raw_Data!E827)-1))),IF(ISNUMBER(VALUE(LEFT(Raw_Data!E827,4))),DATE(VALUE(LEFT(Raw_Data!E827,4)),VALUE(MID(Raw_Data!E827,6,2)),VALUE(MID(Raw_Data!E827,9,2))),DATEVALUE(Raw_Data!E827))),"")</f>
        <v>45353</v>
      </c>
      <c r="F827" s="11" t="str">
        <f aca="false">Raw_Data!F827</f>
        <v>Female 35-44</v>
      </c>
      <c r="G827" s="11" t="str">
        <f aca="false">IF(TRIM(Raw_Data!G827)="","Unspecified",IFERROR(INDEX(Lookup_Tables!$F$2:$F$24,MATCH(UPPER(TRIM(Raw_Data!G827)),Lookup_Tables!$G$2:$G$24,0)),"Unknown"))</f>
        <v>East</v>
      </c>
      <c r="H827" s="11" t="n">
        <f aca="false">IF(Raw_Data!H827="",ROUND(AVERAGEIFS(Raw_Data!$H$2:$H$839,Raw_Data!$C$2:$C$839,Raw_Data!C827),2),Raw_Data!H827)</f>
        <v>38926.27</v>
      </c>
      <c r="I827" s="11" t="n">
        <f aca="false">Raw_Data!I827</f>
        <v>1094102</v>
      </c>
      <c r="J827" s="11" t="n">
        <f aca="false">IF(Raw_Data!J827&lt;0,ABS(Raw_Data!J827),Raw_Data!J827)</f>
        <v>12161</v>
      </c>
      <c r="K827" s="11" t="n">
        <f aca="false">Raw_Data!K827</f>
        <v>215</v>
      </c>
      <c r="L827" s="11" t="n">
        <f aca="false">IF(Raw_Data!L827="",ROUND(AVERAGEIFS(Raw_Data!$L$2:$L$839,Raw_Data!$C$2:$C$839,Raw_Data!C827),2),Raw_Data!L827)</f>
        <v>164787.7</v>
      </c>
      <c r="M827" s="13" t="n">
        <f aca="false">IFERROR(J827/I827,0)</f>
        <v>0.0111150514303054</v>
      </c>
      <c r="N827" s="14" t="n">
        <f aca="false">IFERROR(H827/J827,0)</f>
        <v>3.20091028698298</v>
      </c>
      <c r="O827" s="14" t="n">
        <f aca="false">IFERROR(H827/K827,0)</f>
        <v>181.052418604651</v>
      </c>
      <c r="P827" s="15" t="n">
        <f aca="false">IFERROR(L827/H827,0)</f>
        <v>4.23332880340192</v>
      </c>
      <c r="Q827" s="13" t="n">
        <f aca="false">IFERROR(K827/J827,0)</f>
        <v>0.0176794671490831</v>
      </c>
      <c r="R827" s="11" t="str">
        <f aca="false">IF(COUNTIF($A$2:A827,A827)&gt;1,"Duplicate - Remove","Unique")</f>
        <v>Unique</v>
      </c>
      <c r="S827" s="11" t="str">
        <f aca="false">TRIM(IF(Raw_Data!G827="","Region missing; ","")&amp;IF(Raw_Data!H827="","Spend imputed; ","")&amp;IF(Raw_Data!L827="","Revenue imputed; ","")&amp;IF(Raw_Data!J827&lt;0,"Clicks corrected; ",""))</f>
        <v/>
      </c>
    </row>
    <row r="828" customFormat="false" ht="15" hidden="false" customHeight="true" outlineLevel="0" collapsed="false">
      <c r="A828" s="11" t="n">
        <f aca="false">Raw_Data!A828</f>
        <v>1059</v>
      </c>
      <c r="B828" s="11" t="str">
        <f aca="false">PROPER(TRIM(Raw_Data!B828))</f>
        <v>Men'S Grooming Drive</v>
      </c>
      <c r="C828" s="11" t="str">
        <f aca="false">IFERROR(INDEX(Lookup_Tables!$B$2:$B$26,MATCH(UPPER(TRIM(Raw_Data!C828)),Lookup_Tables!$C$2:$C$26,0)),"Unknown")</f>
        <v>Instagram</v>
      </c>
      <c r="D828" s="12" t="n">
        <f aca="false">IFERROR(IF(ISNUMBER(SEARCH("/",Raw_Data!D828)),DATE(VALUE(RIGHT(Raw_Data!D828,4)),VALUE(MID(Raw_Data!D828,FIND("/",Raw_Data!D828)+1,FIND("/",Raw_Data!D828,FIND("/",Raw_Data!D828)+1)-FIND("/",Raw_Data!D828)-1)),VALUE(LEFT(Raw_Data!D828,FIND("/",Raw_Data!D828)-1))),IF(ISNUMBER(VALUE(LEFT(Raw_Data!D828,4))),DATE(VALUE(LEFT(Raw_Data!D828,4)),VALUE(MID(Raw_Data!D828,6,2)),VALUE(MID(Raw_Data!D828,9,2))),DATEVALUE(Raw_Data!D828))),"")</f>
        <v>45521</v>
      </c>
      <c r="E828" s="12" t="n">
        <f aca="false">IFERROR(IF(ISNUMBER(SEARCH("/",Raw_Data!E828)),DATE(VALUE(RIGHT(Raw_Data!E828,4)),VALUE(MID(Raw_Data!E828,FIND("/",Raw_Data!E828)+1,FIND("/",Raw_Data!E828,FIND("/",Raw_Data!E828)+1)-FIND("/",Raw_Data!E828)-1)),VALUE(LEFT(Raw_Data!E828,FIND("/",Raw_Data!E828)-1))),IF(ISNUMBER(VALUE(LEFT(Raw_Data!E828,4))),DATE(VALUE(LEFT(Raw_Data!E828,4)),VALUE(MID(Raw_Data!E828,6,2)),VALUE(MID(Raw_Data!E828,9,2))),DATEVALUE(Raw_Data!E828))),"")</f>
        <v>45550</v>
      </c>
      <c r="F828" s="11" t="str">
        <f aca="false">Raw_Data!F828</f>
        <v>Male 45+</v>
      </c>
      <c r="G828" s="11" t="str">
        <f aca="false">IF(TRIM(Raw_Data!G828)="","Unspecified",IFERROR(INDEX(Lookup_Tables!$F$2:$F$24,MATCH(UPPER(TRIM(Raw_Data!G828)),Lookup_Tables!$G$2:$G$24,0)),"Unknown"))</f>
        <v>Central</v>
      </c>
      <c r="H828" s="11" t="n">
        <f aca="false">IF(Raw_Data!H828="",ROUND(AVERAGEIFS(Raw_Data!$H$2:$H$839,Raw_Data!$C$2:$C$839,Raw_Data!C828),2),Raw_Data!H828)</f>
        <v>34688.37</v>
      </c>
      <c r="I828" s="11" t="n">
        <f aca="false">Raw_Data!I828</f>
        <v>614898</v>
      </c>
      <c r="J828" s="11" t="n">
        <f aca="false">IF(Raw_Data!J828&lt;0,ABS(Raw_Data!J828),Raw_Data!J828)</f>
        <v>12368</v>
      </c>
      <c r="K828" s="11" t="n">
        <f aca="false">Raw_Data!K828</f>
        <v>942</v>
      </c>
      <c r="L828" s="11" t="n">
        <f aca="false">IF(Raw_Data!L828="",ROUND(AVERAGEIFS(Raw_Data!$L$2:$L$839,Raw_Data!$C$2:$C$839,Raw_Data!C828),2),Raw_Data!L828)</f>
        <v>388932.3</v>
      </c>
      <c r="M828" s="13" t="n">
        <f aca="false">IFERROR(J828/I828,0)</f>
        <v>0.0201139050704344</v>
      </c>
      <c r="N828" s="14" t="n">
        <f aca="false">IFERROR(H828/J828,0)</f>
        <v>2.80468709573092</v>
      </c>
      <c r="O828" s="14" t="n">
        <f aca="false">IFERROR(H828/K828,0)</f>
        <v>36.8241719745223</v>
      </c>
      <c r="P828" s="15" t="n">
        <f aca="false">IFERROR(L828/H828,0)</f>
        <v>11.2121814890697</v>
      </c>
      <c r="Q828" s="13" t="n">
        <f aca="false">IFERROR(K828/J828,0)</f>
        <v>0.0761642949547219</v>
      </c>
      <c r="R828" s="11" t="str">
        <f aca="false">IF(COUNTIF($A$2:A828,A828)&gt;1,"Duplicate - Remove","Unique")</f>
        <v>Unique</v>
      </c>
      <c r="S828" s="11" t="str">
        <f aca="false">TRIM(IF(Raw_Data!G828="","Region missing; ","")&amp;IF(Raw_Data!H828="","Spend imputed; ","")&amp;IF(Raw_Data!L828="","Revenue imputed; ","")&amp;IF(Raw_Data!J828&lt;0,"Clicks corrected; ",""))</f>
        <v/>
      </c>
    </row>
    <row r="829" customFormat="false" ht="15" hidden="false" customHeight="true" outlineLevel="0" collapsed="false">
      <c r="A829" s="11" t="n">
        <f aca="false">Raw_Data!A829</f>
        <v>1381</v>
      </c>
      <c r="B829" s="11" t="str">
        <f aca="false">PROPER(TRIM(Raw_Data!B829))</f>
        <v>Monsoon Skincare Push</v>
      </c>
      <c r="C829" s="11" t="str">
        <f aca="false">IFERROR(INDEX(Lookup_Tables!$B$2:$B$26,MATCH(UPPER(TRIM(Raw_Data!C829)),Lookup_Tables!$C$2:$C$26,0)),"Unknown")</f>
        <v>Email</v>
      </c>
      <c r="D829" s="12" t="n">
        <f aca="false">IFERROR(IF(ISNUMBER(SEARCH("/",Raw_Data!D829)),DATE(VALUE(RIGHT(Raw_Data!D829,4)),VALUE(MID(Raw_Data!D829,FIND("/",Raw_Data!D829)+1,FIND("/",Raw_Data!D829,FIND("/",Raw_Data!D829)+1)-FIND("/",Raw_Data!D829)-1)),VALUE(LEFT(Raw_Data!D829,FIND("/",Raw_Data!D829)-1))),IF(ISNUMBER(VALUE(LEFT(Raw_Data!D829,4))),DATE(VALUE(LEFT(Raw_Data!D829,4)),VALUE(MID(Raw_Data!D829,6,2)),VALUE(MID(Raw_Data!D829,9,2))),DATEVALUE(Raw_Data!D829))),"")</f>
        <v>45305</v>
      </c>
      <c r="E829" s="12" t="n">
        <f aca="false">IFERROR(IF(ISNUMBER(SEARCH("/",Raw_Data!E829)),DATE(VALUE(RIGHT(Raw_Data!E829,4)),VALUE(MID(Raw_Data!E829,FIND("/",Raw_Data!E829)+1,FIND("/",Raw_Data!E829,FIND("/",Raw_Data!E829)+1)-FIND("/",Raw_Data!E829)-1)),VALUE(LEFT(Raw_Data!E829,FIND("/",Raw_Data!E829)-1))),IF(ISNUMBER(VALUE(LEFT(Raw_Data!E829,4))),DATE(VALUE(LEFT(Raw_Data!E829,4)),VALUE(MID(Raw_Data!E829,6,2)),VALUE(MID(Raw_Data!E829,9,2))),DATEVALUE(Raw_Data!E829))),"")</f>
        <v>45316</v>
      </c>
      <c r="F829" s="11" t="str">
        <f aca="false">Raw_Data!F829</f>
        <v>Male 18-24</v>
      </c>
      <c r="G829" s="11" t="str">
        <f aca="false">IF(TRIM(Raw_Data!G829)="","Unspecified",IFERROR(INDEX(Lookup_Tables!$F$2:$F$24,MATCH(UPPER(TRIM(Raw_Data!G829)),Lookup_Tables!$G$2:$G$24,0)),"Unknown"))</f>
        <v>North</v>
      </c>
      <c r="H829" s="11" t="n">
        <f aca="false">IF(Raw_Data!H829="",ROUND(AVERAGEIFS(Raw_Data!$H$2:$H$839,Raw_Data!$C$2:$C$839,Raw_Data!C829),2),Raw_Data!H829)</f>
        <v>5540.36</v>
      </c>
      <c r="I829" s="11" t="n">
        <f aca="false">Raw_Data!I829</f>
        <v>173100</v>
      </c>
      <c r="J829" s="11" t="n">
        <f aca="false">IF(Raw_Data!J829&lt;0,ABS(Raw_Data!J829),Raw_Data!J829)</f>
        <v>3128</v>
      </c>
      <c r="K829" s="11" t="n">
        <f aca="false">Raw_Data!K829</f>
        <v>168</v>
      </c>
      <c r="L829" s="11" t="n">
        <f aca="false">IF(Raw_Data!L829="",ROUND(AVERAGEIFS(Raw_Data!$L$2:$L$839,Raw_Data!$C$2:$C$839,Raw_Data!C829),2),Raw_Data!L829)</f>
        <v>251246.81</v>
      </c>
      <c r="M829" s="13" t="n">
        <f aca="false">IFERROR(J829/I829,0)</f>
        <v>0.0180704794916233</v>
      </c>
      <c r="N829" s="14" t="n">
        <f aca="false">IFERROR(H829/J829,0)</f>
        <v>1.77121483375959</v>
      </c>
      <c r="O829" s="14" t="n">
        <f aca="false">IFERROR(H829/K829,0)</f>
        <v>32.9783333333333</v>
      </c>
      <c r="P829" s="15" t="n">
        <f aca="false">IFERROR(L829/H829,0)</f>
        <v>45.3484629157672</v>
      </c>
      <c r="Q829" s="13" t="n">
        <f aca="false">IFERROR(K829/J829,0)</f>
        <v>0.0537084398976982</v>
      </c>
      <c r="R829" s="11" t="str">
        <f aca="false">IF(COUNTIF($A$2:A829,A829)&gt;1,"Duplicate - Remove","Unique")</f>
        <v>Unique</v>
      </c>
      <c r="S829" s="11" t="str">
        <f aca="false">TRIM(IF(Raw_Data!G829="","Region missing; ","")&amp;IF(Raw_Data!H829="","Spend imputed; ","")&amp;IF(Raw_Data!L829="","Revenue imputed; ","")&amp;IF(Raw_Data!J829&lt;0,"Clicks corrected; ",""))</f>
        <v/>
      </c>
    </row>
    <row r="830" customFormat="false" ht="15" hidden="false" customHeight="true" outlineLevel="0" collapsed="false">
      <c r="A830" s="11" t="n">
        <f aca="false">Raw_Data!A830</f>
        <v>1664</v>
      </c>
      <c r="B830" s="11" t="str">
        <f aca="false">PROPER(TRIM(Raw_Data!B830))</f>
        <v>Herbal Range Awareness</v>
      </c>
      <c r="C830" s="11" t="str">
        <f aca="false">IFERROR(INDEX(Lookup_Tables!$B$2:$B$26,MATCH(UPPER(TRIM(Raw_Data!C830)),Lookup_Tables!$C$2:$C$26,0)),"Unknown")</f>
        <v>Google Ads</v>
      </c>
      <c r="D830" s="12" t="n">
        <f aca="false">IFERROR(IF(ISNUMBER(SEARCH("/",Raw_Data!D830)),DATE(VALUE(RIGHT(Raw_Data!D830,4)),VALUE(MID(Raw_Data!D830,FIND("/",Raw_Data!D830)+1,FIND("/",Raw_Data!D830,FIND("/",Raw_Data!D830)+1)-FIND("/",Raw_Data!D830)-1)),VALUE(LEFT(Raw_Data!D830,FIND("/",Raw_Data!D830)-1))),IF(ISNUMBER(VALUE(LEFT(Raw_Data!D830,4))),DATE(VALUE(LEFT(Raw_Data!D830,4)),VALUE(MID(Raw_Data!D830,6,2)),VALUE(MID(Raw_Data!D830,9,2))),DATEVALUE(Raw_Data!D830))),"")</f>
        <v>45615</v>
      </c>
      <c r="E830" s="12" t="n">
        <f aca="false">IFERROR(IF(ISNUMBER(SEARCH("/",Raw_Data!E830)),DATE(VALUE(RIGHT(Raw_Data!E830,4)),VALUE(MID(Raw_Data!E830,FIND("/",Raw_Data!E830)+1,FIND("/",Raw_Data!E830,FIND("/",Raw_Data!E830)+1)-FIND("/",Raw_Data!E830)-1)),VALUE(LEFT(Raw_Data!E830,FIND("/",Raw_Data!E830)-1))),IF(ISNUMBER(VALUE(LEFT(Raw_Data!E830,4))),DATE(VALUE(LEFT(Raw_Data!E830,4)),VALUE(MID(Raw_Data!E830,6,2)),VALUE(MID(Raw_Data!E830,9,2))),DATEVALUE(Raw_Data!E830))),"")</f>
        <v>45621</v>
      </c>
      <c r="F830" s="11" t="str">
        <f aca="false">Raw_Data!F830</f>
        <v>Female 45+</v>
      </c>
      <c r="G830" s="11" t="str">
        <f aca="false">IF(TRIM(Raw_Data!G830)="","Unspecified",IFERROR(INDEX(Lookup_Tables!$F$2:$F$24,MATCH(UPPER(TRIM(Raw_Data!G830)),Lookup_Tables!$G$2:$G$24,0)),"Unknown"))</f>
        <v>Central</v>
      </c>
      <c r="H830" s="11" t="n">
        <f aca="false">IF(Raw_Data!H830="",ROUND(AVERAGEIFS(Raw_Data!$H$2:$H$839,Raw_Data!$C$2:$C$839,Raw_Data!C830),2),Raw_Data!H830)</f>
        <v>47625.9</v>
      </c>
      <c r="I830" s="11" t="n">
        <f aca="false">Raw_Data!I830</f>
        <v>1206637</v>
      </c>
      <c r="J830" s="11" t="n">
        <f aca="false">IF(Raw_Data!J830&lt;0,ABS(Raw_Data!J830),Raw_Data!J830)</f>
        <v>29006</v>
      </c>
      <c r="K830" s="11" t="n">
        <f aca="false">Raw_Data!K830</f>
        <v>1986</v>
      </c>
      <c r="L830" s="11" t="n">
        <f aca="false">IF(Raw_Data!L830="",ROUND(AVERAGEIFS(Raw_Data!$L$2:$L$839,Raw_Data!$C$2:$C$839,Raw_Data!C830),2),Raw_Data!L830)</f>
        <v>1379977.12</v>
      </c>
      <c r="M830" s="13" t="n">
        <f aca="false">IFERROR(J830/I830,0)</f>
        <v>0.0240387125539827</v>
      </c>
      <c r="N830" s="14" t="n">
        <f aca="false">IFERROR(H830/J830,0)</f>
        <v>1.64193270357857</v>
      </c>
      <c r="O830" s="14" t="n">
        <f aca="false">IFERROR(H830/K830,0)</f>
        <v>23.9808157099698</v>
      </c>
      <c r="P830" s="15" t="n">
        <f aca="false">IFERROR(L830/H830,0)</f>
        <v>28.9753499671397</v>
      </c>
      <c r="Q830" s="13" t="n">
        <f aca="false">IFERROR(K830/J830,0)</f>
        <v>0.0684685927049576</v>
      </c>
      <c r="R830" s="11" t="str">
        <f aca="false">IF(COUNTIF($A$2:A830,A830)&gt;1,"Duplicate - Remove","Unique")</f>
        <v>Unique</v>
      </c>
      <c r="S830" s="11" t="str">
        <f aca="false">TRIM(IF(Raw_Data!G830="","Region missing; ","")&amp;IF(Raw_Data!H830="","Spend imputed; ","")&amp;IF(Raw_Data!L830="","Revenue imputed; ","")&amp;IF(Raw_Data!J830&lt;0,"Clicks corrected; ",""))</f>
        <v>Spend imputed;</v>
      </c>
    </row>
    <row r="831" customFormat="false" ht="15" hidden="false" customHeight="true" outlineLevel="0" collapsed="false">
      <c r="A831" s="11" t="n">
        <f aca="false">Raw_Data!A831</f>
        <v>1552</v>
      </c>
      <c r="B831" s="11" t="str">
        <f aca="false">PROPER(TRIM(Raw_Data!B831))</f>
        <v>New Year Wellness</v>
      </c>
      <c r="C831" s="11" t="str">
        <f aca="false">IFERROR(INDEX(Lookup_Tables!$B$2:$B$26,MATCH(UPPER(TRIM(Raw_Data!C831)),Lookup_Tables!$C$2:$C$26,0)),"Unknown")</f>
        <v>YouTube</v>
      </c>
      <c r="D831" s="12" t="n">
        <f aca="false">IFERROR(IF(ISNUMBER(SEARCH("/",Raw_Data!D831)),DATE(VALUE(RIGHT(Raw_Data!D831,4)),VALUE(MID(Raw_Data!D831,FIND("/",Raw_Data!D831)+1,FIND("/",Raw_Data!D831,FIND("/",Raw_Data!D831)+1)-FIND("/",Raw_Data!D831)-1)),VALUE(LEFT(Raw_Data!D831,FIND("/",Raw_Data!D831)-1))),IF(ISNUMBER(VALUE(LEFT(Raw_Data!D831,4))),DATE(VALUE(LEFT(Raw_Data!D831,4)),VALUE(MID(Raw_Data!D831,6,2)),VALUE(MID(Raw_Data!D831,9,2))),DATEVALUE(Raw_Data!D831))),"")</f>
        <v>45445</v>
      </c>
      <c r="E831" s="12" t="n">
        <f aca="false">IFERROR(IF(ISNUMBER(SEARCH("/",Raw_Data!E831)),DATE(VALUE(RIGHT(Raw_Data!E831,4)),VALUE(MID(Raw_Data!E831,FIND("/",Raw_Data!E831)+1,FIND("/",Raw_Data!E831,FIND("/",Raw_Data!E831)+1)-FIND("/",Raw_Data!E831)-1)),VALUE(LEFT(Raw_Data!E831,FIND("/",Raw_Data!E831)-1))),IF(ISNUMBER(VALUE(LEFT(Raw_Data!E831,4))),DATE(VALUE(LEFT(Raw_Data!E831,4)),VALUE(MID(Raw_Data!E831,6,2)),VALUE(MID(Raw_Data!E831,9,2))),DATEVALUE(Raw_Data!E831))),"")</f>
        <v>45462</v>
      </c>
      <c r="F831" s="11" t="str">
        <f aca="false">Raw_Data!F831</f>
        <v>Female 25-34</v>
      </c>
      <c r="G831" s="11" t="str">
        <f aca="false">IF(TRIM(Raw_Data!G831)="","Unspecified",IFERROR(INDEX(Lookup_Tables!$F$2:$F$24,MATCH(UPPER(TRIM(Raw_Data!G831)),Lookup_Tables!$G$2:$G$24,0)),"Unknown"))</f>
        <v>Central</v>
      </c>
      <c r="H831" s="11" t="n">
        <f aca="false">IF(Raw_Data!H831="",ROUND(AVERAGEIFS(Raw_Data!$H$2:$H$839,Raw_Data!$C$2:$C$839,Raw_Data!C831),2),Raw_Data!H831)</f>
        <v>88702.22</v>
      </c>
      <c r="I831" s="11" t="n">
        <f aca="false">Raw_Data!I831</f>
        <v>3149529</v>
      </c>
      <c r="J831" s="11" t="n">
        <f aca="false">IF(Raw_Data!J831&lt;0,ABS(Raw_Data!J831),Raw_Data!J831)</f>
        <v>95278</v>
      </c>
      <c r="K831" s="11" t="n">
        <f aca="false">Raw_Data!K831</f>
        <v>4599</v>
      </c>
      <c r="L831" s="11" t="n">
        <f aca="false">IF(Raw_Data!L831="",ROUND(AVERAGEIFS(Raw_Data!$L$2:$L$839,Raw_Data!$C$2:$C$839,Raw_Data!C831),2),Raw_Data!L831)</f>
        <v>7089107.23</v>
      </c>
      <c r="M831" s="13" t="n">
        <f aca="false">IFERROR(J831/I831,0)</f>
        <v>0.0302515074476215</v>
      </c>
      <c r="N831" s="14" t="n">
        <f aca="false">IFERROR(H831/J831,0)</f>
        <v>0.930983228027457</v>
      </c>
      <c r="O831" s="14" t="n">
        <f aca="false">IFERROR(H831/K831,0)</f>
        <v>19.2872841922157</v>
      </c>
      <c r="P831" s="15" t="n">
        <f aca="false">IFERROR(L831/H831,0)</f>
        <v>79.9202909464949</v>
      </c>
      <c r="Q831" s="13" t="n">
        <f aca="false">IFERROR(K831/J831,0)</f>
        <v>0.0482692751737022</v>
      </c>
      <c r="R831" s="11" t="str">
        <f aca="false">IF(COUNTIF($A$2:A831,A831)&gt;1,"Duplicate - Remove","Unique")</f>
        <v>Unique</v>
      </c>
      <c r="S831" s="11" t="str">
        <f aca="false">TRIM(IF(Raw_Data!G831="","Region missing; ","")&amp;IF(Raw_Data!H831="","Spend imputed; ","")&amp;IF(Raw_Data!L831="","Revenue imputed; ","")&amp;IF(Raw_Data!J831&lt;0,"Clicks corrected; ",""))</f>
        <v/>
      </c>
    </row>
    <row r="832" customFormat="false" ht="15" hidden="false" customHeight="true" outlineLevel="0" collapsed="false">
      <c r="A832" s="11" t="n">
        <f aca="false">Raw_Data!A832</f>
        <v>1803</v>
      </c>
      <c r="B832" s="11" t="str">
        <f aca="false">PROPER(TRIM(Raw_Data!B832))</f>
        <v>Sunscreen Season Campaign</v>
      </c>
      <c r="C832" s="11" t="str">
        <f aca="false">IFERROR(INDEX(Lookup_Tables!$B$2:$B$26,MATCH(UPPER(TRIM(Raw_Data!C832)),Lookup_Tables!$C$2:$C$26,0)),"Unknown")</f>
        <v>Instagram</v>
      </c>
      <c r="D832" s="12" t="n">
        <f aca="false">IFERROR(IF(ISNUMBER(SEARCH("/",Raw_Data!D832)),DATE(VALUE(RIGHT(Raw_Data!D832,4)),VALUE(MID(Raw_Data!D832,FIND("/",Raw_Data!D832)+1,FIND("/",Raw_Data!D832,FIND("/",Raw_Data!D832)+1)-FIND("/",Raw_Data!D832)-1)),VALUE(LEFT(Raw_Data!D832,FIND("/",Raw_Data!D832)-1))),IF(ISNUMBER(VALUE(LEFT(Raw_Data!D832,4))),DATE(VALUE(LEFT(Raw_Data!D832,4)),VALUE(MID(Raw_Data!D832,6,2)),VALUE(MID(Raw_Data!D832,9,2))),DATEVALUE(Raw_Data!D832))),"")</f>
        <v>45294</v>
      </c>
      <c r="E832" s="12" t="n">
        <f aca="false">IFERROR(IF(ISNUMBER(SEARCH("/",Raw_Data!E832)),DATE(VALUE(RIGHT(Raw_Data!E832,4)),VALUE(MID(Raw_Data!E832,FIND("/",Raw_Data!E832)+1,FIND("/",Raw_Data!E832,FIND("/",Raw_Data!E832)+1)-FIND("/",Raw_Data!E832)-1)),VALUE(LEFT(Raw_Data!E832,FIND("/",Raw_Data!E832)-1))),IF(ISNUMBER(VALUE(LEFT(Raw_Data!E832,4))),DATE(VALUE(LEFT(Raw_Data!E832,4)),VALUE(MID(Raw_Data!E832,6,2)),VALUE(MID(Raw_Data!E832,9,2))),DATEVALUE(Raw_Data!E832))),"")</f>
        <v>45320</v>
      </c>
      <c r="F832" s="11" t="str">
        <f aca="false">Raw_Data!F832</f>
        <v>Female 45+</v>
      </c>
      <c r="G832" s="11" t="str">
        <f aca="false">IF(TRIM(Raw_Data!G832)="","Unspecified",IFERROR(INDEX(Lookup_Tables!$F$2:$F$24,MATCH(UPPER(TRIM(Raw_Data!G832)),Lookup_Tables!$G$2:$G$24,0)),"Unknown"))</f>
        <v>South</v>
      </c>
      <c r="H832" s="11" t="n">
        <f aca="false">IF(Raw_Data!H832="",ROUND(AVERAGEIFS(Raw_Data!$H$2:$H$839,Raw_Data!$C$2:$C$839,Raw_Data!C832),2),Raw_Data!H832)</f>
        <v>53503.78</v>
      </c>
      <c r="I832" s="11" t="n">
        <f aca="false">Raw_Data!I832</f>
        <v>1573935</v>
      </c>
      <c r="J832" s="11" t="n">
        <f aca="false">IF(Raw_Data!J832&lt;0,ABS(Raw_Data!J832),Raw_Data!J832)</f>
        <v>42331</v>
      </c>
      <c r="K832" s="11" t="n">
        <f aca="false">Raw_Data!K832</f>
        <v>2917</v>
      </c>
      <c r="L832" s="11" t="n">
        <f aca="false">IF(Raw_Data!L832="",ROUND(AVERAGEIFS(Raw_Data!$L$2:$L$839,Raw_Data!$C$2:$C$839,Raw_Data!C832),2),Raw_Data!L832)</f>
        <v>3104698.95</v>
      </c>
      <c r="M832" s="13" t="n">
        <f aca="false">IFERROR(J832/I832,0)</f>
        <v>0.0268950115474908</v>
      </c>
      <c r="N832" s="14" t="n">
        <f aca="false">IFERROR(H832/J832,0)</f>
        <v>1.26393848479837</v>
      </c>
      <c r="O832" s="14" t="n">
        <f aca="false">IFERROR(H832/K832,0)</f>
        <v>18.342056907782</v>
      </c>
      <c r="P832" s="15" t="n">
        <f aca="false">IFERROR(L832/H832,0)</f>
        <v>58.0276561768159</v>
      </c>
      <c r="Q832" s="13" t="n">
        <f aca="false">IFERROR(K832/J832,0)</f>
        <v>0.0689093099619664</v>
      </c>
      <c r="R832" s="11" t="str">
        <f aca="false">IF(COUNTIF($A$2:A832,A832)&gt;1,"Duplicate - Remove","Unique")</f>
        <v>Unique</v>
      </c>
      <c r="S832" s="11" t="str">
        <f aca="false">TRIM(IF(Raw_Data!G832="","Region missing; ","")&amp;IF(Raw_Data!H832="","Spend imputed; ","")&amp;IF(Raw_Data!L832="","Revenue imputed; ","")&amp;IF(Raw_Data!J832&lt;0,"Clicks corrected; ",""))</f>
        <v/>
      </c>
    </row>
    <row r="833" customFormat="false" ht="15" hidden="false" customHeight="true" outlineLevel="0" collapsed="false">
      <c r="A833" s="11" t="n">
        <f aca="false">Raw_Data!A833</f>
        <v>1450</v>
      </c>
      <c r="B833" s="11" t="str">
        <f aca="false">PROPER(TRIM(Raw_Data!B833))</f>
        <v>Clearance Sale Push</v>
      </c>
      <c r="C833" s="11" t="str">
        <f aca="false">IFERROR(INDEX(Lookup_Tables!$B$2:$B$26,MATCH(UPPER(TRIM(Raw_Data!C833)),Lookup_Tables!$C$2:$C$26,0)),"Unknown")</f>
        <v>Facebook</v>
      </c>
      <c r="D833" s="12" t="n">
        <f aca="false">IFERROR(IF(ISNUMBER(SEARCH("/",Raw_Data!D833)),DATE(VALUE(RIGHT(Raw_Data!D833,4)),VALUE(MID(Raw_Data!D833,FIND("/",Raw_Data!D833)+1,FIND("/",Raw_Data!D833,FIND("/",Raw_Data!D833)+1)-FIND("/",Raw_Data!D833)-1)),VALUE(LEFT(Raw_Data!D833,FIND("/",Raw_Data!D833)-1))),IF(ISNUMBER(VALUE(LEFT(Raw_Data!D833,4))),DATE(VALUE(LEFT(Raw_Data!D833,4)),VALUE(MID(Raw_Data!D833,6,2)),VALUE(MID(Raw_Data!D833,9,2))),DATEVALUE(Raw_Data!D833))),"")</f>
        <v>45560</v>
      </c>
      <c r="E833" s="12" t="n">
        <f aca="false">IFERROR(IF(ISNUMBER(SEARCH("/",Raw_Data!E833)),DATE(VALUE(RIGHT(Raw_Data!E833,4)),VALUE(MID(Raw_Data!E833,FIND("/",Raw_Data!E833)+1,FIND("/",Raw_Data!E833,FIND("/",Raw_Data!E833)+1)-FIND("/",Raw_Data!E833)-1)),VALUE(LEFT(Raw_Data!E833,FIND("/",Raw_Data!E833)-1))),IF(ISNUMBER(VALUE(LEFT(Raw_Data!E833,4))),DATE(VALUE(LEFT(Raw_Data!E833,4)),VALUE(MID(Raw_Data!E833,6,2)),VALUE(MID(Raw_Data!E833,9,2))),DATEVALUE(Raw_Data!E833))),"")</f>
        <v>45578</v>
      </c>
      <c r="F833" s="11" t="str">
        <f aca="false">Raw_Data!F833</f>
        <v>Female 45+</v>
      </c>
      <c r="G833" s="11" t="str">
        <f aca="false">IF(TRIM(Raw_Data!G833)="","Unspecified",IFERROR(INDEX(Lookup_Tables!$F$2:$F$24,MATCH(UPPER(TRIM(Raw_Data!G833)),Lookup_Tables!$G$2:$G$24,0)),"Unknown"))</f>
        <v>West</v>
      </c>
      <c r="H833" s="11" t="n">
        <f aca="false">IF(Raw_Data!H833="",ROUND(AVERAGEIFS(Raw_Data!$H$2:$H$839,Raw_Data!$C$2:$C$839,Raw_Data!C833),2),Raw_Data!H833)</f>
        <v>18686.97</v>
      </c>
      <c r="I833" s="11" t="n">
        <f aca="false">Raw_Data!I833</f>
        <v>481633</v>
      </c>
      <c r="J833" s="11" t="n">
        <f aca="false">IF(Raw_Data!J833&lt;0,ABS(Raw_Data!J833),Raw_Data!J833)</f>
        <v>4956</v>
      </c>
      <c r="K833" s="11" t="n">
        <f aca="false">Raw_Data!K833</f>
        <v>114</v>
      </c>
      <c r="L833" s="11" t="n">
        <f aca="false">IF(Raw_Data!L833="",ROUND(AVERAGEIFS(Raw_Data!$L$2:$L$839,Raw_Data!$C$2:$C$839,Raw_Data!C833),2),Raw_Data!L833)</f>
        <v>62105.09</v>
      </c>
      <c r="M833" s="13" t="n">
        <f aca="false">IFERROR(J833/I833,0)</f>
        <v>0.0102899925877172</v>
      </c>
      <c r="N833" s="14" t="n">
        <f aca="false">IFERROR(H833/J833,0)</f>
        <v>3.77057506053269</v>
      </c>
      <c r="O833" s="14" t="n">
        <f aca="false">IFERROR(H833/K833,0)</f>
        <v>163.920789473684</v>
      </c>
      <c r="P833" s="15" t="n">
        <f aca="false">IFERROR(L833/H833,0)</f>
        <v>3.32344355451954</v>
      </c>
      <c r="Q833" s="13" t="n">
        <f aca="false">IFERROR(K833/J833,0)</f>
        <v>0.0230024213075061</v>
      </c>
      <c r="R833" s="11" t="str">
        <f aca="false">IF(COUNTIF($A$2:A833,A833)&gt;1,"Duplicate - Remove","Unique")</f>
        <v>Unique</v>
      </c>
      <c r="S833" s="11" t="str">
        <f aca="false">TRIM(IF(Raw_Data!G833="","Region missing; ","")&amp;IF(Raw_Data!H833="","Spend imputed; ","")&amp;IF(Raw_Data!L833="","Revenue imputed; ","")&amp;IF(Raw_Data!J833&lt;0,"Clicks corrected; ",""))</f>
        <v/>
      </c>
    </row>
    <row r="834" customFormat="false" ht="15" hidden="false" customHeight="true" outlineLevel="0" collapsed="false">
      <c r="A834" s="11" t="n">
        <f aca="false">Raw_Data!A834</f>
        <v>1101</v>
      </c>
      <c r="B834" s="11" t="str">
        <f aca="false">PROPER(TRIM(Raw_Data!B834))</f>
        <v>Monsoon Skincare Push</v>
      </c>
      <c r="C834" s="11" t="str">
        <f aca="false">IFERROR(INDEX(Lookup_Tables!$B$2:$B$26,MATCH(UPPER(TRIM(Raw_Data!C834)),Lookup_Tables!$C$2:$C$26,0)),"Unknown")</f>
        <v>Google Ads</v>
      </c>
      <c r="D834" s="12" t="n">
        <f aca="false">IFERROR(IF(ISNUMBER(SEARCH("/",Raw_Data!D834)),DATE(VALUE(RIGHT(Raw_Data!D834,4)),VALUE(MID(Raw_Data!D834,FIND("/",Raw_Data!D834)+1,FIND("/",Raw_Data!D834,FIND("/",Raw_Data!D834)+1)-FIND("/",Raw_Data!D834)-1)),VALUE(LEFT(Raw_Data!D834,FIND("/",Raw_Data!D834)-1))),IF(ISNUMBER(VALUE(LEFT(Raw_Data!D834,4))),DATE(VALUE(LEFT(Raw_Data!D834,4)),VALUE(MID(Raw_Data!D834,6,2)),VALUE(MID(Raw_Data!D834,9,2))),DATEVALUE(Raw_Data!D834))),"")</f>
        <v>45440</v>
      </c>
      <c r="E834" s="12" t="n">
        <f aca="false">IFERROR(IF(ISNUMBER(SEARCH("/",Raw_Data!E834)),DATE(VALUE(RIGHT(Raw_Data!E834,4)),VALUE(MID(Raw_Data!E834,FIND("/",Raw_Data!E834)+1,FIND("/",Raw_Data!E834,FIND("/",Raw_Data!E834)+1)-FIND("/",Raw_Data!E834)-1)),VALUE(LEFT(Raw_Data!E834,FIND("/",Raw_Data!E834)-1))),IF(ISNUMBER(VALUE(LEFT(Raw_Data!E834,4))),DATE(VALUE(LEFT(Raw_Data!E834,4)),VALUE(MID(Raw_Data!E834,6,2)),VALUE(MID(Raw_Data!E834,9,2))),DATEVALUE(Raw_Data!E834))),"")</f>
        <v>45446</v>
      </c>
      <c r="F834" s="11" t="str">
        <f aca="false">Raw_Data!F834</f>
        <v>Female 35-44</v>
      </c>
      <c r="G834" s="11" t="str">
        <f aca="false">IF(TRIM(Raw_Data!G834)="","Unspecified",IFERROR(INDEX(Lookup_Tables!$F$2:$F$24,MATCH(UPPER(TRIM(Raw_Data!G834)),Lookup_Tables!$G$2:$G$24,0)),"Unknown"))</f>
        <v>West</v>
      </c>
      <c r="H834" s="11" t="n">
        <f aca="false">IF(Raw_Data!H834="",ROUND(AVERAGEIFS(Raw_Data!$H$2:$H$839,Raw_Data!$C$2:$C$839,Raw_Data!C834),2),Raw_Data!H834)</f>
        <v>76871.96</v>
      </c>
      <c r="I834" s="11" t="n">
        <f aca="false">Raw_Data!I834</f>
        <v>1304958</v>
      </c>
      <c r="J834" s="11" t="n">
        <f aca="false">IF(Raw_Data!J834&lt;0,ABS(Raw_Data!J834),Raw_Data!J834)</f>
        <v>42698</v>
      </c>
      <c r="K834" s="11" t="n">
        <f aca="false">Raw_Data!K834</f>
        <v>2387</v>
      </c>
      <c r="L834" s="11" t="n">
        <f aca="false">IF(Raw_Data!L834="",ROUND(AVERAGEIFS(Raw_Data!$L$2:$L$839,Raw_Data!$C$2:$C$839,Raw_Data!C834),2),Raw_Data!L834)</f>
        <v>3422100.65</v>
      </c>
      <c r="M834" s="13" t="n">
        <f aca="false">IFERROR(J834/I834,0)</f>
        <v>0.0327198269982636</v>
      </c>
      <c r="N834" s="14" t="n">
        <f aca="false">IFERROR(H834/J834,0)</f>
        <v>1.80036441987915</v>
      </c>
      <c r="O834" s="14" t="n">
        <f aca="false">IFERROR(H834/K834,0)</f>
        <v>32.2044239631336</v>
      </c>
      <c r="P834" s="15" t="n">
        <f aca="false">IFERROR(L834/H834,0)</f>
        <v>44.5168908142839</v>
      </c>
      <c r="Q834" s="13" t="n">
        <f aca="false">IFERROR(K834/J834,0)</f>
        <v>0.0559042578106703</v>
      </c>
      <c r="R834" s="11" t="str">
        <f aca="false">IF(COUNTIF($A$2:A834,A834)&gt;1,"Duplicate - Remove","Unique")</f>
        <v>Unique</v>
      </c>
      <c r="S834" s="11" t="str">
        <f aca="false">TRIM(IF(Raw_Data!G834="","Region missing; ","")&amp;IF(Raw_Data!H834="","Spend imputed; ","")&amp;IF(Raw_Data!L834="","Revenue imputed; ","")&amp;IF(Raw_Data!J834&lt;0,"Clicks corrected; ",""))</f>
        <v/>
      </c>
    </row>
    <row r="835" customFormat="false" ht="15" hidden="false" customHeight="true" outlineLevel="0" collapsed="false">
      <c r="A835" s="11" t="n">
        <f aca="false">Raw_Data!A835</f>
        <v>1681</v>
      </c>
      <c r="B835" s="11" t="str">
        <f aca="false">PROPER(TRIM(Raw_Data!B835))</f>
        <v>New Year Wellness</v>
      </c>
      <c r="C835" s="11" t="str">
        <f aca="false">IFERROR(INDEX(Lookup_Tables!$B$2:$B$26,MATCH(UPPER(TRIM(Raw_Data!C835)),Lookup_Tables!$C$2:$C$26,0)),"Unknown")</f>
        <v>YouTube</v>
      </c>
      <c r="D835" s="12" t="n">
        <f aca="false">IFERROR(IF(ISNUMBER(SEARCH("/",Raw_Data!D835)),DATE(VALUE(RIGHT(Raw_Data!D835,4)),VALUE(MID(Raw_Data!D835,FIND("/",Raw_Data!D835)+1,FIND("/",Raw_Data!D835,FIND("/",Raw_Data!D835)+1)-FIND("/",Raw_Data!D835)-1)),VALUE(LEFT(Raw_Data!D835,FIND("/",Raw_Data!D835)-1))),IF(ISNUMBER(VALUE(LEFT(Raw_Data!D835,4))),DATE(VALUE(LEFT(Raw_Data!D835,4)),VALUE(MID(Raw_Data!D835,6,2)),VALUE(MID(Raw_Data!D835,9,2))),DATEVALUE(Raw_Data!D835))),"")</f>
        <v>45425</v>
      </c>
      <c r="E835" s="12" t="n">
        <f aca="false">IFERROR(IF(ISNUMBER(SEARCH("/",Raw_Data!E835)),DATE(VALUE(RIGHT(Raw_Data!E835,4)),VALUE(MID(Raw_Data!E835,FIND("/",Raw_Data!E835)+1,FIND("/",Raw_Data!E835,FIND("/",Raw_Data!E835)+1)-FIND("/",Raw_Data!E835)-1)),VALUE(LEFT(Raw_Data!E835,FIND("/",Raw_Data!E835)-1))),IF(ISNUMBER(VALUE(LEFT(Raw_Data!E835,4))),DATE(VALUE(LEFT(Raw_Data!E835,4)),VALUE(MID(Raw_Data!E835,6,2)),VALUE(MID(Raw_Data!E835,9,2))),DATEVALUE(Raw_Data!E835))),"")</f>
        <v>45452</v>
      </c>
      <c r="F835" s="11" t="str">
        <f aca="false">Raw_Data!F835</f>
        <v>Female 45+</v>
      </c>
      <c r="G835" s="11" t="str">
        <f aca="false">IF(TRIM(Raw_Data!G835)="","Unspecified",IFERROR(INDEX(Lookup_Tables!$F$2:$F$24,MATCH(UPPER(TRIM(Raw_Data!G835)),Lookup_Tables!$G$2:$G$24,0)),"Unknown"))</f>
        <v>Central</v>
      </c>
      <c r="H835" s="11" t="n">
        <f aca="false">IF(Raw_Data!H835="",ROUND(AVERAGEIFS(Raw_Data!$H$2:$H$839,Raw_Data!$C$2:$C$839,Raw_Data!C835),2),Raw_Data!H835)</f>
        <v>75256.96</v>
      </c>
      <c r="I835" s="11" t="n">
        <f aca="false">Raw_Data!I835</f>
        <v>1624717</v>
      </c>
      <c r="J835" s="11" t="n">
        <f aca="false">IF(Raw_Data!J835&lt;0,ABS(Raw_Data!J835),Raw_Data!J835)</f>
        <v>26169</v>
      </c>
      <c r="K835" s="11" t="n">
        <f aca="false">Raw_Data!K835</f>
        <v>1910</v>
      </c>
      <c r="L835" s="11" t="n">
        <f aca="false">IF(Raw_Data!L835="",ROUND(AVERAGEIFS(Raw_Data!$L$2:$L$839,Raw_Data!$C$2:$C$839,Raw_Data!C835),2),Raw_Data!L835)</f>
        <v>3263305.96</v>
      </c>
      <c r="M835" s="13" t="n">
        <f aca="false">IFERROR(J835/I835,0)</f>
        <v>0.0161068050620508</v>
      </c>
      <c r="N835" s="14" t="n">
        <f aca="false">IFERROR(H835/J835,0)</f>
        <v>2.87580572433031</v>
      </c>
      <c r="O835" s="14" t="n">
        <f aca="false">IFERROR(H835/K835,0)</f>
        <v>39.4015497382199</v>
      </c>
      <c r="P835" s="15" t="n">
        <f aca="false">IFERROR(L835/H835,0)</f>
        <v>43.362181517829</v>
      </c>
      <c r="Q835" s="13" t="n">
        <f aca="false">IFERROR(K835/J835,0)</f>
        <v>0.07298712216745</v>
      </c>
      <c r="R835" s="11" t="str">
        <f aca="false">IF(COUNTIF($A$2:A835,A835)&gt;1,"Duplicate - Remove","Unique")</f>
        <v>Duplicate - Remove</v>
      </c>
      <c r="S835" s="11" t="str">
        <f aca="false">TRIM(IF(Raw_Data!G835="","Region missing; ","")&amp;IF(Raw_Data!H835="","Spend imputed; ","")&amp;IF(Raw_Data!L835="","Revenue imputed; ","")&amp;IF(Raw_Data!J835&lt;0,"Clicks corrected; ",""))</f>
        <v/>
      </c>
    </row>
    <row r="836" customFormat="false" ht="15" hidden="false" customHeight="true" outlineLevel="0" collapsed="false">
      <c r="A836" s="11" t="n">
        <f aca="false">Raw_Data!A836</f>
        <v>1493</v>
      </c>
      <c r="B836" s="11" t="str">
        <f aca="false">PROPER(TRIM(Raw_Data!B836))</f>
        <v>Summer Glow Launch</v>
      </c>
      <c r="C836" s="11" t="str">
        <f aca="false">IFERROR(INDEX(Lookup_Tables!$B$2:$B$26,MATCH(UPPER(TRIM(Raw_Data!C836)),Lookup_Tables!$C$2:$C$26,0)),"Unknown")</f>
        <v>Facebook</v>
      </c>
      <c r="D836" s="12" t="n">
        <f aca="false">IFERROR(IF(ISNUMBER(SEARCH("/",Raw_Data!D836)),DATE(VALUE(RIGHT(Raw_Data!D836,4)),VALUE(MID(Raw_Data!D836,FIND("/",Raw_Data!D836)+1,FIND("/",Raw_Data!D836,FIND("/",Raw_Data!D836)+1)-FIND("/",Raw_Data!D836)-1)),VALUE(LEFT(Raw_Data!D836,FIND("/",Raw_Data!D836)-1))),IF(ISNUMBER(VALUE(LEFT(Raw_Data!D836,4))),DATE(VALUE(LEFT(Raw_Data!D836,4)),VALUE(MID(Raw_Data!D836,6,2)),VALUE(MID(Raw_Data!D836,9,2))),DATEVALUE(Raw_Data!D836))),"")</f>
        <v>45335</v>
      </c>
      <c r="E836" s="12" t="n">
        <f aca="false">IFERROR(IF(ISNUMBER(SEARCH("/",Raw_Data!E836)),DATE(VALUE(RIGHT(Raw_Data!E836,4)),VALUE(MID(Raw_Data!E836,FIND("/",Raw_Data!E836)+1,FIND("/",Raw_Data!E836,FIND("/",Raw_Data!E836)+1)-FIND("/",Raw_Data!E836)-1)),VALUE(LEFT(Raw_Data!E836,FIND("/",Raw_Data!E836)-1))),IF(ISNUMBER(VALUE(LEFT(Raw_Data!E836,4))),DATE(VALUE(LEFT(Raw_Data!E836,4)),VALUE(MID(Raw_Data!E836,6,2)),VALUE(MID(Raw_Data!E836,9,2))),DATEVALUE(Raw_Data!E836))),"")</f>
        <v>45346</v>
      </c>
      <c r="F836" s="11" t="str">
        <f aca="false">Raw_Data!F836</f>
        <v>Male 35-44</v>
      </c>
      <c r="G836" s="11" t="str">
        <f aca="false">IF(TRIM(Raw_Data!G836)="","Unspecified",IFERROR(INDEX(Lookup_Tables!$F$2:$F$24,MATCH(UPPER(TRIM(Raw_Data!G836)),Lookup_Tables!$G$2:$G$24,0)),"Unknown"))</f>
        <v>North</v>
      </c>
      <c r="H836" s="11" t="n">
        <f aca="false">IF(Raw_Data!H836="",ROUND(AVERAGEIFS(Raw_Data!$H$2:$H$839,Raw_Data!$C$2:$C$839,Raw_Data!C836),2),Raw_Data!H836)</f>
        <v>27138.72</v>
      </c>
      <c r="I836" s="11" t="n">
        <f aca="false">Raw_Data!I836</f>
        <v>788957</v>
      </c>
      <c r="J836" s="11" t="n">
        <f aca="false">IF(Raw_Data!J836&lt;0,ABS(Raw_Data!J836),Raw_Data!J836)</f>
        <v>14461</v>
      </c>
      <c r="K836" s="11" t="n">
        <f aca="false">Raw_Data!K836</f>
        <v>309</v>
      </c>
      <c r="L836" s="11" t="n">
        <f aca="false">IF(Raw_Data!L836="",ROUND(AVERAGEIFS(Raw_Data!$L$2:$L$839,Raw_Data!$C$2:$C$839,Raw_Data!C836),2),Raw_Data!L836)</f>
        <v>256793.42</v>
      </c>
      <c r="M836" s="13" t="n">
        <f aca="false">IFERROR(J836/I836,0)</f>
        <v>0.0183292625580355</v>
      </c>
      <c r="N836" s="14" t="n">
        <f aca="false">IFERROR(H836/J836,0)</f>
        <v>1.87668349353433</v>
      </c>
      <c r="O836" s="14" t="n">
        <f aca="false">IFERROR(H836/K836,0)</f>
        <v>87.827572815534</v>
      </c>
      <c r="P836" s="15" t="n">
        <f aca="false">IFERROR(L836/H836,0)</f>
        <v>9.46225245700608</v>
      </c>
      <c r="Q836" s="13" t="n">
        <f aca="false">IFERROR(K836/J836,0)</f>
        <v>0.021367816886799</v>
      </c>
      <c r="R836" s="11" t="str">
        <f aca="false">IF(COUNTIF($A$2:A836,A836)&gt;1,"Duplicate - Remove","Unique")</f>
        <v>Unique</v>
      </c>
      <c r="S836" s="11" t="str">
        <f aca="false">TRIM(IF(Raw_Data!G836="","Region missing; ","")&amp;IF(Raw_Data!H836="","Spend imputed; ","")&amp;IF(Raw_Data!L836="","Revenue imputed; ","")&amp;IF(Raw_Data!J836&lt;0,"Clicks corrected; ",""))</f>
        <v/>
      </c>
    </row>
    <row r="837" customFormat="false" ht="15" hidden="false" customHeight="true" outlineLevel="0" collapsed="false">
      <c r="A837" s="11" t="n">
        <f aca="false">Raw_Data!A837</f>
        <v>1195</v>
      </c>
      <c r="B837" s="11" t="str">
        <f aca="false">PROPER(TRIM(Raw_Data!B837))</f>
        <v>Wedding Season Special</v>
      </c>
      <c r="C837" s="11" t="str">
        <f aca="false">IFERROR(INDEX(Lookup_Tables!$B$2:$B$26,MATCH(UPPER(TRIM(Raw_Data!C837)),Lookup_Tables!$C$2:$C$26,0)),"Unknown")</f>
        <v>YouTube</v>
      </c>
      <c r="D837" s="12" t="n">
        <f aca="false">IFERROR(IF(ISNUMBER(SEARCH("/",Raw_Data!D837)),DATE(VALUE(RIGHT(Raw_Data!D837,4)),VALUE(MID(Raw_Data!D837,FIND("/",Raw_Data!D837)+1,FIND("/",Raw_Data!D837,FIND("/",Raw_Data!D837)+1)-FIND("/",Raw_Data!D837)-1)),VALUE(LEFT(Raw_Data!D837,FIND("/",Raw_Data!D837)-1))),IF(ISNUMBER(VALUE(LEFT(Raw_Data!D837,4))),DATE(VALUE(LEFT(Raw_Data!D837,4)),VALUE(MID(Raw_Data!D837,6,2)),VALUE(MID(Raw_Data!D837,9,2))),DATEVALUE(Raw_Data!D837))),"")</f>
        <v>45525</v>
      </c>
      <c r="E837" s="12" t="n">
        <f aca="false">IFERROR(IF(ISNUMBER(SEARCH("/",Raw_Data!E837)),DATE(VALUE(RIGHT(Raw_Data!E837,4)),VALUE(MID(Raw_Data!E837,FIND("/",Raw_Data!E837)+1,FIND("/",Raw_Data!E837,FIND("/",Raw_Data!E837)+1)-FIND("/",Raw_Data!E837)-1)),VALUE(LEFT(Raw_Data!E837,FIND("/",Raw_Data!E837)-1))),IF(ISNUMBER(VALUE(LEFT(Raw_Data!E837,4))),DATE(VALUE(LEFT(Raw_Data!E837,4)),VALUE(MID(Raw_Data!E837,6,2)),VALUE(MID(Raw_Data!E837,9,2))),DATEVALUE(Raw_Data!E837))),"")</f>
        <v>45538</v>
      </c>
      <c r="F837" s="11" t="str">
        <f aca="false">Raw_Data!F837</f>
        <v>Female 45+</v>
      </c>
      <c r="G837" s="11" t="str">
        <f aca="false">IF(TRIM(Raw_Data!G837)="","Unspecified",IFERROR(INDEX(Lookup_Tables!$F$2:$F$24,MATCH(UPPER(TRIM(Raw_Data!G837)),Lookup_Tables!$G$2:$G$24,0)),"Unknown"))</f>
        <v>East</v>
      </c>
      <c r="H837" s="11" t="n">
        <f aca="false">IF(Raw_Data!H837="",ROUND(AVERAGEIFS(Raw_Data!$H$2:$H$839,Raw_Data!$C$2:$C$839,Raw_Data!C837),2),Raw_Data!H837)</f>
        <v>66742.68</v>
      </c>
      <c r="I837" s="11" t="n">
        <f aca="false">Raw_Data!I837</f>
        <v>1799124</v>
      </c>
      <c r="J837" s="11" t="n">
        <f aca="false">IF(Raw_Data!J837&lt;0,ABS(Raw_Data!J837),Raw_Data!J837)</f>
        <v>31758</v>
      </c>
      <c r="K837" s="11" t="n">
        <f aca="false">Raw_Data!K837</f>
        <v>2287</v>
      </c>
      <c r="L837" s="11" t="n">
        <f aca="false">IF(Raw_Data!L837="",ROUND(AVERAGEIFS(Raw_Data!$L$2:$L$839,Raw_Data!$C$2:$C$839,Raw_Data!C837),2),Raw_Data!L837)</f>
        <v>1353513.28</v>
      </c>
      <c r="M837" s="13" t="n">
        <f aca="false">IFERROR(J837/I837,0)</f>
        <v>0.0176519239363157</v>
      </c>
      <c r="N837" s="14" t="n">
        <f aca="false">IFERROR(H837/J837,0)</f>
        <v>2.10160211600227</v>
      </c>
      <c r="O837" s="14" t="n">
        <f aca="false">IFERROR(H837/K837,0)</f>
        <v>29.1835067774377</v>
      </c>
      <c r="P837" s="15" t="n">
        <f aca="false">IFERROR(L837/H837,0)</f>
        <v>20.279576426958</v>
      </c>
      <c r="Q837" s="13" t="n">
        <f aca="false">IFERROR(K837/J837,0)</f>
        <v>0.0720133509666856</v>
      </c>
      <c r="R837" s="11" t="str">
        <f aca="false">IF(COUNTIF($A$2:A837,A837)&gt;1,"Duplicate - Remove","Unique")</f>
        <v>Unique</v>
      </c>
      <c r="S837" s="11" t="str">
        <f aca="false">TRIM(IF(Raw_Data!G837="","Region missing; ","")&amp;IF(Raw_Data!H837="","Spend imputed; ","")&amp;IF(Raw_Data!L837="","Revenue imputed; ","")&amp;IF(Raw_Data!J837&lt;0,"Clicks corrected; ",""))</f>
        <v/>
      </c>
    </row>
    <row r="838" customFormat="false" ht="15" hidden="false" customHeight="true" outlineLevel="0" collapsed="false">
      <c r="A838" s="11" t="n">
        <f aca="false">Raw_Data!A838</f>
        <v>1705</v>
      </c>
      <c r="B838" s="11" t="str">
        <f aca="false">PROPER(TRIM(Raw_Data!B838))</f>
        <v>Ayurvedic Range Launch</v>
      </c>
      <c r="C838" s="11" t="str">
        <f aca="false">IFERROR(INDEX(Lookup_Tables!$B$2:$B$26,MATCH(UPPER(TRIM(Raw_Data!C838)),Lookup_Tables!$C$2:$C$26,0)),"Unknown")</f>
        <v>YouTube</v>
      </c>
      <c r="D838" s="12" t="n">
        <f aca="false">IFERROR(IF(ISNUMBER(SEARCH("/",Raw_Data!D838)),DATE(VALUE(RIGHT(Raw_Data!D838,4)),VALUE(MID(Raw_Data!D838,FIND("/",Raw_Data!D838)+1,FIND("/",Raw_Data!D838,FIND("/",Raw_Data!D838)+1)-FIND("/",Raw_Data!D838)-1)),VALUE(LEFT(Raw_Data!D838,FIND("/",Raw_Data!D838)-1))),IF(ISNUMBER(VALUE(LEFT(Raw_Data!D838,4))),DATE(VALUE(LEFT(Raw_Data!D838,4)),VALUE(MID(Raw_Data!D838,6,2)),VALUE(MID(Raw_Data!D838,9,2))),DATEVALUE(Raw_Data!D838))),"")</f>
        <v>45489</v>
      </c>
      <c r="E838" s="12" t="n">
        <f aca="false">IFERROR(IF(ISNUMBER(SEARCH("/",Raw_Data!E838)),DATE(VALUE(RIGHT(Raw_Data!E838,4)),VALUE(MID(Raw_Data!E838,FIND("/",Raw_Data!E838)+1,FIND("/",Raw_Data!E838,FIND("/",Raw_Data!E838)+1)-FIND("/",Raw_Data!E838)-1)),VALUE(LEFT(Raw_Data!E838,FIND("/",Raw_Data!E838)-1))),IF(ISNUMBER(VALUE(LEFT(Raw_Data!E838,4))),DATE(VALUE(LEFT(Raw_Data!E838,4)),VALUE(MID(Raw_Data!E838,6,2)),VALUE(MID(Raw_Data!E838,9,2))),DATEVALUE(Raw_Data!E838))),"")</f>
        <v>45512</v>
      </c>
      <c r="F838" s="11" t="str">
        <f aca="false">Raw_Data!F838</f>
        <v>Male 18-24</v>
      </c>
      <c r="G838" s="11" t="str">
        <f aca="false">IF(TRIM(Raw_Data!G838)="","Unspecified",IFERROR(INDEX(Lookup_Tables!$F$2:$F$24,MATCH(UPPER(TRIM(Raw_Data!G838)),Lookup_Tables!$G$2:$G$24,0)),"Unknown"))</f>
        <v>Unspecified</v>
      </c>
      <c r="H838" s="11" t="n">
        <f aca="false">IF(Raw_Data!H838="",ROUND(AVERAGEIFS(Raw_Data!$H$2:$H$839,Raw_Data!$C$2:$C$839,Raw_Data!C838),2),Raw_Data!H838)</f>
        <v>27925.56</v>
      </c>
      <c r="I838" s="11" t="n">
        <f aca="false">Raw_Data!I838</f>
        <v>1105595</v>
      </c>
      <c r="J838" s="11" t="n">
        <f aca="false">IF(Raw_Data!J838&lt;0,ABS(Raw_Data!J838),Raw_Data!J838)</f>
        <v>28103</v>
      </c>
      <c r="K838" s="11" t="n">
        <f aca="false">Raw_Data!K838</f>
        <v>1794</v>
      </c>
      <c r="L838" s="11" t="n">
        <f aca="false">IF(Raw_Data!L838="",ROUND(AVERAGEIFS(Raw_Data!$L$2:$L$839,Raw_Data!$C$2:$C$839,Raw_Data!C838),2),Raw_Data!L838)</f>
        <v>2295952.78</v>
      </c>
      <c r="M838" s="13" t="n">
        <f aca="false">IFERROR(J838/I838,0)</f>
        <v>0.0254188920897797</v>
      </c>
      <c r="N838" s="14" t="n">
        <f aca="false">IFERROR(H838/J838,0)</f>
        <v>0.993686083336299</v>
      </c>
      <c r="O838" s="14" t="n">
        <f aca="false">IFERROR(H838/K838,0)</f>
        <v>15.5660869565217</v>
      </c>
      <c r="P838" s="15" t="n">
        <f aca="false">IFERROR(L838/H838,0)</f>
        <v>82.2168930542485</v>
      </c>
      <c r="Q838" s="13" t="n">
        <f aca="false">IFERROR(K838/J838,0)</f>
        <v>0.0638366010746184</v>
      </c>
      <c r="R838" s="11" t="str">
        <f aca="false">IF(COUNTIF($A$2:A838,A838)&gt;1,"Duplicate - Remove","Unique")</f>
        <v>Unique</v>
      </c>
      <c r="S838" s="11" t="str">
        <f aca="false">TRIM(IF(Raw_Data!G838="","Region missing; ","")&amp;IF(Raw_Data!H838="","Spend imputed; ","")&amp;IF(Raw_Data!L838="","Revenue imputed; ","")&amp;IF(Raw_Data!J838&lt;0,"Clicks corrected; ",""))</f>
        <v>Region missing;</v>
      </c>
    </row>
    <row r="839" customFormat="false" ht="15" hidden="false" customHeight="true" outlineLevel="0" collapsed="false">
      <c r="A839" s="11" t="n">
        <f aca="false">Raw_Data!A839</f>
        <v>1085</v>
      </c>
      <c r="B839" s="11" t="str">
        <f aca="false">PROPER(TRIM(Raw_Data!B839))</f>
        <v>Men'S Grooming Drive</v>
      </c>
      <c r="C839" s="11" t="str">
        <f aca="false">IFERROR(INDEX(Lookup_Tables!$B$2:$B$26,MATCH(UPPER(TRIM(Raw_Data!C839)),Lookup_Tables!$C$2:$C$26,0)),"Unknown")</f>
        <v>YouTube</v>
      </c>
      <c r="D839" s="12" t="n">
        <f aca="false">IFERROR(IF(ISNUMBER(SEARCH("/",Raw_Data!D839)),DATE(VALUE(RIGHT(Raw_Data!D839,4)),VALUE(MID(Raw_Data!D839,FIND("/",Raw_Data!D839)+1,FIND("/",Raw_Data!D839,FIND("/",Raw_Data!D839)+1)-FIND("/",Raw_Data!D839)-1)),VALUE(LEFT(Raw_Data!D839,FIND("/",Raw_Data!D839)-1))),IF(ISNUMBER(VALUE(LEFT(Raw_Data!D839,4))),DATE(VALUE(LEFT(Raw_Data!D839,4)),VALUE(MID(Raw_Data!D839,6,2)),VALUE(MID(Raw_Data!D839,9,2))),DATEVALUE(Raw_Data!D839))),"")</f>
        <v>45478</v>
      </c>
      <c r="E839" s="12" t="n">
        <f aca="false">IFERROR(IF(ISNUMBER(SEARCH("/",Raw_Data!E839)),DATE(VALUE(RIGHT(Raw_Data!E839,4)),VALUE(MID(Raw_Data!E839,FIND("/",Raw_Data!E839)+1,FIND("/",Raw_Data!E839,FIND("/",Raw_Data!E839)+1)-FIND("/",Raw_Data!E839)-1)),VALUE(LEFT(Raw_Data!E839,FIND("/",Raw_Data!E839)-1))),IF(ISNUMBER(VALUE(LEFT(Raw_Data!E839,4))),DATE(VALUE(LEFT(Raw_Data!E839,4)),VALUE(MID(Raw_Data!E839,6,2)),VALUE(MID(Raw_Data!E839,9,2))),DATEVALUE(Raw_Data!E839))),"")</f>
        <v>45499</v>
      </c>
      <c r="F839" s="11" t="str">
        <f aca="false">Raw_Data!F839</f>
        <v>Female 45+</v>
      </c>
      <c r="G839" s="11" t="str">
        <f aca="false">IF(TRIM(Raw_Data!G839)="","Unspecified",IFERROR(INDEX(Lookup_Tables!$F$2:$F$24,MATCH(UPPER(TRIM(Raw_Data!G839)),Lookup_Tables!$G$2:$G$24,0)),"Unknown"))</f>
        <v>North</v>
      </c>
      <c r="H839" s="11" t="n">
        <f aca="false">IF(Raw_Data!H839="",ROUND(AVERAGEIFS(Raw_Data!$H$2:$H$839,Raw_Data!$C$2:$C$839,Raw_Data!C839),2),Raw_Data!H839)</f>
        <v>65955.8</v>
      </c>
      <c r="I839" s="11" t="n">
        <f aca="false">Raw_Data!I839</f>
        <v>2560386</v>
      </c>
      <c r="J839" s="11" t="n">
        <f aca="false">IF(Raw_Data!J839&lt;0,ABS(Raw_Data!J839),Raw_Data!J839)</f>
        <v>23769</v>
      </c>
      <c r="K839" s="11" t="n">
        <f aca="false">Raw_Data!K839</f>
        <v>1248</v>
      </c>
      <c r="L839" s="11" t="n">
        <f aca="false">IF(Raw_Data!L839="",ROUND(AVERAGEIFS(Raw_Data!$L$2:$L$839,Raw_Data!$C$2:$C$839,Raw_Data!C839),2),Raw_Data!L839)</f>
        <v>1074726.4</v>
      </c>
      <c r="M839" s="13" t="n">
        <f aca="false">IFERROR(J839/I839,0)</f>
        <v>0.00928336586749029</v>
      </c>
      <c r="N839" s="14" t="n">
        <f aca="false">IFERROR(H839/J839,0)</f>
        <v>2.77486642265135</v>
      </c>
      <c r="O839" s="14" t="n">
        <f aca="false">IFERROR(H839/K839,0)</f>
        <v>52.8491987179487</v>
      </c>
      <c r="P839" s="15" t="n">
        <f aca="false">IFERROR(L839/H839,0)</f>
        <v>16.2946458082534</v>
      </c>
      <c r="Q839" s="13" t="n">
        <f aca="false">IFERROR(K839/J839,0)</f>
        <v>0.0525053641297488</v>
      </c>
      <c r="R839" s="11" t="str">
        <f aca="false">IF(COUNTIF($A$2:A839,A839)&gt;1,"Duplicate - Remove","Unique")</f>
        <v>Unique</v>
      </c>
      <c r="S839" s="11" t="str">
        <f aca="false">TRIM(IF(Raw_Data!G839="","Region missing; ","")&amp;IF(Raw_Data!H839="","Spend imputed; ","")&amp;IF(Raw_Data!L839="","Revenue imputed; ","")&amp;IF(Raw_Data!J839&lt;0,"Clicks corrected; ",""))</f>
        <v>Revenue imputed;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6" min="2" style="1" width="30"/>
    <col collapsed="false" customWidth="true" hidden="false" outlineLevel="0" max="9" min="7" style="1" width="20"/>
  </cols>
  <sheetData>
    <row r="1" customFormat="false" ht="15" hidden="false" customHeight="true" outlineLevel="0" collapsed="false">
      <c r="A1" s="5" t="s">
        <v>31</v>
      </c>
      <c r="B1" s="5" t="s">
        <v>1004</v>
      </c>
      <c r="C1" s="5" t="s">
        <v>1005</v>
      </c>
      <c r="D1" s="5" t="s">
        <v>1006</v>
      </c>
      <c r="E1" s="5" t="s">
        <v>1007</v>
      </c>
      <c r="F1" s="5" t="s">
        <v>1008</v>
      </c>
      <c r="G1" s="5" t="s">
        <v>1009</v>
      </c>
      <c r="H1" s="5" t="s">
        <v>1010</v>
      </c>
      <c r="I1" s="5" t="s">
        <v>1011</v>
      </c>
    </row>
    <row r="2" customFormat="false" ht="15" hidden="false" customHeight="true" outlineLevel="0" collapsed="false">
      <c r="A2" s="11" t="s">
        <v>71</v>
      </c>
      <c r="B2" s="11" t="n">
        <f aca="false">SUMIFS(Cleaned_Data!$H$2:$H$839,Cleaned_Data!$C$2:$C$839,A2,Cleaned_Data!$R$2:$R$839,"Unique")</f>
        <v>5320153.76</v>
      </c>
      <c r="C2" s="11" t="n">
        <f aca="false">SUMIFS(Cleaned_Data!$L$2:$L$839,Cleaned_Data!$C$2:$C$839,A2,Cleaned_Data!$R$2:$R$839,"Unique")</f>
        <v>139414275.55</v>
      </c>
      <c r="D2" s="11" t="n">
        <f aca="false">SUMIFS(Cleaned_Data!$K$2:$K$839,Cleaned_Data!$C$2:$C$839,A2,Cleaned_Data!$R$2:$R$839,"Unique")</f>
        <v>129870</v>
      </c>
      <c r="E2" s="11" t="n">
        <f aca="false">SUMIFS(Cleaned_Data!$J$2:$J$839,Cleaned_Data!$C$2:$C$839,A2,Cleaned_Data!$R$2:$R$839,"Unique")</f>
        <v>2921888</v>
      </c>
      <c r="F2" s="11" t="n">
        <f aca="false">SUMIFS(Cleaned_Data!$I$2:$I$839,Cleaned_Data!$C$2:$C$839,A2,Cleaned_Data!$R$2:$R$839,"Unique")</f>
        <v>145758458</v>
      </c>
      <c r="G2" s="13" t="n">
        <f aca="false">IFERROR(E2/F2,0)</f>
        <v>0.0200460957126756</v>
      </c>
      <c r="H2" s="14" t="n">
        <f aca="false">IFERROR(B2/D2,0)</f>
        <v>40.9652249172249</v>
      </c>
      <c r="I2" s="15" t="n">
        <f aca="false">IFERROR(C2/B2,0)</f>
        <v>26.2049335111698</v>
      </c>
    </row>
    <row r="3" customFormat="false" ht="15" hidden="false" customHeight="true" outlineLevel="0" collapsed="false">
      <c r="A3" s="11" t="s">
        <v>63</v>
      </c>
      <c r="B3" s="11" t="n">
        <f aca="false">SUMIFS(Cleaned_Data!$H$2:$H$839,Cleaned_Data!$C$2:$C$839,A3,Cleaned_Data!$R$2:$R$839,"Unique")</f>
        <v>4901935.07</v>
      </c>
      <c r="C3" s="11" t="n">
        <f aca="false">SUMIFS(Cleaned_Data!$L$2:$L$839,Cleaned_Data!$C$2:$C$839,A3,Cleaned_Data!$R$2:$R$839,"Unique")</f>
        <v>121738718.5</v>
      </c>
      <c r="D3" s="11" t="n">
        <f aca="false">SUMIFS(Cleaned_Data!$K$2:$K$839,Cleaned_Data!$C$2:$C$839,A3,Cleaned_Data!$R$2:$R$839,"Unique")</f>
        <v>111804</v>
      </c>
      <c r="E3" s="11" t="n">
        <f aca="false">SUMIFS(Cleaned_Data!$J$2:$J$839,Cleaned_Data!$C$2:$C$839,A3,Cleaned_Data!$R$2:$R$839,"Unique")</f>
        <v>2527425</v>
      </c>
      <c r="F3" s="11" t="n">
        <f aca="false">SUMIFS(Cleaned_Data!$I$2:$I$839,Cleaned_Data!$C$2:$C$839,A3,Cleaned_Data!$R$2:$R$839,"Unique")</f>
        <v>129234773</v>
      </c>
      <c r="G3" s="13" t="n">
        <f aca="false">IFERROR(E3/F3,0)</f>
        <v>0.0195568494556802</v>
      </c>
      <c r="H3" s="14" t="n">
        <f aca="false">IFERROR(B3/D3,0)</f>
        <v>43.8440044184466</v>
      </c>
      <c r="I3" s="15" t="n">
        <f aca="false">IFERROR(C3/B3,0)</f>
        <v>24.8348288505584</v>
      </c>
    </row>
    <row r="4" customFormat="false" ht="15" hidden="false" customHeight="true" outlineLevel="0" collapsed="false">
      <c r="A4" s="11" t="s">
        <v>50</v>
      </c>
      <c r="B4" s="11" t="n">
        <f aca="false">SUMIFS(Cleaned_Data!$H$2:$H$839,Cleaned_Data!$C$2:$C$839,A4,Cleaned_Data!$R$2:$R$839,"Unique")</f>
        <v>7429279.27</v>
      </c>
      <c r="C4" s="11" t="n">
        <f aca="false">SUMIFS(Cleaned_Data!$L$2:$L$839,Cleaned_Data!$C$2:$C$839,A4,Cleaned_Data!$R$2:$R$839,"Unique")</f>
        <v>210873956.82</v>
      </c>
      <c r="D4" s="11" t="n">
        <f aca="false">SUMIFS(Cleaned_Data!$K$2:$K$839,Cleaned_Data!$C$2:$C$839,A4,Cleaned_Data!$R$2:$R$839,"Unique")</f>
        <v>194406</v>
      </c>
      <c r="E4" s="11" t="n">
        <f aca="false">SUMIFS(Cleaned_Data!$J$2:$J$839,Cleaned_Data!$C$2:$C$839,A4,Cleaned_Data!$R$2:$R$839,"Unique")</f>
        <v>4390981</v>
      </c>
      <c r="F4" s="11" t="n">
        <f aca="false">SUMIFS(Cleaned_Data!$I$2:$I$839,Cleaned_Data!$C$2:$C$839,A4,Cleaned_Data!$R$2:$R$839,"Unique")</f>
        <v>207541263</v>
      </c>
      <c r="G4" s="13" t="n">
        <f aca="false">IFERROR(E4/F4,0)</f>
        <v>0.0211571469525075</v>
      </c>
      <c r="H4" s="14" t="n">
        <f aca="false">IFERROR(B4/D4,0)</f>
        <v>38.2152776663272</v>
      </c>
      <c r="I4" s="15" t="n">
        <f aca="false">IFERROR(C4/B4,0)</f>
        <v>28.3841741784463</v>
      </c>
    </row>
    <row r="5" customFormat="false" ht="15" hidden="false" customHeight="true" outlineLevel="0" collapsed="false">
      <c r="A5" s="11" t="s">
        <v>47</v>
      </c>
      <c r="B5" s="11" t="n">
        <f aca="false">SUMIFS(Cleaned_Data!$H$2:$H$839,Cleaned_Data!$C$2:$C$839,A5,Cleaned_Data!$R$2:$R$839,"Unique")</f>
        <v>765289.51</v>
      </c>
      <c r="C5" s="11" t="n">
        <f aca="false">SUMIFS(Cleaned_Data!$L$2:$L$839,Cleaned_Data!$C$2:$C$839,A5,Cleaned_Data!$R$2:$R$839,"Unique")</f>
        <v>18815717.78</v>
      </c>
      <c r="D5" s="11" t="n">
        <f aca="false">SUMIFS(Cleaned_Data!$K$2:$K$839,Cleaned_Data!$C$2:$C$839,A5,Cleaned_Data!$R$2:$R$839,"Unique")</f>
        <v>18526</v>
      </c>
      <c r="E5" s="11" t="n">
        <f aca="false">SUMIFS(Cleaned_Data!$J$2:$J$839,Cleaned_Data!$C$2:$C$839,A5,Cleaned_Data!$R$2:$R$839,"Unique")</f>
        <v>420035</v>
      </c>
      <c r="F5" s="11" t="n">
        <f aca="false">SUMIFS(Cleaned_Data!$I$2:$I$839,Cleaned_Data!$C$2:$C$839,A5,Cleaned_Data!$R$2:$R$839,"Unique")</f>
        <v>20445939</v>
      </c>
      <c r="G5" s="13" t="n">
        <f aca="false">IFERROR(E5/F5,0)</f>
        <v>0.0205436884067785</v>
      </c>
      <c r="H5" s="14" t="n">
        <f aca="false">IFERROR(B5/D5,0)</f>
        <v>41.3089447263306</v>
      </c>
      <c r="I5" s="15" t="n">
        <f aca="false">IFERROR(C5/B5,0)</f>
        <v>24.586404927986</v>
      </c>
    </row>
    <row r="6" customFormat="false" ht="15" hidden="false" customHeight="true" outlineLevel="0" collapsed="false">
      <c r="A6" s="11" t="s">
        <v>59</v>
      </c>
      <c r="B6" s="11" t="n">
        <f aca="false">SUMIFS(Cleaned_Data!$H$2:$H$839,Cleaned_Data!$C$2:$C$839,A6,Cleaned_Data!$R$2:$R$839,"Unique")</f>
        <v>7749587.42</v>
      </c>
      <c r="C6" s="11" t="n">
        <f aca="false">SUMIFS(Cleaned_Data!$L$2:$L$839,Cleaned_Data!$C$2:$C$839,A6,Cleaned_Data!$R$2:$R$839,"Unique")</f>
        <v>205495622.93</v>
      </c>
      <c r="D6" s="11" t="n">
        <f aca="false">SUMIFS(Cleaned_Data!$K$2:$K$839,Cleaned_Data!$C$2:$C$839,A6,Cleaned_Data!$R$2:$R$839,"Unique")</f>
        <v>200418</v>
      </c>
      <c r="E6" s="11" t="n">
        <f aca="false">SUMIFS(Cleaned_Data!$J$2:$J$839,Cleaned_Data!$C$2:$C$839,A6,Cleaned_Data!$R$2:$R$839,"Unique")</f>
        <v>4208690</v>
      </c>
      <c r="F6" s="11" t="n">
        <f aca="false">SUMIFS(Cleaned_Data!$I$2:$I$839,Cleaned_Data!$C$2:$C$839,A6,Cleaned_Data!$R$2:$R$839,"Unique")</f>
        <v>212018612</v>
      </c>
      <c r="G6" s="13" t="n">
        <f aca="false">IFERROR(E6/F6,0)</f>
        <v>0.0198505685906481</v>
      </c>
      <c r="H6" s="14" t="n">
        <f aca="false">IFERROR(B6/D6,0)</f>
        <v>38.6671228133202</v>
      </c>
      <c r="I6" s="15" t="n">
        <f aca="false">IFERROR(C6/B6,0)</f>
        <v>26.5169759101834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30"/>
    <col collapsed="false" customWidth="true" hidden="false" outlineLevel="0" max="5" min="5" style="1" width="20"/>
  </cols>
  <sheetData>
    <row r="1" customFormat="false" ht="15" hidden="false" customHeight="true" outlineLevel="0" collapsed="false">
      <c r="A1" s="5" t="s">
        <v>35</v>
      </c>
      <c r="B1" s="5" t="s">
        <v>1004</v>
      </c>
      <c r="C1" s="5" t="s">
        <v>1005</v>
      </c>
      <c r="D1" s="5" t="s">
        <v>1006</v>
      </c>
      <c r="E1" s="5" t="s">
        <v>1011</v>
      </c>
    </row>
    <row r="2" customFormat="false" ht="15" hidden="false" customHeight="true" outlineLevel="0" collapsed="false">
      <c r="A2" s="11" t="s">
        <v>54</v>
      </c>
      <c r="B2" s="11" t="n">
        <f aca="false">SUMIFS(Cleaned_Data!$H$2:$H$839,Cleaned_Data!$G$2:$G$839,A2,Cleaned_Data!$R$2:$R$839,"Unique")</f>
        <v>4824756.98</v>
      </c>
      <c r="C2" s="11" t="n">
        <f aca="false">SUMIFS(Cleaned_Data!$L$2:$L$839,Cleaned_Data!$G$2:$G$839,A2,Cleaned_Data!$R$2:$R$839,"Unique")</f>
        <v>124607825.02</v>
      </c>
      <c r="D2" s="11" t="n">
        <f aca="false">SUMIFS(Cleaned_Data!$K$2:$K$839,Cleaned_Data!$G$2:$G$839,A2,Cleaned_Data!$R$2:$R$839,"Unique")</f>
        <v>119869</v>
      </c>
      <c r="E2" s="15" t="n">
        <f aca="false">IFERROR(C2/B2,0)</f>
        <v>25.8267567748044</v>
      </c>
    </row>
    <row r="3" customFormat="false" ht="15" hidden="false" customHeight="true" outlineLevel="0" collapsed="false">
      <c r="A3" s="11" t="s">
        <v>61</v>
      </c>
      <c r="B3" s="11" t="n">
        <f aca="false">SUMIFS(Cleaned_Data!$H$2:$H$839,Cleaned_Data!$G$2:$G$839,A3,Cleaned_Data!$R$2:$R$839,"Unique")</f>
        <v>4434168.31</v>
      </c>
      <c r="C3" s="11" t="n">
        <f aca="false">SUMIFS(Cleaned_Data!$L$2:$L$839,Cleaned_Data!$G$2:$G$839,A3,Cleaned_Data!$R$2:$R$839,"Unique")</f>
        <v>115146293.33</v>
      </c>
      <c r="D3" s="11" t="n">
        <f aca="false">SUMIFS(Cleaned_Data!$K$2:$K$839,Cleaned_Data!$G$2:$G$839,A3,Cleaned_Data!$R$2:$R$839,"Unique")</f>
        <v>113517</v>
      </c>
      <c r="E3" s="15" t="n">
        <f aca="false">IFERROR(C3/B3,0)</f>
        <v>25.9679572988514</v>
      </c>
    </row>
    <row r="4" customFormat="false" ht="15" hidden="false" customHeight="true" outlineLevel="0" collapsed="false">
      <c r="A4" s="11" t="s">
        <v>72</v>
      </c>
      <c r="B4" s="11" t="n">
        <f aca="false">SUMIFS(Cleaned_Data!$H$2:$H$839,Cleaned_Data!$G$2:$G$839,A4,Cleaned_Data!$R$2:$R$839,"Unique")</f>
        <v>4744840.06</v>
      </c>
      <c r="C4" s="11" t="n">
        <f aca="false">SUMIFS(Cleaned_Data!$L$2:$L$839,Cleaned_Data!$G$2:$G$839,A4,Cleaned_Data!$R$2:$R$839,"Unique")</f>
        <v>117615864.81</v>
      </c>
      <c r="D4" s="11" t="n">
        <f aca="false">SUMIFS(Cleaned_Data!$K$2:$K$839,Cleaned_Data!$G$2:$G$839,A4,Cleaned_Data!$R$2:$R$839,"Unique")</f>
        <v>104607</v>
      </c>
      <c r="E4" s="15" t="n">
        <f aca="false">IFERROR(C4/B4,0)</f>
        <v>24.7881621556702</v>
      </c>
    </row>
    <row r="5" customFormat="false" ht="15" hidden="false" customHeight="true" outlineLevel="0" collapsed="false">
      <c r="A5" s="11" t="s">
        <v>49</v>
      </c>
      <c r="B5" s="11" t="n">
        <f aca="false">SUMIFS(Cleaned_Data!$H$2:$H$839,Cleaned_Data!$G$2:$G$839,A5,Cleaned_Data!$R$2:$R$839,"Unique")</f>
        <v>5868232.56</v>
      </c>
      <c r="C5" s="11" t="n">
        <f aca="false">SUMIFS(Cleaned_Data!$L$2:$L$839,Cleaned_Data!$G$2:$G$839,A5,Cleaned_Data!$R$2:$R$839,"Unique")</f>
        <v>162579534.04</v>
      </c>
      <c r="D5" s="11" t="n">
        <f aca="false">SUMIFS(Cleaned_Data!$K$2:$K$839,Cleaned_Data!$G$2:$G$839,A5,Cleaned_Data!$R$2:$R$839,"Unique")</f>
        <v>151203</v>
      </c>
      <c r="E5" s="15" t="n">
        <f aca="false">IFERROR(C5/B5,0)</f>
        <v>27.705025725838</v>
      </c>
    </row>
    <row r="6" customFormat="false" ht="15" hidden="false" customHeight="true" outlineLevel="0" collapsed="false">
      <c r="A6" s="11" t="s">
        <v>57</v>
      </c>
      <c r="B6" s="11" t="n">
        <f aca="false">SUMIFS(Cleaned_Data!$H$2:$H$839,Cleaned_Data!$G$2:$G$839,A6,Cleaned_Data!$R$2:$R$839,"Unique")</f>
        <v>4809854.24</v>
      </c>
      <c r="C6" s="11" t="n">
        <f aca="false">SUMIFS(Cleaned_Data!$L$2:$L$839,Cleaned_Data!$G$2:$G$839,A6,Cleaned_Data!$R$2:$R$839,"Unique")</f>
        <v>132632059.08</v>
      </c>
      <c r="D6" s="11" t="n">
        <f aca="false">SUMIFS(Cleaned_Data!$K$2:$K$839,Cleaned_Data!$G$2:$G$839,A6,Cleaned_Data!$R$2:$R$839,"Unique")</f>
        <v>125603</v>
      </c>
      <c r="E6" s="15" t="n">
        <f aca="false">IFERROR(C6/B6,0)</f>
        <v>27.5750682789922</v>
      </c>
    </row>
    <row r="7" customFormat="false" ht="15" hidden="false" customHeight="true" outlineLevel="0" collapsed="false">
      <c r="A7" s="11" t="s">
        <v>75</v>
      </c>
      <c r="B7" s="11" t="n">
        <f aca="false">SUMIFS(Cleaned_Data!$H$2:$H$839,Cleaned_Data!$G$2:$G$839,A7,Cleaned_Data!$R$2:$R$839,"Unique")</f>
        <v>1484392.88</v>
      </c>
      <c r="C7" s="11" t="n">
        <f aca="false">SUMIFS(Cleaned_Data!$L$2:$L$839,Cleaned_Data!$G$2:$G$839,A7,Cleaned_Data!$R$2:$R$839,"Unique")</f>
        <v>43756715.3</v>
      </c>
      <c r="D7" s="11" t="n">
        <f aca="false">SUMIFS(Cleaned_Data!$K$2:$K$839,Cleaned_Data!$G$2:$G$839,A7,Cleaned_Data!$R$2:$R$839,"Unique")</f>
        <v>40225</v>
      </c>
      <c r="E7" s="15" t="n">
        <f aca="false">IFERROR(C7/B7,0)</f>
        <v>29.4778531274011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9"/>
    <col collapsed="false" customWidth="true" hidden="false" outlineLevel="0" max="3" min="3" style="1" width="18"/>
    <col collapsed="false" customWidth="true" hidden="false" outlineLevel="0" max="5" min="4" style="1" width="30"/>
    <col collapsed="false" customWidth="true" hidden="false" outlineLevel="0" max="6" min="6" style="1" width="22"/>
  </cols>
  <sheetData>
    <row r="1" customFormat="false" ht="15" hidden="false" customHeight="true" outlineLevel="0" collapsed="false">
      <c r="A1" s="5" t="s">
        <v>1012</v>
      </c>
      <c r="B1" s="5" t="s">
        <v>1013</v>
      </c>
      <c r="C1" s="5" t="s">
        <v>1014</v>
      </c>
      <c r="D1" s="5" t="s">
        <v>1004</v>
      </c>
      <c r="E1" s="5" t="s">
        <v>1005</v>
      </c>
      <c r="F1" s="5" t="s">
        <v>44</v>
      </c>
    </row>
    <row r="2" customFormat="false" ht="15" hidden="false" customHeight="true" outlineLevel="0" collapsed="false">
      <c r="A2" s="11" t="s">
        <v>1015</v>
      </c>
      <c r="B2" s="12" t="n">
        <f aca="false">DATE(2024,1,1)</f>
        <v>45292</v>
      </c>
      <c r="C2" s="12" t="n">
        <f aca="false">EOMONTH(B2,0)</f>
        <v>45322</v>
      </c>
      <c r="D2" s="11" t="n">
        <f aca="false">SUMIFS(Cleaned_Data!$H$2:$H$839,Cleaned_Data!$D$2:$D$839,"&gt;="&amp;B2,Cleaned_Data!$D$2:$D$839,"&lt;="&amp;C2,Cleaned_Data!$R$2:$R$839,"Unique")</f>
        <v>1822580.1</v>
      </c>
      <c r="E2" s="11" t="n">
        <f aca="false">SUMIFS(Cleaned_Data!$L$2:$L$839,Cleaned_Data!$D$2:$D$839,"&gt;="&amp;B2,Cleaned_Data!$D$2:$D$839,"&lt;="&amp;C2,Cleaned_Data!$R$2:$R$839,"Unique")</f>
        <v>43006092.52</v>
      </c>
      <c r="F2" s="15" t="n">
        <f aca="false">IFERROR(E2/D2,0)</f>
        <v>23.5962702105658</v>
      </c>
    </row>
    <row r="3" customFormat="false" ht="15" hidden="false" customHeight="true" outlineLevel="0" collapsed="false">
      <c r="A3" s="11" t="s">
        <v>1016</v>
      </c>
      <c r="B3" s="12" t="n">
        <f aca="false">DATE(2024,2,1)</f>
        <v>45323</v>
      </c>
      <c r="C3" s="12" t="n">
        <f aca="false">EOMONTH(B3,0)</f>
        <v>45351</v>
      </c>
      <c r="D3" s="11" t="n">
        <f aca="false">SUMIFS(Cleaned_Data!$H$2:$H$839,Cleaned_Data!$D$2:$D$839,"&gt;="&amp;B3,Cleaned_Data!$D$2:$D$839,"&lt;="&amp;C3,Cleaned_Data!$R$2:$R$839,"Unique")</f>
        <v>2375983.25</v>
      </c>
      <c r="E3" s="11" t="n">
        <f aca="false">SUMIFS(Cleaned_Data!$L$2:$L$839,Cleaned_Data!$D$2:$D$839,"&gt;="&amp;B3,Cleaned_Data!$D$2:$D$839,"&lt;="&amp;C3,Cleaned_Data!$R$2:$R$839,"Unique")</f>
        <v>60678088.98</v>
      </c>
      <c r="F3" s="15" t="n">
        <f aca="false">IFERROR(E3/D3,0)</f>
        <v>25.5380962723538</v>
      </c>
    </row>
    <row r="4" customFormat="false" ht="15" hidden="false" customHeight="true" outlineLevel="0" collapsed="false">
      <c r="A4" s="11" t="s">
        <v>1017</v>
      </c>
      <c r="B4" s="12" t="n">
        <f aca="false">DATE(2024,3,1)</f>
        <v>45352</v>
      </c>
      <c r="C4" s="12" t="n">
        <f aca="false">EOMONTH(B4,0)</f>
        <v>45382</v>
      </c>
      <c r="D4" s="11" t="n">
        <f aca="false">SUMIFS(Cleaned_Data!$H$2:$H$839,Cleaned_Data!$D$2:$D$839,"&gt;="&amp;B4,Cleaned_Data!$D$2:$D$839,"&lt;="&amp;C4,Cleaned_Data!$R$2:$R$839,"Unique")</f>
        <v>2450980.14</v>
      </c>
      <c r="E4" s="11" t="n">
        <f aca="false">SUMIFS(Cleaned_Data!$L$2:$L$839,Cleaned_Data!$D$2:$D$839,"&gt;="&amp;B4,Cleaned_Data!$D$2:$D$839,"&lt;="&amp;C4,Cleaned_Data!$R$2:$R$839,"Unique")</f>
        <v>59419431.92</v>
      </c>
      <c r="F4" s="15" t="n">
        <f aca="false">IFERROR(E4/D4,0)</f>
        <v>24.2431307174933</v>
      </c>
    </row>
    <row r="5" customFormat="false" ht="15" hidden="false" customHeight="true" outlineLevel="0" collapsed="false">
      <c r="A5" s="11" t="s">
        <v>1018</v>
      </c>
      <c r="B5" s="12" t="n">
        <f aca="false">DATE(2024,4,1)</f>
        <v>45383</v>
      </c>
      <c r="C5" s="12" t="n">
        <f aca="false">EOMONTH(B5,0)</f>
        <v>45412</v>
      </c>
      <c r="D5" s="11" t="n">
        <f aca="false">SUMIFS(Cleaned_Data!$H$2:$H$839,Cleaned_Data!$D$2:$D$839,"&gt;="&amp;B5,Cleaned_Data!$D$2:$D$839,"&lt;="&amp;C5,Cleaned_Data!$R$2:$R$839,"Unique")</f>
        <v>2123473.68</v>
      </c>
      <c r="E5" s="11" t="n">
        <f aca="false">SUMIFS(Cleaned_Data!$L$2:$L$839,Cleaned_Data!$D$2:$D$839,"&gt;="&amp;B5,Cleaned_Data!$D$2:$D$839,"&lt;="&amp;C5,Cleaned_Data!$R$2:$R$839,"Unique")</f>
        <v>45165194.06</v>
      </c>
      <c r="F5" s="15" t="n">
        <f aca="false">IFERROR(E5/D5,0)</f>
        <v>21.2694861657056</v>
      </c>
    </row>
    <row r="6" customFormat="false" ht="15" hidden="false" customHeight="true" outlineLevel="0" collapsed="false">
      <c r="A6" s="11" t="s">
        <v>1019</v>
      </c>
      <c r="B6" s="12" t="n">
        <f aca="false">DATE(2024,5,1)</f>
        <v>45413</v>
      </c>
      <c r="C6" s="12" t="n">
        <f aca="false">EOMONTH(B6,0)</f>
        <v>45443</v>
      </c>
      <c r="D6" s="11" t="n">
        <f aca="false">SUMIFS(Cleaned_Data!$H$2:$H$839,Cleaned_Data!$D$2:$D$839,"&gt;="&amp;B6,Cleaned_Data!$D$2:$D$839,"&lt;="&amp;C6,Cleaned_Data!$R$2:$R$839,"Unique")</f>
        <v>2230568.49</v>
      </c>
      <c r="E6" s="11" t="n">
        <f aca="false">SUMIFS(Cleaned_Data!$L$2:$L$839,Cleaned_Data!$D$2:$D$839,"&gt;="&amp;B6,Cleaned_Data!$D$2:$D$839,"&lt;="&amp;C6,Cleaned_Data!$R$2:$R$839,"Unique")</f>
        <v>70772440.49</v>
      </c>
      <c r="F6" s="15" t="n">
        <f aca="false">IFERROR(E6/D6,0)</f>
        <v>31.7284319254416</v>
      </c>
    </row>
    <row r="7" customFormat="false" ht="15" hidden="false" customHeight="true" outlineLevel="0" collapsed="false">
      <c r="A7" s="11" t="s">
        <v>1020</v>
      </c>
      <c r="B7" s="12" t="n">
        <f aca="false">DATE(2024,6,1)</f>
        <v>45444</v>
      </c>
      <c r="C7" s="12" t="n">
        <f aca="false">EOMONTH(B7,0)</f>
        <v>45473</v>
      </c>
      <c r="D7" s="11" t="n">
        <f aca="false">SUMIFS(Cleaned_Data!$H$2:$H$839,Cleaned_Data!$D$2:$D$839,"&gt;="&amp;B7,Cleaned_Data!$D$2:$D$839,"&lt;="&amp;C7,Cleaned_Data!$R$2:$R$839,"Unique")</f>
        <v>2726211.77</v>
      </c>
      <c r="E7" s="11" t="n">
        <f aca="false">SUMIFS(Cleaned_Data!$L$2:$L$839,Cleaned_Data!$D$2:$D$839,"&gt;="&amp;B7,Cleaned_Data!$D$2:$D$839,"&lt;="&amp;C7,Cleaned_Data!$R$2:$R$839,"Unique")</f>
        <v>93000594.97</v>
      </c>
      <c r="F7" s="15" t="n">
        <f aca="false">IFERROR(E7/D7,0)</f>
        <v>34.1134889055226</v>
      </c>
    </row>
    <row r="8" customFormat="false" ht="15" hidden="false" customHeight="true" outlineLevel="0" collapsed="false">
      <c r="A8" s="11" t="s">
        <v>1021</v>
      </c>
      <c r="B8" s="12" t="n">
        <f aca="false">DATE(2024,7,1)</f>
        <v>45474</v>
      </c>
      <c r="C8" s="12" t="n">
        <f aca="false">EOMONTH(B8,0)</f>
        <v>45504</v>
      </c>
      <c r="D8" s="11" t="n">
        <f aca="false">SUMIFS(Cleaned_Data!$H$2:$H$839,Cleaned_Data!$D$2:$D$839,"&gt;="&amp;B8,Cleaned_Data!$D$2:$D$839,"&lt;="&amp;C8,Cleaned_Data!$R$2:$R$839,"Unique")</f>
        <v>2452154.23</v>
      </c>
      <c r="E8" s="11" t="n">
        <f aca="false">SUMIFS(Cleaned_Data!$L$2:$L$839,Cleaned_Data!$D$2:$D$839,"&gt;="&amp;B8,Cleaned_Data!$D$2:$D$839,"&lt;="&amp;C8,Cleaned_Data!$R$2:$R$839,"Unique")</f>
        <v>62864532.91</v>
      </c>
      <c r="F8" s="15" t="n">
        <f aca="false">IFERROR(E8/D8,0)</f>
        <v>25.636451468226</v>
      </c>
    </row>
    <row r="9" customFormat="false" ht="15" hidden="false" customHeight="true" outlineLevel="0" collapsed="false">
      <c r="A9" s="11" t="s">
        <v>1022</v>
      </c>
      <c r="B9" s="12" t="n">
        <f aca="false">DATE(2024,8,1)</f>
        <v>45505</v>
      </c>
      <c r="C9" s="12" t="n">
        <f aca="false">EOMONTH(B9,0)</f>
        <v>45535</v>
      </c>
      <c r="D9" s="11" t="n">
        <f aca="false">SUMIFS(Cleaned_Data!$H$2:$H$839,Cleaned_Data!$D$2:$D$839,"&gt;="&amp;B9,Cleaned_Data!$D$2:$D$839,"&lt;="&amp;C9,Cleaned_Data!$R$2:$R$839,"Unique")</f>
        <v>2370652.25</v>
      </c>
      <c r="E9" s="11" t="n">
        <f aca="false">SUMIFS(Cleaned_Data!$L$2:$L$839,Cleaned_Data!$D$2:$D$839,"&gt;="&amp;B9,Cleaned_Data!$D$2:$D$839,"&lt;="&amp;C9,Cleaned_Data!$R$2:$R$839,"Unique")</f>
        <v>54198256.98</v>
      </c>
      <c r="F9" s="15" t="n">
        <f aca="false">IFERROR(E9/D9,0)</f>
        <v>22.862170940508</v>
      </c>
    </row>
    <row r="10" customFormat="false" ht="15" hidden="false" customHeight="true" outlineLevel="0" collapsed="false">
      <c r="A10" s="11" t="s">
        <v>1023</v>
      </c>
      <c r="B10" s="12" t="n">
        <f aca="false">DATE(2024,9,1)</f>
        <v>45536</v>
      </c>
      <c r="C10" s="12" t="n">
        <f aca="false">EOMONTH(B10,0)</f>
        <v>45565</v>
      </c>
      <c r="D10" s="11" t="n">
        <f aca="false">SUMIFS(Cleaned_Data!$H$2:$H$839,Cleaned_Data!$D$2:$D$839,"&gt;="&amp;B10,Cleaned_Data!$D$2:$D$839,"&lt;="&amp;C10,Cleaned_Data!$R$2:$R$839,"Unique")</f>
        <v>2339104.63</v>
      </c>
      <c r="E10" s="11" t="n">
        <f aca="false">SUMIFS(Cleaned_Data!$L$2:$L$839,Cleaned_Data!$D$2:$D$839,"&gt;="&amp;B10,Cleaned_Data!$D$2:$D$839,"&lt;="&amp;C10,Cleaned_Data!$R$2:$R$839,"Unique")</f>
        <v>74079819.8</v>
      </c>
      <c r="F10" s="15" t="n">
        <f aca="false">IFERROR(E10/D10,0)</f>
        <v>31.6701608170473</v>
      </c>
    </row>
    <row r="11" customFormat="false" ht="15" hidden="false" customHeight="true" outlineLevel="0" collapsed="false">
      <c r="A11" s="11" t="s">
        <v>1024</v>
      </c>
      <c r="B11" s="12" t="n">
        <f aca="false">DATE(2024,10,1)</f>
        <v>45566</v>
      </c>
      <c r="C11" s="12" t="n">
        <f aca="false">EOMONTH(B11,0)</f>
        <v>45596</v>
      </c>
      <c r="D11" s="11" t="n">
        <f aca="false">SUMIFS(Cleaned_Data!$H$2:$H$839,Cleaned_Data!$D$2:$D$839,"&gt;="&amp;B11,Cleaned_Data!$D$2:$D$839,"&lt;="&amp;C11,Cleaned_Data!$R$2:$R$839,"Unique")</f>
        <v>2714449.72</v>
      </c>
      <c r="E11" s="11" t="n">
        <f aca="false">SUMIFS(Cleaned_Data!$L$2:$L$839,Cleaned_Data!$D$2:$D$839,"&gt;="&amp;B11,Cleaned_Data!$D$2:$D$839,"&lt;="&amp;C11,Cleaned_Data!$R$2:$R$839,"Unique")</f>
        <v>73759953.73</v>
      </c>
      <c r="F11" s="15" t="n">
        <f aca="false">IFERROR(E11/D11,0)</f>
        <v>27.173077912086</v>
      </c>
    </row>
    <row r="12" customFormat="false" ht="15" hidden="false" customHeight="true" outlineLevel="0" collapsed="false">
      <c r="A12" s="11" t="s">
        <v>1025</v>
      </c>
      <c r="B12" s="12" t="n">
        <f aca="false">DATE(2024,11,1)</f>
        <v>45597</v>
      </c>
      <c r="C12" s="12" t="n">
        <f aca="false">EOMONTH(B12,0)</f>
        <v>45626</v>
      </c>
      <c r="D12" s="11" t="n">
        <f aca="false">SUMIFS(Cleaned_Data!$H$2:$H$839,Cleaned_Data!$D$2:$D$839,"&gt;="&amp;B12,Cleaned_Data!$D$2:$D$839,"&lt;="&amp;C12,Cleaned_Data!$R$2:$R$839,"Unique")</f>
        <v>2504171.43</v>
      </c>
      <c r="E12" s="11" t="n">
        <f aca="false">SUMIFS(Cleaned_Data!$L$2:$L$839,Cleaned_Data!$D$2:$D$839,"&gt;="&amp;B12,Cleaned_Data!$D$2:$D$839,"&lt;="&amp;C12,Cleaned_Data!$R$2:$R$839,"Unique")</f>
        <v>58209790.22</v>
      </c>
      <c r="F12" s="15" t="n">
        <f aca="false">IFERROR(E12/D12,0)</f>
        <v>23.2451299150873</v>
      </c>
    </row>
    <row r="13" customFormat="false" ht="15" hidden="false" customHeight="true" outlineLevel="0" collapsed="false">
      <c r="A13" s="11" t="s">
        <v>1026</v>
      </c>
      <c r="B13" s="12" t="n">
        <f aca="false">DATE(2024,12,1)</f>
        <v>45627</v>
      </c>
      <c r="C13" s="12" t="n">
        <f aca="false">EOMONTH(B13,0)</f>
        <v>45657</v>
      </c>
      <c r="D13" s="11" t="n">
        <f aca="false">SUMIFS(Cleaned_Data!$H$2:$H$839,Cleaned_Data!$D$2:$D$839,"&gt;="&amp;B13,Cleaned_Data!$D$2:$D$839,"&lt;="&amp;C13,Cleaned_Data!$R$2:$R$839,"Unique")</f>
        <v>55915.34</v>
      </c>
      <c r="E13" s="11" t="n">
        <f aca="false">SUMIFS(Cleaned_Data!$L$2:$L$839,Cleaned_Data!$D$2:$D$839,"&gt;="&amp;B13,Cleaned_Data!$D$2:$D$839,"&lt;="&amp;C13,Cleaned_Data!$R$2:$R$839,"Unique")</f>
        <v>1184095</v>
      </c>
      <c r="F13" s="15" t="n">
        <f aca="false">IFERROR(E13/D13,0)</f>
        <v>21.1765680044153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2026-07-19T18:34:20Z</dcterms:created>
  <dc:creator>openpyxl</dc:creator>
  <dc:description/>
  <dc:language>en-US</dc:language>
  <cp:lastModifiedBy/>
  <dcterms:modified xsi:type="dcterms:W3CDTF">2026-07-19T19:06:35Z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